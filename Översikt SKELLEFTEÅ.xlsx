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45633</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45633</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45633</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45633</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45633</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45633</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45633</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45633</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45633</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45633</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45633</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45633</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45633</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45633</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45633</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45633</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45633</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45633</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45633</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45633</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45633</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45633</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45633</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45633</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45633</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45633</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45633</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45633</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45633</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45633</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45633</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45633</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45633</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45633</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45633</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45633</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45633</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45633</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45633</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45633</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45633</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45633</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45633</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45633</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45633</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45633</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45633</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45633</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45633</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45633</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45633</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45633</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45633</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45633</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45633</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45633</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45633</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45633</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45633</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45633</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45633</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45633</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45633</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45633</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45633</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45633</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45633</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45633</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45633</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45633</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45633</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45633</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45633</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45633</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45633</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45633</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45633</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45633</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45633</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45633</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45633</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45633</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45633</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45633</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45633</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45633</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45633</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45633</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45633</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45633</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45633</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45633</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45633</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45633</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45633</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45633</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45633</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45633</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45633</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45633</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45633</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45633</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45633</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45633</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45633</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45633</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45633</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45633</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45633</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45633</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45633</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45633</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45633</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45633</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45633</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45633</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45633</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45633</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45633</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45633</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45633</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45633</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45633</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45633</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45633</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45633</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45633</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45633</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45633</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45633</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45633</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45633</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45633</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45633</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45633</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45633</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45633</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45633</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45633</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45633</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45633</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45633</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45633</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45633</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45633</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45633</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45633</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45633</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45633</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45633</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45633</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45633</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45633</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45633</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45633</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45633</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45633</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45633</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45633</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45633</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45633</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45633</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45633</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45633</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45633</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45633</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45633</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45633</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45633</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45633</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45633</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45633</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45633</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45633</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45633</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45633</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45633</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45633</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45633</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45633</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45633</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45633</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45633</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45633</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45633</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45633</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45633</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45633</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45633</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45633</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45633</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45633</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45633</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45633</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45633</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45633</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45633</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45633</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45633</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45633</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45633</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45633</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45633</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45633</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45633</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45633</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45633</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45633</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45633</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45633</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45633</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45633</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45633</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45633</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45633</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45633</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45633</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45633</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45633</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45633</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45633</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45633</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45633</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45633</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45633</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45633</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45633</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45633</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45633</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57568-2024</t>
        </is>
      </c>
      <c r="B239" s="1" t="n">
        <v>45630</v>
      </c>
      <c r="C239" s="1" t="n">
        <v>45633</v>
      </c>
      <c r="D239" t="inlineStr">
        <is>
          <t>VÄSTERBOTTENS LÄN</t>
        </is>
      </c>
      <c r="E239" t="inlineStr">
        <is>
          <t>SKELLEFTEÅ</t>
        </is>
      </c>
      <c r="F239" t="inlineStr">
        <is>
          <t>Sveaskog</t>
        </is>
      </c>
      <c r="G239" t="n">
        <v>7.3</v>
      </c>
      <c r="H239" t="n">
        <v>0</v>
      </c>
      <c r="I239" t="n">
        <v>0</v>
      </c>
      <c r="J239" t="n">
        <v>1</v>
      </c>
      <c r="K239" t="n">
        <v>0</v>
      </c>
      <c r="L239" t="n">
        <v>0</v>
      </c>
      <c r="M239" t="n">
        <v>0</v>
      </c>
      <c r="N239" t="n">
        <v>0</v>
      </c>
      <c r="O239" t="n">
        <v>1</v>
      </c>
      <c r="P239" t="n">
        <v>0</v>
      </c>
      <c r="Q239" t="n">
        <v>1</v>
      </c>
      <c r="R239" s="2" t="inlineStr">
        <is>
          <t>Stjärntagging</t>
        </is>
      </c>
      <c r="S239">
        <f>HYPERLINK("https://klasma.github.io/Logging_2482/artfynd/A 57568-2024 artfynd.xlsx", "A 57568-2024")</f>
        <v/>
      </c>
      <c r="T239">
        <f>HYPERLINK("https://klasma.github.io/Logging_2482/kartor/A 57568-2024 karta.png", "A 57568-2024")</f>
        <v/>
      </c>
      <c r="V239">
        <f>HYPERLINK("https://klasma.github.io/Logging_2482/klagomål/A 57568-2024 FSC-klagomål.docx", "A 57568-2024")</f>
        <v/>
      </c>
      <c r="W239">
        <f>HYPERLINK("https://klasma.github.io/Logging_2482/klagomålsmail/A 57568-2024 FSC-klagomål mail.docx", "A 57568-2024")</f>
        <v/>
      </c>
      <c r="X239">
        <f>HYPERLINK("https://klasma.github.io/Logging_2482/tillsyn/A 57568-2024 tillsynsbegäran.docx", "A 57568-2024")</f>
        <v/>
      </c>
      <c r="Y239">
        <f>HYPERLINK("https://klasma.github.io/Logging_2482/tillsynsmail/A 57568-2024 tillsynsbegäran mail.docx", "A 57568-2024")</f>
        <v/>
      </c>
    </row>
    <row r="240" ht="15" customHeight="1">
      <c r="A240" t="inlineStr">
        <is>
          <t>A 57520-2024</t>
        </is>
      </c>
      <c r="B240" s="1" t="n">
        <v>45630</v>
      </c>
      <c r="C240" s="1" t="n">
        <v>45633</v>
      </c>
      <c r="D240" t="inlineStr">
        <is>
          <t>VÄSTERBOTTENS LÄN</t>
        </is>
      </c>
      <c r="E240" t="inlineStr">
        <is>
          <t>SKELLEFTEÅ</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HYPERLINK("https://klasma.github.io/Logging_2482/artfynd/A 57520-2024 artfynd.xlsx", "A 57520-2024")</f>
        <v/>
      </c>
      <c r="T240">
        <f>HYPERLINK("https://klasma.github.io/Logging_2482/kartor/A 57520-2024 karta.png", "A 57520-2024")</f>
        <v/>
      </c>
      <c r="V240">
        <f>HYPERLINK("https://klasma.github.io/Logging_2482/klagomål/A 57520-2024 FSC-klagomål.docx", "A 57520-2024")</f>
        <v/>
      </c>
      <c r="W240">
        <f>HYPERLINK("https://klasma.github.io/Logging_2482/klagomålsmail/A 57520-2024 FSC-klagomål mail.docx", "A 57520-2024")</f>
        <v/>
      </c>
      <c r="X240">
        <f>HYPERLINK("https://klasma.github.io/Logging_2482/tillsyn/A 57520-2024 tillsynsbegäran.docx", "A 57520-2024")</f>
        <v/>
      </c>
      <c r="Y240">
        <f>HYPERLINK("https://klasma.github.io/Logging_2482/tillsynsmail/A 57520-2024 tillsynsbegäran mail.docx", "A 57520-2024")</f>
        <v/>
      </c>
    </row>
    <row r="241" ht="15" customHeight="1">
      <c r="A241" t="inlineStr">
        <is>
          <t>A 18072-2019</t>
        </is>
      </c>
      <c r="B241" s="1" t="n">
        <v>43557</v>
      </c>
      <c r="C241" s="1" t="n">
        <v>45633</v>
      </c>
      <c r="D241" t="inlineStr">
        <is>
          <t>VÄSTERBOTTENS LÄN</t>
        </is>
      </c>
      <c r="E241" t="inlineStr">
        <is>
          <t>SKELLEFTEÅ</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18271-2019</t>
        </is>
      </c>
      <c r="B242" s="1" t="n">
        <v>43557</v>
      </c>
      <c r="C242" s="1" t="n">
        <v>45633</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18073-2019</t>
        </is>
      </c>
      <c r="B243" s="1" t="n">
        <v>43557</v>
      </c>
      <c r="C243" s="1" t="n">
        <v>45633</v>
      </c>
      <c r="D243" t="inlineStr">
        <is>
          <t>VÄSTERBOTTENS LÄN</t>
        </is>
      </c>
      <c r="E243" t="inlineStr">
        <is>
          <t>SKELLEFTEÅ</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18201-2019</t>
        </is>
      </c>
      <c r="B244" s="1" t="n">
        <v>43558</v>
      </c>
      <c r="C244" s="1" t="n">
        <v>45633</v>
      </c>
      <c r="D244" t="inlineStr">
        <is>
          <t>VÄSTERBOTTENS LÄN</t>
        </is>
      </c>
      <c r="E244" t="inlineStr">
        <is>
          <t>SKELLEFTEÅ</t>
        </is>
      </c>
      <c r="G244" t="n">
        <v>2.5</v>
      </c>
      <c r="H244" t="n">
        <v>0</v>
      </c>
      <c r="I244" t="n">
        <v>0</v>
      </c>
      <c r="J244" t="n">
        <v>0</v>
      </c>
      <c r="K244" t="n">
        <v>0</v>
      </c>
      <c r="L244" t="n">
        <v>0</v>
      </c>
      <c r="M244" t="n">
        <v>0</v>
      </c>
      <c r="N244" t="n">
        <v>0</v>
      </c>
      <c r="O244" t="n">
        <v>0</v>
      </c>
      <c r="P244" t="n">
        <v>0</v>
      </c>
      <c r="Q244" t="n">
        <v>0</v>
      </c>
      <c r="R244" s="2" t="inlineStr"/>
    </row>
    <row r="245" ht="15" customHeight="1">
      <c r="A245" t="inlineStr">
        <is>
          <t>A 18202-2019</t>
        </is>
      </c>
      <c r="B245" s="1" t="n">
        <v>43558</v>
      </c>
      <c r="C245" s="1" t="n">
        <v>45633</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18137-2019</t>
        </is>
      </c>
      <c r="B246" s="1" t="n">
        <v>43558</v>
      </c>
      <c r="C246" s="1" t="n">
        <v>45633</v>
      </c>
      <c r="D246" t="inlineStr">
        <is>
          <t>VÄSTERBOTTENS LÄN</t>
        </is>
      </c>
      <c r="E246" t="inlineStr">
        <is>
          <t>SKELLEFTEÅ</t>
        </is>
      </c>
      <c r="G246" t="n">
        <v>10</v>
      </c>
      <c r="H246" t="n">
        <v>0</v>
      </c>
      <c r="I246" t="n">
        <v>0</v>
      </c>
      <c r="J246" t="n">
        <v>0</v>
      </c>
      <c r="K246" t="n">
        <v>0</v>
      </c>
      <c r="L246" t="n">
        <v>0</v>
      </c>
      <c r="M246" t="n">
        <v>0</v>
      </c>
      <c r="N246" t="n">
        <v>0</v>
      </c>
      <c r="O246" t="n">
        <v>0</v>
      </c>
      <c r="P246" t="n">
        <v>0</v>
      </c>
      <c r="Q246" t="n">
        <v>0</v>
      </c>
      <c r="R246" s="2" t="inlineStr"/>
    </row>
    <row r="247" ht="15" customHeight="1">
      <c r="A247" t="inlineStr">
        <is>
          <t>A 18714-2019</t>
        </is>
      </c>
      <c r="B247" s="1" t="n">
        <v>43560</v>
      </c>
      <c r="C247" s="1" t="n">
        <v>45633</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18712-2019</t>
        </is>
      </c>
      <c r="B248" s="1" t="n">
        <v>43560</v>
      </c>
      <c r="C248" s="1" t="n">
        <v>45633</v>
      </c>
      <c r="D248" t="inlineStr">
        <is>
          <t>VÄSTERBOTTENS LÄN</t>
        </is>
      </c>
      <c r="E248" t="inlineStr">
        <is>
          <t>SKELLEFTEÅ</t>
        </is>
      </c>
      <c r="F248" t="inlineStr">
        <is>
          <t>Övriga Aktiebolag</t>
        </is>
      </c>
      <c r="G248" t="n">
        <v>2.2</v>
      </c>
      <c r="H248" t="n">
        <v>0</v>
      </c>
      <c r="I248" t="n">
        <v>0</v>
      </c>
      <c r="J248" t="n">
        <v>0</v>
      </c>
      <c r="K248" t="n">
        <v>0</v>
      </c>
      <c r="L248" t="n">
        <v>0</v>
      </c>
      <c r="M248" t="n">
        <v>0</v>
      </c>
      <c r="N248" t="n">
        <v>0</v>
      </c>
      <c r="O248" t="n">
        <v>0</v>
      </c>
      <c r="P248" t="n">
        <v>0</v>
      </c>
      <c r="Q248" t="n">
        <v>0</v>
      </c>
      <c r="R248" s="2" t="inlineStr"/>
    </row>
    <row r="249" ht="15" customHeight="1">
      <c r="A249" t="inlineStr">
        <is>
          <t>A 19101-2019</t>
        </is>
      </c>
      <c r="B249" s="1" t="n">
        <v>43563</v>
      </c>
      <c r="C249" s="1" t="n">
        <v>45633</v>
      </c>
      <c r="D249" t="inlineStr">
        <is>
          <t>VÄSTERBOTTENS LÄN</t>
        </is>
      </c>
      <c r="E249" t="inlineStr">
        <is>
          <t>SKELLEFTEÅ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19059-2019</t>
        </is>
      </c>
      <c r="B250" s="1" t="n">
        <v>43563</v>
      </c>
      <c r="C250" s="1" t="n">
        <v>45633</v>
      </c>
      <c r="D250" t="inlineStr">
        <is>
          <t>VÄSTERBOTTENS LÄN</t>
        </is>
      </c>
      <c r="E250" t="inlineStr">
        <is>
          <t>SKELLEFTEÅ</t>
        </is>
      </c>
      <c r="G250" t="n">
        <v>2.5</v>
      </c>
      <c r="H250" t="n">
        <v>0</v>
      </c>
      <c r="I250" t="n">
        <v>0</v>
      </c>
      <c r="J250" t="n">
        <v>0</v>
      </c>
      <c r="K250" t="n">
        <v>0</v>
      </c>
      <c r="L250" t="n">
        <v>0</v>
      </c>
      <c r="M250" t="n">
        <v>0</v>
      </c>
      <c r="N250" t="n">
        <v>0</v>
      </c>
      <c r="O250" t="n">
        <v>0</v>
      </c>
      <c r="P250" t="n">
        <v>0</v>
      </c>
      <c r="Q250" t="n">
        <v>0</v>
      </c>
      <c r="R250" s="2" t="inlineStr"/>
    </row>
    <row r="251" ht="15" customHeight="1">
      <c r="A251" t="inlineStr">
        <is>
          <t>A 19382-2019</t>
        </is>
      </c>
      <c r="B251" s="1" t="n">
        <v>43565</v>
      </c>
      <c r="C251" s="1" t="n">
        <v>45633</v>
      </c>
      <c r="D251" t="inlineStr">
        <is>
          <t>VÄSTERBOTTENS LÄN</t>
        </is>
      </c>
      <c r="E251" t="inlineStr">
        <is>
          <t>SKELLEFTEÅ</t>
        </is>
      </c>
      <c r="G251" t="n">
        <v>0.6</v>
      </c>
      <c r="H251" t="n">
        <v>0</v>
      </c>
      <c r="I251" t="n">
        <v>0</v>
      </c>
      <c r="J251" t="n">
        <v>0</v>
      </c>
      <c r="K251" t="n">
        <v>0</v>
      </c>
      <c r="L251" t="n">
        <v>0</v>
      </c>
      <c r="M251" t="n">
        <v>0</v>
      </c>
      <c r="N251" t="n">
        <v>0</v>
      </c>
      <c r="O251" t="n">
        <v>0</v>
      </c>
      <c r="P251" t="n">
        <v>0</v>
      </c>
      <c r="Q251" t="n">
        <v>0</v>
      </c>
      <c r="R251" s="2" t="inlineStr"/>
    </row>
    <row r="252" ht="15" customHeight="1">
      <c r="A252" t="inlineStr">
        <is>
          <t>A 19530-2019</t>
        </is>
      </c>
      <c r="B252" s="1" t="n">
        <v>43565</v>
      </c>
      <c r="C252" s="1" t="n">
        <v>45633</v>
      </c>
      <c r="D252" t="inlineStr">
        <is>
          <t>VÄSTERBOTTENS LÄN</t>
        </is>
      </c>
      <c r="E252" t="inlineStr">
        <is>
          <t>SKELLEFTEÅ</t>
        </is>
      </c>
      <c r="G252" t="n">
        <v>8</v>
      </c>
      <c r="H252" t="n">
        <v>0</v>
      </c>
      <c r="I252" t="n">
        <v>0</v>
      </c>
      <c r="J252" t="n">
        <v>0</v>
      </c>
      <c r="K252" t="n">
        <v>0</v>
      </c>
      <c r="L252" t="n">
        <v>0</v>
      </c>
      <c r="M252" t="n">
        <v>0</v>
      </c>
      <c r="N252" t="n">
        <v>0</v>
      </c>
      <c r="O252" t="n">
        <v>0</v>
      </c>
      <c r="P252" t="n">
        <v>0</v>
      </c>
      <c r="Q252" t="n">
        <v>0</v>
      </c>
      <c r="R252" s="2" t="inlineStr"/>
    </row>
    <row r="253" ht="15" customHeight="1">
      <c r="A253" t="inlineStr">
        <is>
          <t>A 20163-2019</t>
        </is>
      </c>
      <c r="B253" s="1" t="n">
        <v>43567</v>
      </c>
      <c r="C253" s="1" t="n">
        <v>45633</v>
      </c>
      <c r="D253" t="inlineStr">
        <is>
          <t>VÄSTERBOTTENS LÄN</t>
        </is>
      </c>
      <c r="E253" t="inlineStr">
        <is>
          <t>SKELLEFTEÅ</t>
        </is>
      </c>
      <c r="G253" t="n">
        <v>1.3</v>
      </c>
      <c r="H253" t="n">
        <v>0</v>
      </c>
      <c r="I253" t="n">
        <v>0</v>
      </c>
      <c r="J253" t="n">
        <v>0</v>
      </c>
      <c r="K253" t="n">
        <v>0</v>
      </c>
      <c r="L253" t="n">
        <v>0</v>
      </c>
      <c r="M253" t="n">
        <v>0</v>
      </c>
      <c r="N253" t="n">
        <v>0</v>
      </c>
      <c r="O253" t="n">
        <v>0</v>
      </c>
      <c r="P253" t="n">
        <v>0</v>
      </c>
      <c r="Q253" t="n">
        <v>0</v>
      </c>
      <c r="R253" s="2" t="inlineStr"/>
    </row>
    <row r="254" ht="15" customHeight="1">
      <c r="A254" t="inlineStr">
        <is>
          <t>A 20428-2019</t>
        </is>
      </c>
      <c r="B254" s="1" t="n">
        <v>43571</v>
      </c>
      <c r="C254" s="1" t="n">
        <v>45633</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20584-2019</t>
        </is>
      </c>
      <c r="B255" s="1" t="n">
        <v>43572</v>
      </c>
      <c r="C255" s="1" t="n">
        <v>45633</v>
      </c>
      <c r="D255" t="inlineStr">
        <is>
          <t>VÄSTERBOTTENS LÄN</t>
        </is>
      </c>
      <c r="E255" t="inlineStr">
        <is>
          <t>SKELLEFTEÅ</t>
        </is>
      </c>
      <c r="F255" t="inlineStr">
        <is>
          <t>Kommuner</t>
        </is>
      </c>
      <c r="G255" t="n">
        <v>6.3</v>
      </c>
      <c r="H255" t="n">
        <v>0</v>
      </c>
      <c r="I255" t="n">
        <v>0</v>
      </c>
      <c r="J255" t="n">
        <v>0</v>
      </c>
      <c r="K255" t="n">
        <v>0</v>
      </c>
      <c r="L255" t="n">
        <v>0</v>
      </c>
      <c r="M255" t="n">
        <v>0</v>
      </c>
      <c r="N255" t="n">
        <v>0</v>
      </c>
      <c r="O255" t="n">
        <v>0</v>
      </c>
      <c r="P255" t="n">
        <v>0</v>
      </c>
      <c r="Q255" t="n">
        <v>0</v>
      </c>
      <c r="R255" s="2" t="inlineStr"/>
    </row>
    <row r="256" ht="15" customHeight="1">
      <c r="A256" t="inlineStr">
        <is>
          <t>A 20668-2019</t>
        </is>
      </c>
      <c r="B256" s="1" t="n">
        <v>43572</v>
      </c>
      <c r="C256" s="1" t="n">
        <v>45633</v>
      </c>
      <c r="D256" t="inlineStr">
        <is>
          <t>VÄSTERBOTTENS LÄN</t>
        </is>
      </c>
      <c r="E256" t="inlineStr">
        <is>
          <t>SKELLEFTEÅ</t>
        </is>
      </c>
      <c r="G256" t="n">
        <v>1</v>
      </c>
      <c r="H256" t="n">
        <v>0</v>
      </c>
      <c r="I256" t="n">
        <v>0</v>
      </c>
      <c r="J256" t="n">
        <v>0</v>
      </c>
      <c r="K256" t="n">
        <v>0</v>
      </c>
      <c r="L256" t="n">
        <v>0</v>
      </c>
      <c r="M256" t="n">
        <v>0</v>
      </c>
      <c r="N256" t="n">
        <v>0</v>
      </c>
      <c r="O256" t="n">
        <v>0</v>
      </c>
      <c r="P256" t="n">
        <v>0</v>
      </c>
      <c r="Q256" t="n">
        <v>0</v>
      </c>
      <c r="R256" s="2" t="inlineStr"/>
    </row>
    <row r="257" ht="15" customHeight="1">
      <c r="A257" t="inlineStr">
        <is>
          <t>A 21553-2019</t>
        </is>
      </c>
      <c r="B257" s="1" t="n">
        <v>43580</v>
      </c>
      <c r="C257" s="1" t="n">
        <v>45633</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21583-2019</t>
        </is>
      </c>
      <c r="B258" s="1" t="n">
        <v>43580</v>
      </c>
      <c r="C258" s="1" t="n">
        <v>45633</v>
      </c>
      <c r="D258" t="inlineStr">
        <is>
          <t>VÄSTERBOTTENS LÄN</t>
        </is>
      </c>
      <c r="E258" t="inlineStr">
        <is>
          <t>SKELLEFTEÅ</t>
        </is>
      </c>
      <c r="G258" t="n">
        <v>3.4</v>
      </c>
      <c r="H258" t="n">
        <v>0</v>
      </c>
      <c r="I258" t="n">
        <v>0</v>
      </c>
      <c r="J258" t="n">
        <v>0</v>
      </c>
      <c r="K258" t="n">
        <v>0</v>
      </c>
      <c r="L258" t="n">
        <v>0</v>
      </c>
      <c r="M258" t="n">
        <v>0</v>
      </c>
      <c r="N258" t="n">
        <v>0</v>
      </c>
      <c r="O258" t="n">
        <v>0</v>
      </c>
      <c r="P258" t="n">
        <v>0</v>
      </c>
      <c r="Q258" t="n">
        <v>0</v>
      </c>
      <c r="R258" s="2" t="inlineStr"/>
    </row>
    <row r="259" ht="15" customHeight="1">
      <c r="A259" t="inlineStr">
        <is>
          <t>A 22580-2019</t>
        </is>
      </c>
      <c r="B259" s="1" t="n">
        <v>43587</v>
      </c>
      <c r="C259" s="1" t="n">
        <v>45633</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23436-2019</t>
        </is>
      </c>
      <c r="B260" s="1" t="n">
        <v>43592</v>
      </c>
      <c r="C260" s="1" t="n">
        <v>45633</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23396-2019</t>
        </is>
      </c>
      <c r="B261" s="1" t="n">
        <v>43592</v>
      </c>
      <c r="C261" s="1" t="n">
        <v>45633</v>
      </c>
      <c r="D261" t="inlineStr">
        <is>
          <t>VÄSTERBOTTENS LÄN</t>
        </is>
      </c>
      <c r="E261" t="inlineStr">
        <is>
          <t>SKELLEFTEÅ</t>
        </is>
      </c>
      <c r="G261" t="n">
        <v>5.1</v>
      </c>
      <c r="H261" t="n">
        <v>0</v>
      </c>
      <c r="I261" t="n">
        <v>0</v>
      </c>
      <c r="J261" t="n">
        <v>0</v>
      </c>
      <c r="K261" t="n">
        <v>0</v>
      </c>
      <c r="L261" t="n">
        <v>0</v>
      </c>
      <c r="M261" t="n">
        <v>0</v>
      </c>
      <c r="N261" t="n">
        <v>0</v>
      </c>
      <c r="O261" t="n">
        <v>0</v>
      </c>
      <c r="P261" t="n">
        <v>0</v>
      </c>
      <c r="Q261" t="n">
        <v>0</v>
      </c>
      <c r="R261" s="2" t="inlineStr"/>
    </row>
    <row r="262" ht="15" customHeight="1">
      <c r="A262" t="inlineStr">
        <is>
          <t>A 24063-2019</t>
        </is>
      </c>
      <c r="B262" s="1" t="n">
        <v>43598</v>
      </c>
      <c r="C262" s="1" t="n">
        <v>45633</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24164-2019</t>
        </is>
      </c>
      <c r="B263" s="1" t="n">
        <v>43598</v>
      </c>
      <c r="C263" s="1" t="n">
        <v>45633</v>
      </c>
      <c r="D263" t="inlineStr">
        <is>
          <t>VÄSTERBOTTENS LÄN</t>
        </is>
      </c>
      <c r="E263" t="inlineStr">
        <is>
          <t>SKELLEFTEÅ</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24210-2019</t>
        </is>
      </c>
      <c r="B264" s="1" t="n">
        <v>43599</v>
      </c>
      <c r="C264" s="1" t="n">
        <v>45633</v>
      </c>
      <c r="D264" t="inlineStr">
        <is>
          <t>VÄSTERBOTTENS LÄN</t>
        </is>
      </c>
      <c r="E264" t="inlineStr">
        <is>
          <t>SKELLEFTEÅ</t>
        </is>
      </c>
      <c r="G264" t="n">
        <v>3.4</v>
      </c>
      <c r="H264" t="n">
        <v>0</v>
      </c>
      <c r="I264" t="n">
        <v>0</v>
      </c>
      <c r="J264" t="n">
        <v>0</v>
      </c>
      <c r="K264" t="n">
        <v>0</v>
      </c>
      <c r="L264" t="n">
        <v>0</v>
      </c>
      <c r="M264" t="n">
        <v>0</v>
      </c>
      <c r="N264" t="n">
        <v>0</v>
      </c>
      <c r="O264" t="n">
        <v>0</v>
      </c>
      <c r="P264" t="n">
        <v>0</v>
      </c>
      <c r="Q264" t="n">
        <v>0</v>
      </c>
      <c r="R264" s="2" t="inlineStr"/>
    </row>
    <row r="265" ht="15" customHeight="1">
      <c r="A265" t="inlineStr">
        <is>
          <t>A 26115-2019</t>
        </is>
      </c>
      <c r="B265" s="1" t="n">
        <v>43605</v>
      </c>
      <c r="C265" s="1" t="n">
        <v>45633</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26174-2019</t>
        </is>
      </c>
      <c r="B266" s="1" t="n">
        <v>43605</v>
      </c>
      <c r="C266" s="1" t="n">
        <v>45633</v>
      </c>
      <c r="D266" t="inlineStr">
        <is>
          <t>VÄSTERBOTTENS LÄN</t>
        </is>
      </c>
      <c r="E266" t="inlineStr">
        <is>
          <t>SKELLEFTEÅ</t>
        </is>
      </c>
      <c r="G266" t="n">
        <v>4.3</v>
      </c>
      <c r="H266" t="n">
        <v>0</v>
      </c>
      <c r="I266" t="n">
        <v>0</v>
      </c>
      <c r="J266" t="n">
        <v>0</v>
      </c>
      <c r="K266" t="n">
        <v>0</v>
      </c>
      <c r="L266" t="n">
        <v>0</v>
      </c>
      <c r="M266" t="n">
        <v>0</v>
      </c>
      <c r="N266" t="n">
        <v>0</v>
      </c>
      <c r="O266" t="n">
        <v>0</v>
      </c>
      <c r="P266" t="n">
        <v>0</v>
      </c>
      <c r="Q266" t="n">
        <v>0</v>
      </c>
      <c r="R266" s="2" t="inlineStr"/>
    </row>
    <row r="267" ht="15" customHeight="1">
      <c r="A267" t="inlineStr">
        <is>
          <t>A 26039-2019</t>
        </is>
      </c>
      <c r="B267" s="1" t="n">
        <v>43609</v>
      </c>
      <c r="C267" s="1" t="n">
        <v>45633</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26148-2019</t>
        </is>
      </c>
      <c r="B268" s="1" t="n">
        <v>43609</v>
      </c>
      <c r="C268" s="1" t="n">
        <v>45633</v>
      </c>
      <c r="D268" t="inlineStr">
        <is>
          <t>VÄSTERBOTTENS LÄN</t>
        </is>
      </c>
      <c r="E268" t="inlineStr">
        <is>
          <t>SKELLEFTEÅ</t>
        </is>
      </c>
      <c r="G268" t="n">
        <v>4.5</v>
      </c>
      <c r="H268" t="n">
        <v>0</v>
      </c>
      <c r="I268" t="n">
        <v>0</v>
      </c>
      <c r="J268" t="n">
        <v>0</v>
      </c>
      <c r="K268" t="n">
        <v>0</v>
      </c>
      <c r="L268" t="n">
        <v>0</v>
      </c>
      <c r="M268" t="n">
        <v>0</v>
      </c>
      <c r="N268" t="n">
        <v>0</v>
      </c>
      <c r="O268" t="n">
        <v>0</v>
      </c>
      <c r="P268" t="n">
        <v>0</v>
      </c>
      <c r="Q268" t="n">
        <v>0</v>
      </c>
      <c r="R268" s="2" t="inlineStr"/>
    </row>
    <row r="269" ht="15" customHeight="1">
      <c r="A269" t="inlineStr">
        <is>
          <t>A 26180-2019</t>
        </is>
      </c>
      <c r="B269" s="1" t="n">
        <v>43609</v>
      </c>
      <c r="C269" s="1" t="n">
        <v>45633</v>
      </c>
      <c r="D269" t="inlineStr">
        <is>
          <t>VÄSTERBOTTENS LÄN</t>
        </is>
      </c>
      <c r="E269" t="inlineStr">
        <is>
          <t>SKELLEFTEÅ</t>
        </is>
      </c>
      <c r="G269" t="n">
        <v>6</v>
      </c>
      <c r="H269" t="n">
        <v>0</v>
      </c>
      <c r="I269" t="n">
        <v>0</v>
      </c>
      <c r="J269" t="n">
        <v>0</v>
      </c>
      <c r="K269" t="n">
        <v>0</v>
      </c>
      <c r="L269" t="n">
        <v>0</v>
      </c>
      <c r="M269" t="n">
        <v>0</v>
      </c>
      <c r="N269" t="n">
        <v>0</v>
      </c>
      <c r="O269" t="n">
        <v>0</v>
      </c>
      <c r="P269" t="n">
        <v>0</v>
      </c>
      <c r="Q269" t="n">
        <v>0</v>
      </c>
      <c r="R269" s="2" t="inlineStr"/>
    </row>
    <row r="270" ht="15" customHeight="1">
      <c r="A270" t="inlineStr">
        <is>
          <t>A 26075-2019</t>
        </is>
      </c>
      <c r="B270" s="1" t="n">
        <v>43609</v>
      </c>
      <c r="C270" s="1" t="n">
        <v>45633</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26859-2019</t>
        </is>
      </c>
      <c r="B271" s="1" t="n">
        <v>43613</v>
      </c>
      <c r="C271" s="1" t="n">
        <v>45633</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28114-2019</t>
        </is>
      </c>
      <c r="B272" s="1" t="n">
        <v>43613</v>
      </c>
      <c r="C272" s="1" t="n">
        <v>45633</v>
      </c>
      <c r="D272" t="inlineStr">
        <is>
          <t>VÄSTERBOTTENS LÄN</t>
        </is>
      </c>
      <c r="E272" t="inlineStr">
        <is>
          <t>SKELLEFTEÅ</t>
        </is>
      </c>
      <c r="G272" t="n">
        <v>4.4</v>
      </c>
      <c r="H272" t="n">
        <v>0</v>
      </c>
      <c r="I272" t="n">
        <v>0</v>
      </c>
      <c r="J272" t="n">
        <v>0</v>
      </c>
      <c r="K272" t="n">
        <v>0</v>
      </c>
      <c r="L272" t="n">
        <v>0</v>
      </c>
      <c r="M272" t="n">
        <v>0</v>
      </c>
      <c r="N272" t="n">
        <v>0</v>
      </c>
      <c r="O272" t="n">
        <v>0</v>
      </c>
      <c r="P272" t="n">
        <v>0</v>
      </c>
      <c r="Q272" t="n">
        <v>0</v>
      </c>
      <c r="R272" s="2" t="inlineStr"/>
    </row>
    <row r="273" ht="15" customHeight="1">
      <c r="A273" t="inlineStr">
        <is>
          <t>A 26907-2019</t>
        </is>
      </c>
      <c r="B273" s="1" t="n">
        <v>43613</v>
      </c>
      <c r="C273" s="1" t="n">
        <v>45633</v>
      </c>
      <c r="D273" t="inlineStr">
        <is>
          <t>VÄSTERBOTTENS LÄN</t>
        </is>
      </c>
      <c r="E273" t="inlineStr">
        <is>
          <t>SKELLEFTEÅ</t>
        </is>
      </c>
      <c r="G273" t="n">
        <v>0.3</v>
      </c>
      <c r="H273" t="n">
        <v>0</v>
      </c>
      <c r="I273" t="n">
        <v>0</v>
      </c>
      <c r="J273" t="n">
        <v>0</v>
      </c>
      <c r="K273" t="n">
        <v>0</v>
      </c>
      <c r="L273" t="n">
        <v>0</v>
      </c>
      <c r="M273" t="n">
        <v>0</v>
      </c>
      <c r="N273" t="n">
        <v>0</v>
      </c>
      <c r="O273" t="n">
        <v>0</v>
      </c>
      <c r="P273" t="n">
        <v>0</v>
      </c>
      <c r="Q273" t="n">
        <v>0</v>
      </c>
      <c r="R273" s="2" t="inlineStr"/>
    </row>
    <row r="274" ht="15" customHeight="1">
      <c r="A274" t="inlineStr">
        <is>
          <t>A 28920-2019</t>
        </is>
      </c>
      <c r="B274" s="1" t="n">
        <v>43619</v>
      </c>
      <c r="C274" s="1" t="n">
        <v>45633</v>
      </c>
      <c r="D274" t="inlineStr">
        <is>
          <t>VÄSTERBOTTENS LÄN</t>
        </is>
      </c>
      <c r="E274" t="inlineStr">
        <is>
          <t>SKELLEFTEÅ</t>
        </is>
      </c>
      <c r="G274" t="n">
        <v>8.1</v>
      </c>
      <c r="H274" t="n">
        <v>0</v>
      </c>
      <c r="I274" t="n">
        <v>0</v>
      </c>
      <c r="J274" t="n">
        <v>0</v>
      </c>
      <c r="K274" t="n">
        <v>0</v>
      </c>
      <c r="L274" t="n">
        <v>0</v>
      </c>
      <c r="M274" t="n">
        <v>0</v>
      </c>
      <c r="N274" t="n">
        <v>0</v>
      </c>
      <c r="O274" t="n">
        <v>0</v>
      </c>
      <c r="P274" t="n">
        <v>0</v>
      </c>
      <c r="Q274" t="n">
        <v>0</v>
      </c>
      <c r="R274" s="2" t="inlineStr"/>
    </row>
    <row r="275" ht="15" customHeight="1">
      <c r="A275" t="inlineStr">
        <is>
          <t>A 28983-2019</t>
        </is>
      </c>
      <c r="B275" s="1" t="n">
        <v>43620</v>
      </c>
      <c r="C275" s="1" t="n">
        <v>45633</v>
      </c>
      <c r="D275" t="inlineStr">
        <is>
          <t>VÄSTERBOTTENS LÄN</t>
        </is>
      </c>
      <c r="E275" t="inlineStr">
        <is>
          <t>SKELLEFTEÅ</t>
        </is>
      </c>
      <c r="G275" t="n">
        <v>5.2</v>
      </c>
      <c r="H275" t="n">
        <v>0</v>
      </c>
      <c r="I275" t="n">
        <v>0</v>
      </c>
      <c r="J275" t="n">
        <v>0</v>
      </c>
      <c r="K275" t="n">
        <v>0</v>
      </c>
      <c r="L275" t="n">
        <v>0</v>
      </c>
      <c r="M275" t="n">
        <v>0</v>
      </c>
      <c r="N275" t="n">
        <v>0</v>
      </c>
      <c r="O275" t="n">
        <v>0</v>
      </c>
      <c r="P275" t="n">
        <v>0</v>
      </c>
      <c r="Q275" t="n">
        <v>0</v>
      </c>
      <c r="R275" s="2" t="inlineStr"/>
    </row>
    <row r="276" ht="15" customHeight="1">
      <c r="A276" t="inlineStr">
        <is>
          <t>A 29034-2019</t>
        </is>
      </c>
      <c r="B276" s="1" t="n">
        <v>43620</v>
      </c>
      <c r="C276" s="1" t="n">
        <v>45633</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28979-2019</t>
        </is>
      </c>
      <c r="B277" s="1" t="n">
        <v>43620</v>
      </c>
      <c r="C277" s="1" t="n">
        <v>45633</v>
      </c>
      <c r="D277" t="inlineStr">
        <is>
          <t>VÄSTERBOTTENS LÄN</t>
        </is>
      </c>
      <c r="E277" t="inlineStr">
        <is>
          <t>SKELLEFTEÅ</t>
        </is>
      </c>
      <c r="G277" t="n">
        <v>4.6</v>
      </c>
      <c r="H277" t="n">
        <v>0</v>
      </c>
      <c r="I277" t="n">
        <v>0</v>
      </c>
      <c r="J277" t="n">
        <v>0</v>
      </c>
      <c r="K277" t="n">
        <v>0</v>
      </c>
      <c r="L277" t="n">
        <v>0</v>
      </c>
      <c r="M277" t="n">
        <v>0</v>
      </c>
      <c r="N277" t="n">
        <v>0</v>
      </c>
      <c r="O277" t="n">
        <v>0</v>
      </c>
      <c r="P277" t="n">
        <v>0</v>
      </c>
      <c r="Q277" t="n">
        <v>0</v>
      </c>
      <c r="R277" s="2" t="inlineStr"/>
    </row>
    <row r="278" ht="15" customHeight="1">
      <c r="A278" t="inlineStr">
        <is>
          <t>A 28211-2019</t>
        </is>
      </c>
      <c r="B278" s="1" t="n">
        <v>43621</v>
      </c>
      <c r="C278" s="1" t="n">
        <v>45633</v>
      </c>
      <c r="D278" t="inlineStr">
        <is>
          <t>VÄSTERBOTTENS LÄN</t>
        </is>
      </c>
      <c r="E278" t="inlineStr">
        <is>
          <t>SKELLEFTEÅ</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28612-2019</t>
        </is>
      </c>
      <c r="B279" s="1" t="n">
        <v>43626</v>
      </c>
      <c r="C279" s="1" t="n">
        <v>45633</v>
      </c>
      <c r="D279" t="inlineStr">
        <is>
          <t>VÄSTERBOTTENS LÄN</t>
        </is>
      </c>
      <c r="E279" t="inlineStr">
        <is>
          <t>SKELLEFTEÅ</t>
        </is>
      </c>
      <c r="G279" t="n">
        <v>6.7</v>
      </c>
      <c r="H279" t="n">
        <v>0</v>
      </c>
      <c r="I279" t="n">
        <v>0</v>
      </c>
      <c r="J279" t="n">
        <v>0</v>
      </c>
      <c r="K279" t="n">
        <v>0</v>
      </c>
      <c r="L279" t="n">
        <v>0</v>
      </c>
      <c r="M279" t="n">
        <v>0</v>
      </c>
      <c r="N279" t="n">
        <v>0</v>
      </c>
      <c r="O279" t="n">
        <v>0</v>
      </c>
      <c r="P279" t="n">
        <v>0</v>
      </c>
      <c r="Q279" t="n">
        <v>0</v>
      </c>
      <c r="R279" s="2" t="inlineStr"/>
    </row>
    <row r="280" ht="15" customHeight="1">
      <c r="A280" t="inlineStr">
        <is>
          <t>A 28777-2019</t>
        </is>
      </c>
      <c r="B280" s="1" t="n">
        <v>43627</v>
      </c>
      <c r="C280" s="1" t="n">
        <v>45633</v>
      </c>
      <c r="D280" t="inlineStr">
        <is>
          <t>VÄSTERBOTTENS LÄN</t>
        </is>
      </c>
      <c r="E280" t="inlineStr">
        <is>
          <t>SKELLEFTEÅ</t>
        </is>
      </c>
      <c r="G280" t="n">
        <v>5</v>
      </c>
      <c r="H280" t="n">
        <v>0</v>
      </c>
      <c r="I280" t="n">
        <v>0</v>
      </c>
      <c r="J280" t="n">
        <v>0</v>
      </c>
      <c r="K280" t="n">
        <v>0</v>
      </c>
      <c r="L280" t="n">
        <v>0</v>
      </c>
      <c r="M280" t="n">
        <v>0</v>
      </c>
      <c r="N280" t="n">
        <v>0</v>
      </c>
      <c r="O280" t="n">
        <v>0</v>
      </c>
      <c r="P280" t="n">
        <v>0</v>
      </c>
      <c r="Q280" t="n">
        <v>0</v>
      </c>
      <c r="R280" s="2" t="inlineStr"/>
    </row>
    <row r="281" ht="15" customHeight="1">
      <c r="A281" t="inlineStr">
        <is>
          <t>A 29053-2019</t>
        </is>
      </c>
      <c r="B281" s="1" t="n">
        <v>43628</v>
      </c>
      <c r="C281" s="1" t="n">
        <v>45633</v>
      </c>
      <c r="D281" t="inlineStr">
        <is>
          <t>VÄSTERBOTTENS LÄN</t>
        </is>
      </c>
      <c r="E281" t="inlineStr">
        <is>
          <t>SKELLEFTEÅ</t>
        </is>
      </c>
      <c r="G281" t="n">
        <v>8.6</v>
      </c>
      <c r="H281" t="n">
        <v>0</v>
      </c>
      <c r="I281" t="n">
        <v>0</v>
      </c>
      <c r="J281" t="n">
        <v>0</v>
      </c>
      <c r="K281" t="n">
        <v>0</v>
      </c>
      <c r="L281" t="n">
        <v>0</v>
      </c>
      <c r="M281" t="n">
        <v>0</v>
      </c>
      <c r="N281" t="n">
        <v>0</v>
      </c>
      <c r="O281" t="n">
        <v>0</v>
      </c>
      <c r="P281" t="n">
        <v>0</v>
      </c>
      <c r="Q281" t="n">
        <v>0</v>
      </c>
      <c r="R281" s="2" t="inlineStr"/>
    </row>
    <row r="282" ht="15" customHeight="1">
      <c r="A282" t="inlineStr">
        <is>
          <t>A 29321-2019</t>
        </is>
      </c>
      <c r="B282" s="1" t="n">
        <v>43629</v>
      </c>
      <c r="C282" s="1" t="n">
        <v>45633</v>
      </c>
      <c r="D282" t="inlineStr">
        <is>
          <t>VÄSTERBOTTENS LÄN</t>
        </is>
      </c>
      <c r="E282" t="inlineStr">
        <is>
          <t>SKELLEFTEÅ</t>
        </is>
      </c>
      <c r="F282" t="inlineStr">
        <is>
          <t>Holmen skog AB</t>
        </is>
      </c>
      <c r="G282" t="n">
        <v>12.6</v>
      </c>
      <c r="H282" t="n">
        <v>0</v>
      </c>
      <c r="I282" t="n">
        <v>0</v>
      </c>
      <c r="J282" t="n">
        <v>0</v>
      </c>
      <c r="K282" t="n">
        <v>0</v>
      </c>
      <c r="L282" t="n">
        <v>0</v>
      </c>
      <c r="M282" t="n">
        <v>0</v>
      </c>
      <c r="N282" t="n">
        <v>0</v>
      </c>
      <c r="O282" t="n">
        <v>0</v>
      </c>
      <c r="P282" t="n">
        <v>0</v>
      </c>
      <c r="Q282" t="n">
        <v>0</v>
      </c>
      <c r="R282" s="2" t="inlineStr"/>
    </row>
    <row r="283" ht="15" customHeight="1">
      <c r="A283" t="inlineStr">
        <is>
          <t>A 29383-2019</t>
        </is>
      </c>
      <c r="B283" s="1" t="n">
        <v>43629</v>
      </c>
      <c r="C283" s="1" t="n">
        <v>45633</v>
      </c>
      <c r="D283" t="inlineStr">
        <is>
          <t>VÄSTERBOTTENS LÄN</t>
        </is>
      </c>
      <c r="E283" t="inlineStr">
        <is>
          <t>SKELLEFTEÅ</t>
        </is>
      </c>
      <c r="F283" t="inlineStr">
        <is>
          <t>Holmen skog AB</t>
        </is>
      </c>
      <c r="G283" t="n">
        <v>6.5</v>
      </c>
      <c r="H283" t="n">
        <v>0</v>
      </c>
      <c r="I283" t="n">
        <v>0</v>
      </c>
      <c r="J283" t="n">
        <v>0</v>
      </c>
      <c r="K283" t="n">
        <v>0</v>
      </c>
      <c r="L283" t="n">
        <v>0</v>
      </c>
      <c r="M283" t="n">
        <v>0</v>
      </c>
      <c r="N283" t="n">
        <v>0</v>
      </c>
      <c r="O283" t="n">
        <v>0</v>
      </c>
      <c r="P283" t="n">
        <v>0</v>
      </c>
      <c r="Q283" t="n">
        <v>0</v>
      </c>
      <c r="R283" s="2" t="inlineStr"/>
    </row>
    <row r="284" ht="15" customHeight="1">
      <c r="A284" t="inlineStr">
        <is>
          <t>A 30559-2019</t>
        </is>
      </c>
      <c r="B284" s="1" t="n">
        <v>43634</v>
      </c>
      <c r="C284" s="1" t="n">
        <v>45633</v>
      </c>
      <c r="D284" t="inlineStr">
        <is>
          <t>VÄSTERBOTTENS LÄN</t>
        </is>
      </c>
      <c r="E284" t="inlineStr">
        <is>
          <t>SKELLEFTEÅ</t>
        </is>
      </c>
      <c r="G284" t="n">
        <v>4.6</v>
      </c>
      <c r="H284" t="n">
        <v>0</v>
      </c>
      <c r="I284" t="n">
        <v>0</v>
      </c>
      <c r="J284" t="n">
        <v>0</v>
      </c>
      <c r="K284" t="n">
        <v>0</v>
      </c>
      <c r="L284" t="n">
        <v>0</v>
      </c>
      <c r="M284" t="n">
        <v>0</v>
      </c>
      <c r="N284" t="n">
        <v>0</v>
      </c>
      <c r="O284" t="n">
        <v>0</v>
      </c>
      <c r="P284" t="n">
        <v>0</v>
      </c>
      <c r="Q284" t="n">
        <v>0</v>
      </c>
      <c r="R284" s="2" t="inlineStr"/>
    </row>
    <row r="285" ht="15" customHeight="1">
      <c r="A285" t="inlineStr">
        <is>
          <t>A 30452-2019</t>
        </is>
      </c>
      <c r="B285" s="1" t="n">
        <v>43635</v>
      </c>
      <c r="C285" s="1" t="n">
        <v>45633</v>
      </c>
      <c r="D285" t="inlineStr">
        <is>
          <t>VÄSTERBOTTENS LÄN</t>
        </is>
      </c>
      <c r="E285" t="inlineStr">
        <is>
          <t>SKELLEFTEÅ</t>
        </is>
      </c>
      <c r="G285" t="n">
        <v>1.1</v>
      </c>
      <c r="H285" t="n">
        <v>0</v>
      </c>
      <c r="I285" t="n">
        <v>0</v>
      </c>
      <c r="J285" t="n">
        <v>0</v>
      </c>
      <c r="K285" t="n">
        <v>0</v>
      </c>
      <c r="L285" t="n">
        <v>0</v>
      </c>
      <c r="M285" t="n">
        <v>0</v>
      </c>
      <c r="N285" t="n">
        <v>0</v>
      </c>
      <c r="O285" t="n">
        <v>0</v>
      </c>
      <c r="P285" t="n">
        <v>0</v>
      </c>
      <c r="Q285" t="n">
        <v>0</v>
      </c>
      <c r="R285" s="2" t="inlineStr"/>
    </row>
    <row r="286" ht="15" customHeight="1">
      <c r="A286" t="inlineStr">
        <is>
          <t>A 30754-2019</t>
        </is>
      </c>
      <c r="B286" s="1" t="n">
        <v>43636</v>
      </c>
      <c r="C286" s="1" t="n">
        <v>45633</v>
      </c>
      <c r="D286" t="inlineStr">
        <is>
          <t>VÄSTERBOTTENS LÄN</t>
        </is>
      </c>
      <c r="E286" t="inlineStr">
        <is>
          <t>SKELLEFTEÅ</t>
        </is>
      </c>
      <c r="F286" t="inlineStr">
        <is>
          <t>Holmen skog AB</t>
        </is>
      </c>
      <c r="G286" t="n">
        <v>9.4</v>
      </c>
      <c r="H286" t="n">
        <v>0</v>
      </c>
      <c r="I286" t="n">
        <v>0</v>
      </c>
      <c r="J286" t="n">
        <v>0</v>
      </c>
      <c r="K286" t="n">
        <v>0</v>
      </c>
      <c r="L286" t="n">
        <v>0</v>
      </c>
      <c r="M286" t="n">
        <v>0</v>
      </c>
      <c r="N286" t="n">
        <v>0</v>
      </c>
      <c r="O286" t="n">
        <v>0</v>
      </c>
      <c r="P286" t="n">
        <v>0</v>
      </c>
      <c r="Q286" t="n">
        <v>0</v>
      </c>
      <c r="R286" s="2" t="inlineStr"/>
    </row>
    <row r="287" ht="15" customHeight="1">
      <c r="A287" t="inlineStr">
        <is>
          <t>A 30804-2019</t>
        </is>
      </c>
      <c r="B287" s="1" t="n">
        <v>43636</v>
      </c>
      <c r="C287" s="1" t="n">
        <v>45633</v>
      </c>
      <c r="D287" t="inlineStr">
        <is>
          <t>VÄSTERBOTTENS LÄN</t>
        </is>
      </c>
      <c r="E287" t="inlineStr">
        <is>
          <t>SKELLEFTEÅ</t>
        </is>
      </c>
      <c r="F287" t="inlineStr">
        <is>
          <t>Holmen skog AB</t>
        </is>
      </c>
      <c r="G287" t="n">
        <v>3.9</v>
      </c>
      <c r="H287" t="n">
        <v>0</v>
      </c>
      <c r="I287" t="n">
        <v>0</v>
      </c>
      <c r="J287" t="n">
        <v>0</v>
      </c>
      <c r="K287" t="n">
        <v>0</v>
      </c>
      <c r="L287" t="n">
        <v>0</v>
      </c>
      <c r="M287" t="n">
        <v>0</v>
      </c>
      <c r="N287" t="n">
        <v>0</v>
      </c>
      <c r="O287" t="n">
        <v>0</v>
      </c>
      <c r="P287" t="n">
        <v>0</v>
      </c>
      <c r="Q287" t="n">
        <v>0</v>
      </c>
      <c r="R287" s="2" t="inlineStr"/>
    </row>
    <row r="288" ht="15" customHeight="1">
      <c r="A288" t="inlineStr">
        <is>
          <t>A 31012-2019</t>
        </is>
      </c>
      <c r="B288" s="1" t="n">
        <v>43640</v>
      </c>
      <c r="C288" s="1" t="n">
        <v>45633</v>
      </c>
      <c r="D288" t="inlineStr">
        <is>
          <t>VÄSTERBOTTENS LÄN</t>
        </is>
      </c>
      <c r="E288" t="inlineStr">
        <is>
          <t>SKELLEFTEÅ</t>
        </is>
      </c>
      <c r="F288" t="inlineStr">
        <is>
          <t>Holmen skog AB</t>
        </is>
      </c>
      <c r="G288" t="n">
        <v>6.3</v>
      </c>
      <c r="H288" t="n">
        <v>0</v>
      </c>
      <c r="I288" t="n">
        <v>0</v>
      </c>
      <c r="J288" t="n">
        <v>0</v>
      </c>
      <c r="K288" t="n">
        <v>0</v>
      </c>
      <c r="L288" t="n">
        <v>0</v>
      </c>
      <c r="M288" t="n">
        <v>0</v>
      </c>
      <c r="N288" t="n">
        <v>0</v>
      </c>
      <c r="O288" t="n">
        <v>0</v>
      </c>
      <c r="P288" t="n">
        <v>0</v>
      </c>
      <c r="Q288" t="n">
        <v>0</v>
      </c>
      <c r="R288" s="2" t="inlineStr"/>
      <c r="U288">
        <f>HYPERLINK("https://klasma.github.io/Logging_2482/knärot/A 31012-2019 karta knärot.png", "A 31012-2019")</f>
        <v/>
      </c>
      <c r="V288">
        <f>HYPERLINK("https://klasma.github.io/Logging_2482/klagomål/A 31012-2019 FSC-klagomål.docx", "A 31012-2019")</f>
        <v/>
      </c>
      <c r="W288">
        <f>HYPERLINK("https://klasma.github.io/Logging_2482/klagomålsmail/A 31012-2019 FSC-klagomål mail.docx", "A 31012-2019")</f>
        <v/>
      </c>
      <c r="X288">
        <f>HYPERLINK("https://klasma.github.io/Logging_2482/tillsyn/A 31012-2019 tillsynsbegäran.docx", "A 31012-2019")</f>
        <v/>
      </c>
      <c r="Y288">
        <f>HYPERLINK("https://klasma.github.io/Logging_2482/tillsynsmail/A 31012-2019 tillsynsbegäran mail.docx", "A 31012-2019")</f>
        <v/>
      </c>
    </row>
    <row r="289" ht="15" customHeight="1">
      <c r="A289" t="inlineStr">
        <is>
          <t>A 31500-2019</t>
        </is>
      </c>
      <c r="B289" s="1" t="n">
        <v>43641</v>
      </c>
      <c r="C289" s="1" t="n">
        <v>45633</v>
      </c>
      <c r="D289" t="inlineStr">
        <is>
          <t>VÄSTERBOTTENS LÄN</t>
        </is>
      </c>
      <c r="E289" t="inlineStr">
        <is>
          <t>SKELLEFTEÅ</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31322-2019</t>
        </is>
      </c>
      <c r="B290" s="1" t="n">
        <v>43641</v>
      </c>
      <c r="C290" s="1" t="n">
        <v>45633</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31629-2019</t>
        </is>
      </c>
      <c r="B291" s="1" t="n">
        <v>43642</v>
      </c>
      <c r="C291" s="1" t="n">
        <v>45633</v>
      </c>
      <c r="D291" t="inlineStr">
        <is>
          <t>VÄSTERBOTTENS LÄN</t>
        </is>
      </c>
      <c r="E291" t="inlineStr">
        <is>
          <t>SKELLEFTEÅ</t>
        </is>
      </c>
      <c r="F291" t="inlineStr">
        <is>
          <t>Holmen skog AB</t>
        </is>
      </c>
      <c r="G291" t="n">
        <v>6.6</v>
      </c>
      <c r="H291" t="n">
        <v>0</v>
      </c>
      <c r="I291" t="n">
        <v>0</v>
      </c>
      <c r="J291" t="n">
        <v>0</v>
      </c>
      <c r="K291" t="n">
        <v>0</v>
      </c>
      <c r="L291" t="n">
        <v>0</v>
      </c>
      <c r="M291" t="n">
        <v>0</v>
      </c>
      <c r="N291" t="n">
        <v>0</v>
      </c>
      <c r="O291" t="n">
        <v>0</v>
      </c>
      <c r="P291" t="n">
        <v>0</v>
      </c>
      <c r="Q291" t="n">
        <v>0</v>
      </c>
      <c r="R291" s="2" t="inlineStr"/>
    </row>
    <row r="292" ht="15" customHeight="1">
      <c r="A292" t="inlineStr">
        <is>
          <t>A 32239-2019</t>
        </is>
      </c>
      <c r="B292" s="1" t="n">
        <v>43644</v>
      </c>
      <c r="C292" s="1" t="n">
        <v>45633</v>
      </c>
      <c r="D292" t="inlineStr">
        <is>
          <t>VÄSTERBOTTENS LÄN</t>
        </is>
      </c>
      <c r="E292" t="inlineStr">
        <is>
          <t>SKELLEFTEÅ</t>
        </is>
      </c>
      <c r="F292" t="inlineStr">
        <is>
          <t>Kyrkan</t>
        </is>
      </c>
      <c r="G292" t="n">
        <v>5.2</v>
      </c>
      <c r="H292" t="n">
        <v>0</v>
      </c>
      <c r="I292" t="n">
        <v>0</v>
      </c>
      <c r="J292" t="n">
        <v>0</v>
      </c>
      <c r="K292" t="n">
        <v>0</v>
      </c>
      <c r="L292" t="n">
        <v>0</v>
      </c>
      <c r="M292" t="n">
        <v>0</v>
      </c>
      <c r="N292" t="n">
        <v>0</v>
      </c>
      <c r="O292" t="n">
        <v>0</v>
      </c>
      <c r="P292" t="n">
        <v>0</v>
      </c>
      <c r="Q292" t="n">
        <v>0</v>
      </c>
      <c r="R292" s="2" t="inlineStr"/>
    </row>
    <row r="293" ht="15" customHeight="1">
      <c r="A293" t="inlineStr">
        <is>
          <t>A 32343-2019</t>
        </is>
      </c>
      <c r="B293" s="1" t="n">
        <v>43644</v>
      </c>
      <c r="C293" s="1" t="n">
        <v>45633</v>
      </c>
      <c r="D293" t="inlineStr">
        <is>
          <t>VÄSTERBOTTENS LÄN</t>
        </is>
      </c>
      <c r="E293" t="inlineStr">
        <is>
          <t>SKELLEFTEÅ</t>
        </is>
      </c>
      <c r="F293" t="inlineStr">
        <is>
          <t>Holmen skog AB</t>
        </is>
      </c>
      <c r="G293" t="n">
        <v>12.8</v>
      </c>
      <c r="H293" t="n">
        <v>0</v>
      </c>
      <c r="I293" t="n">
        <v>0</v>
      </c>
      <c r="J293" t="n">
        <v>0</v>
      </c>
      <c r="K293" t="n">
        <v>0</v>
      </c>
      <c r="L293" t="n">
        <v>0</v>
      </c>
      <c r="M293" t="n">
        <v>0</v>
      </c>
      <c r="N293" t="n">
        <v>0</v>
      </c>
      <c r="O293" t="n">
        <v>0</v>
      </c>
      <c r="P293" t="n">
        <v>0</v>
      </c>
      <c r="Q293" t="n">
        <v>0</v>
      </c>
      <c r="R293" s="2" t="inlineStr"/>
    </row>
    <row r="294" ht="15" customHeight="1">
      <c r="A294" t="inlineStr">
        <is>
          <t>A 32606-2019</t>
        </is>
      </c>
      <c r="B294" s="1" t="n">
        <v>43647</v>
      </c>
      <c r="C294" s="1" t="n">
        <v>45633</v>
      </c>
      <c r="D294" t="inlineStr">
        <is>
          <t>VÄSTERBOTTENS LÄN</t>
        </is>
      </c>
      <c r="E294" t="inlineStr">
        <is>
          <t>SKELLEFTEÅ</t>
        </is>
      </c>
      <c r="F294" t="inlineStr">
        <is>
          <t>Holmen skog AB</t>
        </is>
      </c>
      <c r="G294" t="n">
        <v>7.3</v>
      </c>
      <c r="H294" t="n">
        <v>0</v>
      </c>
      <c r="I294" t="n">
        <v>0</v>
      </c>
      <c r="J294" t="n">
        <v>0</v>
      </c>
      <c r="K294" t="n">
        <v>0</v>
      </c>
      <c r="L294" t="n">
        <v>0</v>
      </c>
      <c r="M294" t="n">
        <v>0</v>
      </c>
      <c r="N294" t="n">
        <v>0</v>
      </c>
      <c r="O294" t="n">
        <v>0</v>
      </c>
      <c r="P294" t="n">
        <v>0</v>
      </c>
      <c r="Q294" t="n">
        <v>0</v>
      </c>
      <c r="R294" s="2" t="inlineStr"/>
    </row>
    <row r="295" ht="15" customHeight="1">
      <c r="A295" t="inlineStr">
        <is>
          <t>A 34575-2019</t>
        </is>
      </c>
      <c r="B295" s="1" t="n">
        <v>43647</v>
      </c>
      <c r="C295" s="1" t="n">
        <v>45633</v>
      </c>
      <c r="D295" t="inlineStr">
        <is>
          <t>VÄSTERBOTTENS LÄN</t>
        </is>
      </c>
      <c r="E295" t="inlineStr">
        <is>
          <t>SKELLEFTEÅ</t>
        </is>
      </c>
      <c r="G295" t="n">
        <v>1.8</v>
      </c>
      <c r="H295" t="n">
        <v>0</v>
      </c>
      <c r="I295" t="n">
        <v>0</v>
      </c>
      <c r="J295" t="n">
        <v>0</v>
      </c>
      <c r="K295" t="n">
        <v>0</v>
      </c>
      <c r="L295" t="n">
        <v>0</v>
      </c>
      <c r="M295" t="n">
        <v>0</v>
      </c>
      <c r="N295" t="n">
        <v>0</v>
      </c>
      <c r="O295" t="n">
        <v>0</v>
      </c>
      <c r="P295" t="n">
        <v>0</v>
      </c>
      <c r="Q295" t="n">
        <v>0</v>
      </c>
      <c r="R295" s="2" t="inlineStr"/>
    </row>
    <row r="296" ht="15" customHeight="1">
      <c r="A296" t="inlineStr">
        <is>
          <t>A 34645-2019</t>
        </is>
      </c>
      <c r="B296" s="1" t="n">
        <v>43647</v>
      </c>
      <c r="C296" s="1" t="n">
        <v>45633</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32679-2019</t>
        </is>
      </c>
      <c r="B297" s="1" t="n">
        <v>43647</v>
      </c>
      <c r="C297" s="1" t="n">
        <v>45633</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34627-2019</t>
        </is>
      </c>
      <c r="B298" s="1" t="n">
        <v>43647</v>
      </c>
      <c r="C298" s="1" t="n">
        <v>45633</v>
      </c>
      <c r="D298" t="inlineStr">
        <is>
          <t>VÄSTERBOTTENS LÄN</t>
        </is>
      </c>
      <c r="E298" t="inlineStr">
        <is>
          <t>SKELLEFTEÅ</t>
        </is>
      </c>
      <c r="G298" t="n">
        <v>11.6</v>
      </c>
      <c r="H298" t="n">
        <v>0</v>
      </c>
      <c r="I298" t="n">
        <v>0</v>
      </c>
      <c r="J298" t="n">
        <v>0</v>
      </c>
      <c r="K298" t="n">
        <v>0</v>
      </c>
      <c r="L298" t="n">
        <v>0</v>
      </c>
      <c r="M298" t="n">
        <v>0</v>
      </c>
      <c r="N298" t="n">
        <v>0</v>
      </c>
      <c r="O298" t="n">
        <v>0</v>
      </c>
      <c r="P298" t="n">
        <v>0</v>
      </c>
      <c r="Q298" t="n">
        <v>0</v>
      </c>
      <c r="R298" s="2" t="inlineStr"/>
    </row>
    <row r="299" ht="15" customHeight="1">
      <c r="A299" t="inlineStr">
        <is>
          <t>A 32772-2019</t>
        </is>
      </c>
      <c r="B299" s="1" t="n">
        <v>43648</v>
      </c>
      <c r="C299" s="1" t="n">
        <v>45633</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32866-2019</t>
        </is>
      </c>
      <c r="B300" s="1" t="n">
        <v>43648</v>
      </c>
      <c r="C300" s="1" t="n">
        <v>45633</v>
      </c>
      <c r="D300" t="inlineStr">
        <is>
          <t>VÄSTERBOTTENS LÄN</t>
        </is>
      </c>
      <c r="E300" t="inlineStr">
        <is>
          <t>SKELLEFTEÅ</t>
        </is>
      </c>
      <c r="G300" t="n">
        <v>5.7</v>
      </c>
      <c r="H300" t="n">
        <v>0</v>
      </c>
      <c r="I300" t="n">
        <v>0</v>
      </c>
      <c r="J300" t="n">
        <v>0</v>
      </c>
      <c r="K300" t="n">
        <v>0</v>
      </c>
      <c r="L300" t="n">
        <v>0</v>
      </c>
      <c r="M300" t="n">
        <v>0</v>
      </c>
      <c r="N300" t="n">
        <v>0</v>
      </c>
      <c r="O300" t="n">
        <v>0</v>
      </c>
      <c r="P300" t="n">
        <v>0</v>
      </c>
      <c r="Q300" t="n">
        <v>0</v>
      </c>
      <c r="R300" s="2" t="inlineStr"/>
    </row>
    <row r="301" ht="15" customHeight="1">
      <c r="A301" t="inlineStr">
        <is>
          <t>A 34685-2019</t>
        </is>
      </c>
      <c r="B301" s="1" t="n">
        <v>43648</v>
      </c>
      <c r="C301" s="1" t="n">
        <v>45633</v>
      </c>
      <c r="D301" t="inlineStr">
        <is>
          <t>VÄSTERBOTTENS LÄN</t>
        </is>
      </c>
      <c r="E301" t="inlineStr">
        <is>
          <t>SKELLEFTEÅ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33063-2019</t>
        </is>
      </c>
      <c r="B302" s="1" t="n">
        <v>43649</v>
      </c>
      <c r="C302" s="1" t="n">
        <v>45633</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33058-2019</t>
        </is>
      </c>
      <c r="B303" s="1" t="n">
        <v>43649</v>
      </c>
      <c r="C303" s="1" t="n">
        <v>45633</v>
      </c>
      <c r="D303" t="inlineStr">
        <is>
          <t>VÄSTERBOTTENS LÄN</t>
        </is>
      </c>
      <c r="E303" t="inlineStr">
        <is>
          <t>SKELLEFTEÅ</t>
        </is>
      </c>
      <c r="G303" t="n">
        <v>2.7</v>
      </c>
      <c r="H303" t="n">
        <v>0</v>
      </c>
      <c r="I303" t="n">
        <v>0</v>
      </c>
      <c r="J303" t="n">
        <v>0</v>
      </c>
      <c r="K303" t="n">
        <v>0</v>
      </c>
      <c r="L303" t="n">
        <v>0</v>
      </c>
      <c r="M303" t="n">
        <v>0</v>
      </c>
      <c r="N303" t="n">
        <v>0</v>
      </c>
      <c r="O303" t="n">
        <v>0</v>
      </c>
      <c r="P303" t="n">
        <v>0</v>
      </c>
      <c r="Q303" t="n">
        <v>0</v>
      </c>
      <c r="R303" s="2" t="inlineStr"/>
    </row>
    <row r="304" ht="15" customHeight="1">
      <c r="A304" t="inlineStr">
        <is>
          <t>A 34894-2019</t>
        </is>
      </c>
      <c r="B304" s="1" t="n">
        <v>43649</v>
      </c>
      <c r="C304" s="1" t="n">
        <v>45633</v>
      </c>
      <c r="D304" t="inlineStr">
        <is>
          <t>VÄSTERBOTTENS LÄN</t>
        </is>
      </c>
      <c r="E304" t="inlineStr">
        <is>
          <t>SKELLEFTEÅ</t>
        </is>
      </c>
      <c r="G304" t="n">
        <v>20.4</v>
      </c>
      <c r="H304" t="n">
        <v>0</v>
      </c>
      <c r="I304" t="n">
        <v>0</v>
      </c>
      <c r="J304" t="n">
        <v>0</v>
      </c>
      <c r="K304" t="n">
        <v>0</v>
      </c>
      <c r="L304" t="n">
        <v>0</v>
      </c>
      <c r="M304" t="n">
        <v>0</v>
      </c>
      <c r="N304" t="n">
        <v>0</v>
      </c>
      <c r="O304" t="n">
        <v>0</v>
      </c>
      <c r="P304" t="n">
        <v>0</v>
      </c>
      <c r="Q304" t="n">
        <v>0</v>
      </c>
      <c r="R304" s="2" t="inlineStr"/>
    </row>
    <row r="305" ht="15" customHeight="1">
      <c r="A305" t="inlineStr">
        <is>
          <t>A 33193-2019</t>
        </is>
      </c>
      <c r="B305" s="1" t="n">
        <v>43649</v>
      </c>
      <c r="C305" s="1" t="n">
        <v>45633</v>
      </c>
      <c r="D305" t="inlineStr">
        <is>
          <t>VÄSTERBOTTENS LÄN</t>
        </is>
      </c>
      <c r="E305" t="inlineStr">
        <is>
          <t>SKELLEFTEÅ</t>
        </is>
      </c>
      <c r="G305" t="n">
        <v>3.1</v>
      </c>
      <c r="H305" t="n">
        <v>0</v>
      </c>
      <c r="I305" t="n">
        <v>0</v>
      </c>
      <c r="J305" t="n">
        <v>0</v>
      </c>
      <c r="K305" t="n">
        <v>0</v>
      </c>
      <c r="L305" t="n">
        <v>0</v>
      </c>
      <c r="M305" t="n">
        <v>0</v>
      </c>
      <c r="N305" t="n">
        <v>0</v>
      </c>
      <c r="O305" t="n">
        <v>0</v>
      </c>
      <c r="P305" t="n">
        <v>0</v>
      </c>
      <c r="Q305" t="n">
        <v>0</v>
      </c>
      <c r="R305" s="2" t="inlineStr"/>
    </row>
    <row r="306" ht="15" customHeight="1">
      <c r="A306" t="inlineStr">
        <is>
          <t>A 34906-2019</t>
        </is>
      </c>
      <c r="B306" s="1" t="n">
        <v>43649</v>
      </c>
      <c r="C306" s="1" t="n">
        <v>45633</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35229-2019</t>
        </is>
      </c>
      <c r="B307" s="1" t="n">
        <v>43650</v>
      </c>
      <c r="C307" s="1" t="n">
        <v>45633</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35445-2019</t>
        </is>
      </c>
      <c r="B308" s="1" t="n">
        <v>43651</v>
      </c>
      <c r="C308" s="1" t="n">
        <v>45633</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35452-2019</t>
        </is>
      </c>
      <c r="B309" s="1" t="n">
        <v>43651</v>
      </c>
      <c r="C309" s="1" t="n">
        <v>45633</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33888-2019</t>
        </is>
      </c>
      <c r="B310" s="1" t="n">
        <v>43653</v>
      </c>
      <c r="C310" s="1" t="n">
        <v>45633</v>
      </c>
      <c r="D310" t="inlineStr">
        <is>
          <t>VÄSTERBOTTENS LÄN</t>
        </is>
      </c>
      <c r="E310" t="inlineStr">
        <is>
          <t>SKELLEFTEÅ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34089-2019</t>
        </is>
      </c>
      <c r="B311" s="1" t="n">
        <v>43654</v>
      </c>
      <c r="C311" s="1" t="n">
        <v>45633</v>
      </c>
      <c r="D311" t="inlineStr">
        <is>
          <t>VÄSTERBOTTENS LÄN</t>
        </is>
      </c>
      <c r="E311" t="inlineStr">
        <is>
          <t>SKELLEFTEÅ</t>
        </is>
      </c>
      <c r="F311" t="inlineStr">
        <is>
          <t>Holmen skog AB</t>
        </is>
      </c>
      <c r="G311" t="n">
        <v>20.9</v>
      </c>
      <c r="H311" t="n">
        <v>0</v>
      </c>
      <c r="I311" t="n">
        <v>0</v>
      </c>
      <c r="J311" t="n">
        <v>0</v>
      </c>
      <c r="K311" t="n">
        <v>0</v>
      </c>
      <c r="L311" t="n">
        <v>0</v>
      </c>
      <c r="M311" t="n">
        <v>0</v>
      </c>
      <c r="N311" t="n">
        <v>0</v>
      </c>
      <c r="O311" t="n">
        <v>0</v>
      </c>
      <c r="P311" t="n">
        <v>0</v>
      </c>
      <c r="Q311" t="n">
        <v>0</v>
      </c>
      <c r="R311" s="2" t="inlineStr"/>
    </row>
    <row r="312" ht="15" customHeight="1">
      <c r="A312" t="inlineStr">
        <is>
          <t>A 34253-2019</t>
        </is>
      </c>
      <c r="B312" s="1" t="n">
        <v>43655</v>
      </c>
      <c r="C312" s="1" t="n">
        <v>45633</v>
      </c>
      <c r="D312" t="inlineStr">
        <is>
          <t>VÄSTERBOTTENS LÄN</t>
        </is>
      </c>
      <c r="E312" t="inlineStr">
        <is>
          <t>SKELLEFTEÅ</t>
        </is>
      </c>
      <c r="F312" t="inlineStr">
        <is>
          <t>Holmen skog AB</t>
        </is>
      </c>
      <c r="G312" t="n">
        <v>18.9</v>
      </c>
      <c r="H312" t="n">
        <v>0</v>
      </c>
      <c r="I312" t="n">
        <v>0</v>
      </c>
      <c r="J312" t="n">
        <v>0</v>
      </c>
      <c r="K312" t="n">
        <v>0</v>
      </c>
      <c r="L312" t="n">
        <v>0</v>
      </c>
      <c r="M312" t="n">
        <v>0</v>
      </c>
      <c r="N312" t="n">
        <v>0</v>
      </c>
      <c r="O312" t="n">
        <v>0</v>
      </c>
      <c r="P312" t="n">
        <v>0</v>
      </c>
      <c r="Q312" t="n">
        <v>0</v>
      </c>
      <c r="R312" s="2" t="inlineStr"/>
    </row>
    <row r="313" ht="15" customHeight="1">
      <c r="A313" t="inlineStr">
        <is>
          <t>A 34939-2019</t>
        </is>
      </c>
      <c r="B313" s="1" t="n">
        <v>43658</v>
      </c>
      <c r="C313" s="1" t="n">
        <v>45633</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34997-2019</t>
        </is>
      </c>
      <c r="B314" s="1" t="n">
        <v>43660</v>
      </c>
      <c r="C314" s="1" t="n">
        <v>45633</v>
      </c>
      <c r="D314" t="inlineStr">
        <is>
          <t>VÄSTERBOTTENS LÄN</t>
        </is>
      </c>
      <c r="E314" t="inlineStr">
        <is>
          <t>SKELLEFTEÅ</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35084-2019</t>
        </is>
      </c>
      <c r="B315" s="1" t="n">
        <v>43661</v>
      </c>
      <c r="C315" s="1" t="n">
        <v>45633</v>
      </c>
      <c r="D315" t="inlineStr">
        <is>
          <t>VÄSTERBOTTENS LÄN</t>
        </is>
      </c>
      <c r="E315" t="inlineStr">
        <is>
          <t>SKELLEFTEÅ</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35075-2019</t>
        </is>
      </c>
      <c r="B316" s="1" t="n">
        <v>43661</v>
      </c>
      <c r="C316" s="1" t="n">
        <v>45633</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35104-2019</t>
        </is>
      </c>
      <c r="B317" s="1" t="n">
        <v>43661</v>
      </c>
      <c r="C317" s="1" t="n">
        <v>45633</v>
      </c>
      <c r="D317" t="inlineStr">
        <is>
          <t>VÄSTERBOTTENS LÄN</t>
        </is>
      </c>
      <c r="E317" t="inlineStr">
        <is>
          <t>SKELLEFTEÅ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35120-2019</t>
        </is>
      </c>
      <c r="B318" s="1" t="n">
        <v>43661</v>
      </c>
      <c r="C318" s="1" t="n">
        <v>45633</v>
      </c>
      <c r="D318" t="inlineStr">
        <is>
          <t>VÄSTERBOTTENS LÄN</t>
        </is>
      </c>
      <c r="E318" t="inlineStr">
        <is>
          <t>SKELLEFTEÅ</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35073-2019</t>
        </is>
      </c>
      <c r="B319" s="1" t="n">
        <v>43661</v>
      </c>
      <c r="C319" s="1" t="n">
        <v>45633</v>
      </c>
      <c r="D319" t="inlineStr">
        <is>
          <t>VÄSTERBOTTENS LÄN</t>
        </is>
      </c>
      <c r="E319" t="inlineStr">
        <is>
          <t>SKELLEFTEÅ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35080-2019</t>
        </is>
      </c>
      <c r="B320" s="1" t="n">
        <v>43661</v>
      </c>
      <c r="C320" s="1" t="n">
        <v>45633</v>
      </c>
      <c r="D320" t="inlineStr">
        <is>
          <t>VÄSTERBOTTENS LÄN</t>
        </is>
      </c>
      <c r="E320" t="inlineStr">
        <is>
          <t>SKELLEFTEÅ</t>
        </is>
      </c>
      <c r="G320" t="n">
        <v>2.5</v>
      </c>
      <c r="H320" t="n">
        <v>0</v>
      </c>
      <c r="I320" t="n">
        <v>0</v>
      </c>
      <c r="J320" t="n">
        <v>0</v>
      </c>
      <c r="K320" t="n">
        <v>0</v>
      </c>
      <c r="L320" t="n">
        <v>0</v>
      </c>
      <c r="M320" t="n">
        <v>0</v>
      </c>
      <c r="N320" t="n">
        <v>0</v>
      </c>
      <c r="O320" t="n">
        <v>0</v>
      </c>
      <c r="P320" t="n">
        <v>0</v>
      </c>
      <c r="Q320" t="n">
        <v>0</v>
      </c>
      <c r="R320" s="2" t="inlineStr"/>
    </row>
    <row r="321" ht="15" customHeight="1">
      <c r="A321" t="inlineStr">
        <is>
          <t>A 35121-2019</t>
        </is>
      </c>
      <c r="B321" s="1" t="n">
        <v>43661</v>
      </c>
      <c r="C321" s="1" t="n">
        <v>45633</v>
      </c>
      <c r="D321" t="inlineStr">
        <is>
          <t>VÄSTERBOTTENS LÄN</t>
        </is>
      </c>
      <c r="E321" t="inlineStr">
        <is>
          <t>SKELLEFTEÅ</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35024-2019</t>
        </is>
      </c>
      <c r="B322" s="1" t="n">
        <v>43661</v>
      </c>
      <c r="C322" s="1" t="n">
        <v>45633</v>
      </c>
      <c r="D322" t="inlineStr">
        <is>
          <t>VÄSTERBOTTENS LÄN</t>
        </is>
      </c>
      <c r="E322" t="inlineStr">
        <is>
          <t>SKELLEFTEÅ</t>
        </is>
      </c>
      <c r="G322" t="n">
        <v>5.3</v>
      </c>
      <c r="H322" t="n">
        <v>0</v>
      </c>
      <c r="I322" t="n">
        <v>0</v>
      </c>
      <c r="J322" t="n">
        <v>0</v>
      </c>
      <c r="K322" t="n">
        <v>0</v>
      </c>
      <c r="L322" t="n">
        <v>0</v>
      </c>
      <c r="M322" t="n">
        <v>0</v>
      </c>
      <c r="N322" t="n">
        <v>0</v>
      </c>
      <c r="O322" t="n">
        <v>0</v>
      </c>
      <c r="P322" t="n">
        <v>0</v>
      </c>
      <c r="Q322" t="n">
        <v>0</v>
      </c>
      <c r="R322" s="2" t="inlineStr"/>
    </row>
    <row r="323" ht="15" customHeight="1">
      <c r="A323" t="inlineStr">
        <is>
          <t>A 35363-2019</t>
        </is>
      </c>
      <c r="B323" s="1" t="n">
        <v>43663</v>
      </c>
      <c r="C323" s="1" t="n">
        <v>45633</v>
      </c>
      <c r="D323" t="inlineStr">
        <is>
          <t>VÄSTERBOTTENS LÄN</t>
        </is>
      </c>
      <c r="E323" t="inlineStr">
        <is>
          <t>SKELLEFTEÅ</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35786-2019</t>
        </is>
      </c>
      <c r="B324" s="1" t="n">
        <v>43665</v>
      </c>
      <c r="C324" s="1" t="n">
        <v>45633</v>
      </c>
      <c r="D324" t="inlineStr">
        <is>
          <t>VÄSTERBOTTENS LÄN</t>
        </is>
      </c>
      <c r="E324" t="inlineStr">
        <is>
          <t>SKELLEFTEÅ</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36996-2019</t>
        </is>
      </c>
      <c r="B325" s="1" t="n">
        <v>43676</v>
      </c>
      <c r="C325" s="1" t="n">
        <v>45633</v>
      </c>
      <c r="D325" t="inlineStr">
        <is>
          <t>VÄSTERBOTTENS LÄN</t>
        </is>
      </c>
      <c r="E325" t="inlineStr">
        <is>
          <t>SKELLEFTEÅ</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38674-2019</t>
        </is>
      </c>
      <c r="B326" s="1" t="n">
        <v>43684</v>
      </c>
      <c r="C326" s="1" t="n">
        <v>45633</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38797-2019</t>
        </is>
      </c>
      <c r="B327" s="1" t="n">
        <v>43688</v>
      </c>
      <c r="C327" s="1" t="n">
        <v>45633</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39106-2019</t>
        </is>
      </c>
      <c r="B328" s="1" t="n">
        <v>43689</v>
      </c>
      <c r="C328" s="1" t="n">
        <v>45633</v>
      </c>
      <c r="D328" t="inlineStr">
        <is>
          <t>VÄSTERBOTTENS LÄN</t>
        </is>
      </c>
      <c r="E328" t="inlineStr">
        <is>
          <t>SKELLEFTEÅ</t>
        </is>
      </c>
      <c r="F328" t="inlineStr">
        <is>
          <t>Holmen skog AB</t>
        </is>
      </c>
      <c r="G328" t="n">
        <v>5.6</v>
      </c>
      <c r="H328" t="n">
        <v>0</v>
      </c>
      <c r="I328" t="n">
        <v>0</v>
      </c>
      <c r="J328" t="n">
        <v>0</v>
      </c>
      <c r="K328" t="n">
        <v>0</v>
      </c>
      <c r="L328" t="n">
        <v>0</v>
      </c>
      <c r="M328" t="n">
        <v>0</v>
      </c>
      <c r="N328" t="n">
        <v>0</v>
      </c>
      <c r="O328" t="n">
        <v>0</v>
      </c>
      <c r="P328" t="n">
        <v>0</v>
      </c>
      <c r="Q328" t="n">
        <v>0</v>
      </c>
      <c r="R328" s="2" t="inlineStr"/>
    </row>
    <row r="329" ht="15" customHeight="1">
      <c r="A329" t="inlineStr">
        <is>
          <t>A 38973-2019</t>
        </is>
      </c>
      <c r="B329" s="1" t="n">
        <v>43689</v>
      </c>
      <c r="C329" s="1" t="n">
        <v>45633</v>
      </c>
      <c r="D329" t="inlineStr">
        <is>
          <t>VÄSTERBOTTENS LÄN</t>
        </is>
      </c>
      <c r="E329" t="inlineStr">
        <is>
          <t>SKELLEFTEÅ</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40562-2019</t>
        </is>
      </c>
      <c r="B330" s="1" t="n">
        <v>43696</v>
      </c>
      <c r="C330" s="1" t="n">
        <v>45633</v>
      </c>
      <c r="D330" t="inlineStr">
        <is>
          <t>VÄSTERBOTTENS LÄN</t>
        </is>
      </c>
      <c r="E330" t="inlineStr">
        <is>
          <t>SKELLEFTEÅ</t>
        </is>
      </c>
      <c r="F330" t="inlineStr">
        <is>
          <t>Holmen skog AB</t>
        </is>
      </c>
      <c r="G330" t="n">
        <v>1.9</v>
      </c>
      <c r="H330" t="n">
        <v>0</v>
      </c>
      <c r="I330" t="n">
        <v>0</v>
      </c>
      <c r="J330" t="n">
        <v>0</v>
      </c>
      <c r="K330" t="n">
        <v>0</v>
      </c>
      <c r="L330" t="n">
        <v>0</v>
      </c>
      <c r="M330" t="n">
        <v>0</v>
      </c>
      <c r="N330" t="n">
        <v>0</v>
      </c>
      <c r="O330" t="n">
        <v>0</v>
      </c>
      <c r="P330" t="n">
        <v>0</v>
      </c>
      <c r="Q330" t="n">
        <v>0</v>
      </c>
      <c r="R330" s="2" t="inlineStr"/>
    </row>
    <row r="331" ht="15" customHeight="1">
      <c r="A331" t="inlineStr">
        <is>
          <t>A 41585-2019</t>
        </is>
      </c>
      <c r="B331" s="1" t="n">
        <v>43696</v>
      </c>
      <c r="C331" s="1" t="n">
        <v>45633</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41648-2019</t>
        </is>
      </c>
      <c r="B332" s="1" t="n">
        <v>43696</v>
      </c>
      <c r="C332" s="1" t="n">
        <v>45633</v>
      </c>
      <c r="D332" t="inlineStr">
        <is>
          <t>VÄSTERBOTTENS LÄN</t>
        </is>
      </c>
      <c r="E332" t="inlineStr">
        <is>
          <t>SKELLEFTEÅ</t>
        </is>
      </c>
      <c r="G332" t="n">
        <v>2.9</v>
      </c>
      <c r="H332" t="n">
        <v>0</v>
      </c>
      <c r="I332" t="n">
        <v>0</v>
      </c>
      <c r="J332" t="n">
        <v>0</v>
      </c>
      <c r="K332" t="n">
        <v>0</v>
      </c>
      <c r="L332" t="n">
        <v>0</v>
      </c>
      <c r="M332" t="n">
        <v>0</v>
      </c>
      <c r="N332" t="n">
        <v>0</v>
      </c>
      <c r="O332" t="n">
        <v>0</v>
      </c>
      <c r="P332" t="n">
        <v>0</v>
      </c>
      <c r="Q332" t="n">
        <v>0</v>
      </c>
      <c r="R332" s="2" t="inlineStr"/>
    </row>
    <row r="333" ht="15" customHeight="1">
      <c r="A333" t="inlineStr">
        <is>
          <t>A 41557-2019</t>
        </is>
      </c>
      <c r="B333" s="1" t="n">
        <v>43696</v>
      </c>
      <c r="C333" s="1" t="n">
        <v>45633</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40744-2019</t>
        </is>
      </c>
      <c r="B334" s="1" t="n">
        <v>43697</v>
      </c>
      <c r="C334" s="1" t="n">
        <v>45633</v>
      </c>
      <c r="D334" t="inlineStr">
        <is>
          <t>VÄSTERBOTTENS LÄN</t>
        </is>
      </c>
      <c r="E334" t="inlineStr">
        <is>
          <t>SKELLEFTEÅ</t>
        </is>
      </c>
      <c r="G334" t="n">
        <v>36.9</v>
      </c>
      <c r="H334" t="n">
        <v>0</v>
      </c>
      <c r="I334" t="n">
        <v>0</v>
      </c>
      <c r="J334" t="n">
        <v>0</v>
      </c>
      <c r="K334" t="n">
        <v>0</v>
      </c>
      <c r="L334" t="n">
        <v>0</v>
      </c>
      <c r="M334" t="n">
        <v>0</v>
      </c>
      <c r="N334" t="n">
        <v>0</v>
      </c>
      <c r="O334" t="n">
        <v>0</v>
      </c>
      <c r="P334" t="n">
        <v>0</v>
      </c>
      <c r="Q334" t="n">
        <v>0</v>
      </c>
      <c r="R334" s="2" t="inlineStr"/>
    </row>
    <row r="335" ht="15" customHeight="1">
      <c r="A335" t="inlineStr">
        <is>
          <t>A 40727-2019</t>
        </is>
      </c>
      <c r="B335" s="1" t="n">
        <v>43697</v>
      </c>
      <c r="C335" s="1" t="n">
        <v>45633</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41980-2019</t>
        </is>
      </c>
      <c r="B336" s="1" t="n">
        <v>43700</v>
      </c>
      <c r="C336" s="1" t="n">
        <v>45633</v>
      </c>
      <c r="D336" t="inlineStr">
        <is>
          <t>VÄSTERBOTTENS LÄN</t>
        </is>
      </c>
      <c r="E336" t="inlineStr">
        <is>
          <t>SKELLEFTEÅ</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41826-2019</t>
        </is>
      </c>
      <c r="B337" s="1" t="n">
        <v>43700</v>
      </c>
      <c r="C337" s="1" t="n">
        <v>45633</v>
      </c>
      <c r="D337" t="inlineStr">
        <is>
          <t>VÄSTERBOTTENS LÄN</t>
        </is>
      </c>
      <c r="E337" t="inlineStr">
        <is>
          <t>SKELLEFTEÅ</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42319-2019</t>
        </is>
      </c>
      <c r="B338" s="1" t="n">
        <v>43703</v>
      </c>
      <c r="C338" s="1" t="n">
        <v>45633</v>
      </c>
      <c r="D338" t="inlineStr">
        <is>
          <t>VÄSTERBOTTENS LÄN</t>
        </is>
      </c>
      <c r="E338" t="inlineStr">
        <is>
          <t>SKELLEFTEÅ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42435-2019</t>
        </is>
      </c>
      <c r="B339" s="1" t="n">
        <v>43704</v>
      </c>
      <c r="C339" s="1" t="n">
        <v>45633</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42651-2019</t>
        </is>
      </c>
      <c r="B340" s="1" t="n">
        <v>43704</v>
      </c>
      <c r="C340" s="1" t="n">
        <v>45633</v>
      </c>
      <c r="D340" t="inlineStr">
        <is>
          <t>VÄSTERBOTTENS LÄN</t>
        </is>
      </c>
      <c r="E340" t="inlineStr">
        <is>
          <t>SKELLEFTEÅ</t>
        </is>
      </c>
      <c r="F340" t="inlineStr">
        <is>
          <t>Holmen skog AB</t>
        </is>
      </c>
      <c r="G340" t="n">
        <v>2.6</v>
      </c>
      <c r="H340" t="n">
        <v>0</v>
      </c>
      <c r="I340" t="n">
        <v>0</v>
      </c>
      <c r="J340" t="n">
        <v>0</v>
      </c>
      <c r="K340" t="n">
        <v>0</v>
      </c>
      <c r="L340" t="n">
        <v>0</v>
      </c>
      <c r="M340" t="n">
        <v>0</v>
      </c>
      <c r="N340" t="n">
        <v>0</v>
      </c>
      <c r="O340" t="n">
        <v>0</v>
      </c>
      <c r="P340" t="n">
        <v>0</v>
      </c>
      <c r="Q340" t="n">
        <v>0</v>
      </c>
      <c r="R340" s="2" t="inlineStr"/>
    </row>
    <row r="341" ht="15" customHeight="1">
      <c r="A341" t="inlineStr">
        <is>
          <t>A 44461-2019</t>
        </is>
      </c>
      <c r="B341" s="1" t="n">
        <v>43705</v>
      </c>
      <c r="C341" s="1" t="n">
        <v>45633</v>
      </c>
      <c r="D341" t="inlineStr">
        <is>
          <t>VÄSTERBOTTENS LÄN</t>
        </is>
      </c>
      <c r="E341" t="inlineStr">
        <is>
          <t>SKELLEFTEÅ</t>
        </is>
      </c>
      <c r="G341" t="n">
        <v>1.7</v>
      </c>
      <c r="H341" t="n">
        <v>0</v>
      </c>
      <c r="I341" t="n">
        <v>0</v>
      </c>
      <c r="J341" t="n">
        <v>0</v>
      </c>
      <c r="K341" t="n">
        <v>0</v>
      </c>
      <c r="L341" t="n">
        <v>0</v>
      </c>
      <c r="M341" t="n">
        <v>0</v>
      </c>
      <c r="N341" t="n">
        <v>0</v>
      </c>
      <c r="O341" t="n">
        <v>0</v>
      </c>
      <c r="P341" t="n">
        <v>0</v>
      </c>
      <c r="Q341" t="n">
        <v>0</v>
      </c>
      <c r="R341" s="2" t="inlineStr"/>
    </row>
    <row r="342" ht="15" customHeight="1">
      <c r="A342" t="inlineStr">
        <is>
          <t>A 44486-2019</t>
        </is>
      </c>
      <c r="B342" s="1" t="n">
        <v>43706</v>
      </c>
      <c r="C342" s="1" t="n">
        <v>45633</v>
      </c>
      <c r="D342" t="inlineStr">
        <is>
          <t>VÄSTERBOTTENS LÄN</t>
        </is>
      </c>
      <c r="E342" t="inlineStr">
        <is>
          <t>SKELLEFTEÅ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43638-2019</t>
        </is>
      </c>
      <c r="B343" s="1" t="n">
        <v>43707</v>
      </c>
      <c r="C343" s="1" t="n">
        <v>45633</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43842-2019</t>
        </is>
      </c>
      <c r="B344" s="1" t="n">
        <v>43707</v>
      </c>
      <c r="C344" s="1" t="n">
        <v>45633</v>
      </c>
      <c r="D344" t="inlineStr">
        <is>
          <t>VÄSTERBOTTENS LÄN</t>
        </is>
      </c>
      <c r="E344" t="inlineStr">
        <is>
          <t>SKELLEFTEÅ</t>
        </is>
      </c>
      <c r="F344" t="inlineStr">
        <is>
          <t>Sveaskog</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43648-2019</t>
        </is>
      </c>
      <c r="B345" s="1" t="n">
        <v>43707</v>
      </c>
      <c r="C345" s="1" t="n">
        <v>45633</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43845-2019</t>
        </is>
      </c>
      <c r="B346" s="1" t="n">
        <v>43707</v>
      </c>
      <c r="C346" s="1" t="n">
        <v>45633</v>
      </c>
      <c r="D346" t="inlineStr">
        <is>
          <t>VÄSTERBOTTENS LÄN</t>
        </is>
      </c>
      <c r="E346" t="inlineStr">
        <is>
          <t>SKELLEFTEÅ</t>
        </is>
      </c>
      <c r="F346" t="inlineStr">
        <is>
          <t>Sveaskog</t>
        </is>
      </c>
      <c r="G346" t="n">
        <v>11.6</v>
      </c>
      <c r="H346" t="n">
        <v>0</v>
      </c>
      <c r="I346" t="n">
        <v>0</v>
      </c>
      <c r="J346" t="n">
        <v>0</v>
      </c>
      <c r="K346" t="n">
        <v>0</v>
      </c>
      <c r="L346" t="n">
        <v>0</v>
      </c>
      <c r="M346" t="n">
        <v>0</v>
      </c>
      <c r="N346" t="n">
        <v>0</v>
      </c>
      <c r="O346" t="n">
        <v>0</v>
      </c>
      <c r="P346" t="n">
        <v>0</v>
      </c>
      <c r="Q346" t="n">
        <v>0</v>
      </c>
      <c r="R346" s="2" t="inlineStr"/>
    </row>
    <row r="347" ht="15" customHeight="1">
      <c r="A347" t="inlineStr">
        <is>
          <t>A 45296-2019</t>
        </is>
      </c>
      <c r="B347" s="1" t="n">
        <v>43707</v>
      </c>
      <c r="C347" s="1" t="n">
        <v>45633</v>
      </c>
      <c r="D347" t="inlineStr">
        <is>
          <t>VÄSTERBOTTENS LÄN</t>
        </is>
      </c>
      <c r="E347" t="inlineStr">
        <is>
          <t>SKELLEFTEÅ</t>
        </is>
      </c>
      <c r="G347" t="n">
        <v>5</v>
      </c>
      <c r="H347" t="n">
        <v>0</v>
      </c>
      <c r="I347" t="n">
        <v>0</v>
      </c>
      <c r="J347" t="n">
        <v>0</v>
      </c>
      <c r="K347" t="n">
        <v>0</v>
      </c>
      <c r="L347" t="n">
        <v>0</v>
      </c>
      <c r="M347" t="n">
        <v>0</v>
      </c>
      <c r="N347" t="n">
        <v>0</v>
      </c>
      <c r="O347" t="n">
        <v>0</v>
      </c>
      <c r="P347" t="n">
        <v>0</v>
      </c>
      <c r="Q347" t="n">
        <v>0</v>
      </c>
      <c r="R347" s="2" t="inlineStr"/>
    </row>
    <row r="348" ht="15" customHeight="1">
      <c r="A348" t="inlineStr">
        <is>
          <t>A 44007-2019</t>
        </is>
      </c>
      <c r="B348" s="1" t="n">
        <v>43709</v>
      </c>
      <c r="C348" s="1" t="n">
        <v>45633</v>
      </c>
      <c r="D348" t="inlineStr">
        <is>
          <t>VÄSTERBOTTENS LÄN</t>
        </is>
      </c>
      <c r="E348" t="inlineStr">
        <is>
          <t>SKELLEFTEÅ</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44204-2019</t>
        </is>
      </c>
      <c r="B349" s="1" t="n">
        <v>43710</v>
      </c>
      <c r="C349" s="1" t="n">
        <v>45633</v>
      </c>
      <c r="D349" t="inlineStr">
        <is>
          <t>VÄSTERBOTTENS LÄN</t>
        </is>
      </c>
      <c r="E349" t="inlineStr">
        <is>
          <t>SKELLEFTEÅ</t>
        </is>
      </c>
      <c r="G349" t="n">
        <v>5.2</v>
      </c>
      <c r="H349" t="n">
        <v>0</v>
      </c>
      <c r="I349" t="n">
        <v>0</v>
      </c>
      <c r="J349" t="n">
        <v>0</v>
      </c>
      <c r="K349" t="n">
        <v>0</v>
      </c>
      <c r="L349" t="n">
        <v>0</v>
      </c>
      <c r="M349" t="n">
        <v>0</v>
      </c>
      <c r="N349" t="n">
        <v>0</v>
      </c>
      <c r="O349" t="n">
        <v>0</v>
      </c>
      <c r="P349" t="n">
        <v>0</v>
      </c>
      <c r="Q349" t="n">
        <v>0</v>
      </c>
      <c r="R349" s="2" t="inlineStr"/>
    </row>
    <row r="350" ht="15" customHeight="1">
      <c r="A350" t="inlineStr">
        <is>
          <t>A 44348-2019</t>
        </is>
      </c>
      <c r="B350" s="1" t="n">
        <v>43711</v>
      </c>
      <c r="C350" s="1" t="n">
        <v>45633</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46412-2019</t>
        </is>
      </c>
      <c r="B351" s="1" t="n">
        <v>43714</v>
      </c>
      <c r="C351" s="1" t="n">
        <v>45633</v>
      </c>
      <c r="D351" t="inlineStr">
        <is>
          <t>VÄSTERBOTTENS LÄN</t>
        </is>
      </c>
      <c r="E351" t="inlineStr">
        <is>
          <t>SKELLEFTEÅ</t>
        </is>
      </c>
      <c r="G351" t="n">
        <v>3.9</v>
      </c>
      <c r="H351" t="n">
        <v>0</v>
      </c>
      <c r="I351" t="n">
        <v>0</v>
      </c>
      <c r="J351" t="n">
        <v>0</v>
      </c>
      <c r="K351" t="n">
        <v>0</v>
      </c>
      <c r="L351" t="n">
        <v>0</v>
      </c>
      <c r="M351" t="n">
        <v>0</v>
      </c>
      <c r="N351" t="n">
        <v>0</v>
      </c>
      <c r="O351" t="n">
        <v>0</v>
      </c>
      <c r="P351" t="n">
        <v>0</v>
      </c>
      <c r="Q351" t="n">
        <v>0</v>
      </c>
      <c r="R351" s="2" t="inlineStr"/>
    </row>
    <row r="352" ht="15" customHeight="1">
      <c r="A352" t="inlineStr">
        <is>
          <t>A 46227-2019</t>
        </is>
      </c>
      <c r="B352" s="1" t="n">
        <v>43714</v>
      </c>
      <c r="C352" s="1" t="n">
        <v>45633</v>
      </c>
      <c r="D352" t="inlineStr">
        <is>
          <t>VÄSTERBOTTENS LÄN</t>
        </is>
      </c>
      <c r="E352" t="inlineStr">
        <is>
          <t>SKELLEFTEÅ</t>
        </is>
      </c>
      <c r="G352" t="n">
        <v>4.3</v>
      </c>
      <c r="H352" t="n">
        <v>0</v>
      </c>
      <c r="I352" t="n">
        <v>0</v>
      </c>
      <c r="J352" t="n">
        <v>0</v>
      </c>
      <c r="K352" t="n">
        <v>0</v>
      </c>
      <c r="L352" t="n">
        <v>0</v>
      </c>
      <c r="M352" t="n">
        <v>0</v>
      </c>
      <c r="N352" t="n">
        <v>0</v>
      </c>
      <c r="O352" t="n">
        <v>0</v>
      </c>
      <c r="P352" t="n">
        <v>0</v>
      </c>
      <c r="Q352" t="n">
        <v>0</v>
      </c>
      <c r="R352" s="2" t="inlineStr"/>
    </row>
    <row r="353" ht="15" customHeight="1">
      <c r="A353" t="inlineStr">
        <is>
          <t>A 46367-2019</t>
        </is>
      </c>
      <c r="B353" s="1" t="n">
        <v>43718</v>
      </c>
      <c r="C353" s="1" t="n">
        <v>45633</v>
      </c>
      <c r="D353" t="inlineStr">
        <is>
          <t>VÄSTERBOTTENS LÄN</t>
        </is>
      </c>
      <c r="E353" t="inlineStr">
        <is>
          <t>SKELLEFTEÅ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46355-2019</t>
        </is>
      </c>
      <c r="B354" s="1" t="n">
        <v>43718</v>
      </c>
      <c r="C354" s="1" t="n">
        <v>45633</v>
      </c>
      <c r="D354" t="inlineStr">
        <is>
          <t>VÄSTERBOTTENS LÄN</t>
        </is>
      </c>
      <c r="E354" t="inlineStr">
        <is>
          <t>SKELLEFTEÅ</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46368-2019</t>
        </is>
      </c>
      <c r="B355" s="1" t="n">
        <v>43718</v>
      </c>
      <c r="C355" s="1" t="n">
        <v>45633</v>
      </c>
      <c r="D355" t="inlineStr">
        <is>
          <t>VÄSTERBOTTENS LÄN</t>
        </is>
      </c>
      <c r="E355" t="inlineStr">
        <is>
          <t>SKELLEFTEÅ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46952-2019</t>
        </is>
      </c>
      <c r="B356" s="1" t="n">
        <v>43720</v>
      </c>
      <c r="C356" s="1" t="n">
        <v>45633</v>
      </c>
      <c r="D356" t="inlineStr">
        <is>
          <t>VÄSTERBOTTENS LÄN</t>
        </is>
      </c>
      <c r="E356" t="inlineStr">
        <is>
          <t>SKELLEFTEÅ</t>
        </is>
      </c>
      <c r="F356" t="inlineStr">
        <is>
          <t>Holmen skog AB</t>
        </is>
      </c>
      <c r="G356" t="n">
        <v>10.8</v>
      </c>
      <c r="H356" t="n">
        <v>0</v>
      </c>
      <c r="I356" t="n">
        <v>0</v>
      </c>
      <c r="J356" t="n">
        <v>0</v>
      </c>
      <c r="K356" t="n">
        <v>0</v>
      </c>
      <c r="L356" t="n">
        <v>0</v>
      </c>
      <c r="M356" t="n">
        <v>0</v>
      </c>
      <c r="N356" t="n">
        <v>0</v>
      </c>
      <c r="O356" t="n">
        <v>0</v>
      </c>
      <c r="P356" t="n">
        <v>0</v>
      </c>
      <c r="Q356" t="n">
        <v>0</v>
      </c>
      <c r="R356" s="2" t="inlineStr"/>
    </row>
    <row r="357" ht="15" customHeight="1">
      <c r="A357" t="inlineStr">
        <is>
          <t>A 46968-2019</t>
        </is>
      </c>
      <c r="B357" s="1" t="n">
        <v>43720</v>
      </c>
      <c r="C357" s="1" t="n">
        <v>45633</v>
      </c>
      <c r="D357" t="inlineStr">
        <is>
          <t>VÄSTERBOTTENS LÄN</t>
        </is>
      </c>
      <c r="E357" t="inlineStr">
        <is>
          <t>SKELLEFTEÅ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46946-2019</t>
        </is>
      </c>
      <c r="B358" s="1" t="n">
        <v>43720</v>
      </c>
      <c r="C358" s="1" t="n">
        <v>45633</v>
      </c>
      <c r="D358" t="inlineStr">
        <is>
          <t>VÄSTERBOTTENS LÄN</t>
        </is>
      </c>
      <c r="E358" t="inlineStr">
        <is>
          <t>SKELLEFTEÅ</t>
        </is>
      </c>
      <c r="F358" t="inlineStr">
        <is>
          <t>Holmen skog AB</t>
        </is>
      </c>
      <c r="G358" t="n">
        <v>13.2</v>
      </c>
      <c r="H358" t="n">
        <v>0</v>
      </c>
      <c r="I358" t="n">
        <v>0</v>
      </c>
      <c r="J358" t="n">
        <v>0</v>
      </c>
      <c r="K358" t="n">
        <v>0</v>
      </c>
      <c r="L358" t="n">
        <v>0</v>
      </c>
      <c r="M358" t="n">
        <v>0</v>
      </c>
      <c r="N358" t="n">
        <v>0</v>
      </c>
      <c r="O358" t="n">
        <v>0</v>
      </c>
      <c r="P358" t="n">
        <v>0</v>
      </c>
      <c r="Q358" t="n">
        <v>0</v>
      </c>
      <c r="R358" s="2" t="inlineStr"/>
    </row>
    <row r="359" ht="15" customHeight="1">
      <c r="A359" t="inlineStr">
        <is>
          <t>A 47224-2019</t>
        </is>
      </c>
      <c r="B359" s="1" t="n">
        <v>43720</v>
      </c>
      <c r="C359" s="1" t="n">
        <v>45633</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47091-2019</t>
        </is>
      </c>
      <c r="B360" s="1" t="n">
        <v>43720</v>
      </c>
      <c r="C360" s="1" t="n">
        <v>45633</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47452-2019</t>
        </is>
      </c>
      <c r="B361" s="1" t="n">
        <v>43721</v>
      </c>
      <c r="C361" s="1" t="n">
        <v>45633</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47460-2019</t>
        </is>
      </c>
      <c r="B362" s="1" t="n">
        <v>43721</v>
      </c>
      <c r="C362" s="1" t="n">
        <v>45633</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47535-2019</t>
        </is>
      </c>
      <c r="B363" s="1" t="n">
        <v>43721</v>
      </c>
      <c r="C363" s="1" t="n">
        <v>45633</v>
      </c>
      <c r="D363" t="inlineStr">
        <is>
          <t>VÄSTERBOTTENS LÄN</t>
        </is>
      </c>
      <c r="E363" t="inlineStr">
        <is>
          <t>SKELLEFTEÅ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47572-2019</t>
        </is>
      </c>
      <c r="B364" s="1" t="n">
        <v>43724</v>
      </c>
      <c r="C364" s="1" t="n">
        <v>45633</v>
      </c>
      <c r="D364" t="inlineStr">
        <is>
          <t>VÄSTERBOTTENS LÄN</t>
        </is>
      </c>
      <c r="E364" t="inlineStr">
        <is>
          <t>SKELLEFTEÅ</t>
        </is>
      </c>
      <c r="G364" t="n">
        <v>3.6</v>
      </c>
      <c r="H364" t="n">
        <v>0</v>
      </c>
      <c r="I364" t="n">
        <v>0</v>
      </c>
      <c r="J364" t="n">
        <v>0</v>
      </c>
      <c r="K364" t="n">
        <v>0</v>
      </c>
      <c r="L364" t="n">
        <v>0</v>
      </c>
      <c r="M364" t="n">
        <v>0</v>
      </c>
      <c r="N364" t="n">
        <v>0</v>
      </c>
      <c r="O364" t="n">
        <v>0</v>
      </c>
      <c r="P364" t="n">
        <v>0</v>
      </c>
      <c r="Q364" t="n">
        <v>0</v>
      </c>
      <c r="R364" s="2" t="inlineStr"/>
    </row>
    <row r="365" ht="15" customHeight="1">
      <c r="A365" t="inlineStr">
        <is>
          <t>A 47643-2019</t>
        </is>
      </c>
      <c r="B365" s="1" t="n">
        <v>43724</v>
      </c>
      <c r="C365" s="1" t="n">
        <v>45633</v>
      </c>
      <c r="D365" t="inlineStr">
        <is>
          <t>VÄSTERBOTTENS LÄN</t>
        </is>
      </c>
      <c r="E365" t="inlineStr">
        <is>
          <t>SKELLEFTEÅ</t>
        </is>
      </c>
      <c r="G365" t="n">
        <v>3.5</v>
      </c>
      <c r="H365" t="n">
        <v>0</v>
      </c>
      <c r="I365" t="n">
        <v>0</v>
      </c>
      <c r="J365" t="n">
        <v>0</v>
      </c>
      <c r="K365" t="n">
        <v>0</v>
      </c>
      <c r="L365" t="n">
        <v>0</v>
      </c>
      <c r="M365" t="n">
        <v>0</v>
      </c>
      <c r="N365" t="n">
        <v>0</v>
      </c>
      <c r="O365" t="n">
        <v>0</v>
      </c>
      <c r="P365" t="n">
        <v>0</v>
      </c>
      <c r="Q365" t="n">
        <v>0</v>
      </c>
      <c r="R365" s="2" t="inlineStr"/>
    </row>
    <row r="366" ht="15" customHeight="1">
      <c r="A366" t="inlineStr">
        <is>
          <t>A 48592-2019</t>
        </is>
      </c>
      <c r="B366" s="1" t="n">
        <v>43727</v>
      </c>
      <c r="C366" s="1" t="n">
        <v>45633</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48786-2019</t>
        </is>
      </c>
      <c r="B367" s="1" t="n">
        <v>43727</v>
      </c>
      <c r="C367" s="1" t="n">
        <v>45633</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48957-2019</t>
        </is>
      </c>
      <c r="B368" s="1" t="n">
        <v>43728</v>
      </c>
      <c r="C368" s="1" t="n">
        <v>45633</v>
      </c>
      <c r="D368" t="inlineStr">
        <is>
          <t>VÄSTERBOTTENS LÄN</t>
        </is>
      </c>
      <c r="E368" t="inlineStr">
        <is>
          <t>SKELLEFTEÅ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49617-2019</t>
        </is>
      </c>
      <c r="B369" s="1" t="n">
        <v>43728</v>
      </c>
      <c r="C369" s="1" t="n">
        <v>45633</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49464-2019</t>
        </is>
      </c>
      <c r="B370" s="1" t="n">
        <v>43728</v>
      </c>
      <c r="C370" s="1" t="n">
        <v>45633</v>
      </c>
      <c r="D370" t="inlineStr">
        <is>
          <t>VÄSTERBOTTENS LÄN</t>
        </is>
      </c>
      <c r="E370" t="inlineStr">
        <is>
          <t>SKELLEFTEÅ</t>
        </is>
      </c>
      <c r="G370" t="n">
        <v>7.1</v>
      </c>
      <c r="H370" t="n">
        <v>0</v>
      </c>
      <c r="I370" t="n">
        <v>0</v>
      </c>
      <c r="J370" t="n">
        <v>0</v>
      </c>
      <c r="K370" t="n">
        <v>0</v>
      </c>
      <c r="L370" t="n">
        <v>0</v>
      </c>
      <c r="M370" t="n">
        <v>0</v>
      </c>
      <c r="N370" t="n">
        <v>0</v>
      </c>
      <c r="O370" t="n">
        <v>0</v>
      </c>
      <c r="P370" t="n">
        <v>0</v>
      </c>
      <c r="Q370" t="n">
        <v>0</v>
      </c>
      <c r="R370" s="2" t="inlineStr"/>
    </row>
    <row r="371" ht="15" customHeight="1">
      <c r="A371" t="inlineStr">
        <is>
          <t>A 49712-2019</t>
        </is>
      </c>
      <c r="B371" s="1" t="n">
        <v>43728</v>
      </c>
      <c r="C371" s="1" t="n">
        <v>45633</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49005-2019</t>
        </is>
      </c>
      <c r="B372" s="1" t="n">
        <v>43730</v>
      </c>
      <c r="C372" s="1" t="n">
        <v>45633</v>
      </c>
      <c r="D372" t="inlineStr">
        <is>
          <t>VÄSTERBOTTENS LÄN</t>
        </is>
      </c>
      <c r="E372" t="inlineStr">
        <is>
          <t>SKELLEFTEÅ</t>
        </is>
      </c>
      <c r="F372" t="inlineStr">
        <is>
          <t>Holmen skog AB</t>
        </is>
      </c>
      <c r="G372" t="n">
        <v>5.5</v>
      </c>
      <c r="H372" t="n">
        <v>0</v>
      </c>
      <c r="I372" t="n">
        <v>0</v>
      </c>
      <c r="J372" t="n">
        <v>0</v>
      </c>
      <c r="K372" t="n">
        <v>0</v>
      </c>
      <c r="L372" t="n">
        <v>0</v>
      </c>
      <c r="M372" t="n">
        <v>0</v>
      </c>
      <c r="N372" t="n">
        <v>0</v>
      </c>
      <c r="O372" t="n">
        <v>0</v>
      </c>
      <c r="P372" t="n">
        <v>0</v>
      </c>
      <c r="Q372" t="n">
        <v>0</v>
      </c>
      <c r="R372" s="2" t="inlineStr"/>
    </row>
    <row r="373" ht="15" customHeight="1">
      <c r="A373" t="inlineStr">
        <is>
          <t>A 49327-2019</t>
        </is>
      </c>
      <c r="B373" s="1" t="n">
        <v>43731</v>
      </c>
      <c r="C373" s="1" t="n">
        <v>45633</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49282-2019</t>
        </is>
      </c>
      <c r="B374" s="1" t="n">
        <v>43731</v>
      </c>
      <c r="C374" s="1" t="n">
        <v>45633</v>
      </c>
      <c r="D374" t="inlineStr">
        <is>
          <t>VÄSTERBOTTENS LÄN</t>
        </is>
      </c>
      <c r="E374" t="inlineStr">
        <is>
          <t>SKELLEFTEÅ</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49312-2019</t>
        </is>
      </c>
      <c r="B375" s="1" t="n">
        <v>43731</v>
      </c>
      <c r="C375" s="1" t="n">
        <v>45633</v>
      </c>
      <c r="D375" t="inlineStr">
        <is>
          <t>VÄSTERBOTTENS LÄN</t>
        </is>
      </c>
      <c r="E375" t="inlineStr">
        <is>
          <t>SKELLEFTEÅ</t>
        </is>
      </c>
      <c r="G375" t="n">
        <v>1.8</v>
      </c>
      <c r="H375" t="n">
        <v>0</v>
      </c>
      <c r="I375" t="n">
        <v>0</v>
      </c>
      <c r="J375" t="n">
        <v>0</v>
      </c>
      <c r="K375" t="n">
        <v>0</v>
      </c>
      <c r="L375" t="n">
        <v>0</v>
      </c>
      <c r="M375" t="n">
        <v>0</v>
      </c>
      <c r="N375" t="n">
        <v>0</v>
      </c>
      <c r="O375" t="n">
        <v>0</v>
      </c>
      <c r="P375" t="n">
        <v>0</v>
      </c>
      <c r="Q375" t="n">
        <v>0</v>
      </c>
      <c r="R375" s="2" t="inlineStr"/>
    </row>
    <row r="376" ht="15" customHeight="1">
      <c r="A376" t="inlineStr">
        <is>
          <t>A 49792-2019</t>
        </is>
      </c>
      <c r="B376" s="1" t="n">
        <v>43733</v>
      </c>
      <c r="C376" s="1" t="n">
        <v>45633</v>
      </c>
      <c r="D376" t="inlineStr">
        <is>
          <t>VÄSTERBOTTENS LÄN</t>
        </is>
      </c>
      <c r="E376" t="inlineStr">
        <is>
          <t>SKELLEFTEÅ</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49793-2019</t>
        </is>
      </c>
      <c r="B377" s="1" t="n">
        <v>43733</v>
      </c>
      <c r="C377" s="1" t="n">
        <v>45633</v>
      </c>
      <c r="D377" t="inlineStr">
        <is>
          <t>VÄSTERBOTTENS LÄN</t>
        </is>
      </c>
      <c r="E377" t="inlineStr">
        <is>
          <t>SKELLEFTEÅ</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50518-2019</t>
        </is>
      </c>
      <c r="B378" s="1" t="n">
        <v>43733</v>
      </c>
      <c r="C378" s="1" t="n">
        <v>45633</v>
      </c>
      <c r="D378" t="inlineStr">
        <is>
          <t>VÄSTERBOTTENS LÄN</t>
        </is>
      </c>
      <c r="E378" t="inlineStr">
        <is>
          <t>SKELLEFTEÅ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50515-2019</t>
        </is>
      </c>
      <c r="B379" s="1" t="n">
        <v>43733</v>
      </c>
      <c r="C379" s="1" t="n">
        <v>45633</v>
      </c>
      <c r="D379" t="inlineStr">
        <is>
          <t>VÄSTERBOTTENS LÄN</t>
        </is>
      </c>
      <c r="E379" t="inlineStr">
        <is>
          <t>SKELLEFTEÅ</t>
        </is>
      </c>
      <c r="G379" t="n">
        <v>3.1</v>
      </c>
      <c r="H379" t="n">
        <v>0</v>
      </c>
      <c r="I379" t="n">
        <v>0</v>
      </c>
      <c r="J379" t="n">
        <v>0</v>
      </c>
      <c r="K379" t="n">
        <v>0</v>
      </c>
      <c r="L379" t="n">
        <v>0</v>
      </c>
      <c r="M379" t="n">
        <v>0</v>
      </c>
      <c r="N379" t="n">
        <v>0</v>
      </c>
      <c r="O379" t="n">
        <v>0</v>
      </c>
      <c r="P379" t="n">
        <v>0</v>
      </c>
      <c r="Q379" t="n">
        <v>0</v>
      </c>
      <c r="R379" s="2" t="inlineStr"/>
    </row>
    <row r="380" ht="15" customHeight="1">
      <c r="A380" t="inlineStr">
        <is>
          <t>A 50572-2019</t>
        </is>
      </c>
      <c r="B380" s="1" t="n">
        <v>43735</v>
      </c>
      <c r="C380" s="1" t="n">
        <v>45633</v>
      </c>
      <c r="D380" t="inlineStr">
        <is>
          <t>VÄSTERBOTTENS LÄN</t>
        </is>
      </c>
      <c r="E380" t="inlineStr">
        <is>
          <t>SKELLEFTEÅ</t>
        </is>
      </c>
      <c r="F380" t="inlineStr">
        <is>
          <t>Sveaskog</t>
        </is>
      </c>
      <c r="G380" t="n">
        <v>12.1</v>
      </c>
      <c r="H380" t="n">
        <v>0</v>
      </c>
      <c r="I380" t="n">
        <v>0</v>
      </c>
      <c r="J380" t="n">
        <v>0</v>
      </c>
      <c r="K380" t="n">
        <v>0</v>
      </c>
      <c r="L380" t="n">
        <v>0</v>
      </c>
      <c r="M380" t="n">
        <v>0</v>
      </c>
      <c r="N380" t="n">
        <v>0</v>
      </c>
      <c r="O380" t="n">
        <v>0</v>
      </c>
      <c r="P380" t="n">
        <v>0</v>
      </c>
      <c r="Q380" t="n">
        <v>0</v>
      </c>
      <c r="R380" s="2" t="inlineStr"/>
    </row>
    <row r="381" ht="15" customHeight="1">
      <c r="A381" t="inlineStr">
        <is>
          <t>A 50568-2019</t>
        </is>
      </c>
      <c r="B381" s="1" t="n">
        <v>43735</v>
      </c>
      <c r="C381" s="1" t="n">
        <v>45633</v>
      </c>
      <c r="D381" t="inlineStr">
        <is>
          <t>VÄSTERBOTTENS LÄN</t>
        </is>
      </c>
      <c r="E381" t="inlineStr">
        <is>
          <t>SKELLEFTEÅ</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50574-2019</t>
        </is>
      </c>
      <c r="B382" s="1" t="n">
        <v>43735</v>
      </c>
      <c r="C382" s="1" t="n">
        <v>45633</v>
      </c>
      <c r="D382" t="inlineStr">
        <is>
          <t>VÄSTERBOTTENS LÄN</t>
        </is>
      </c>
      <c r="E382" t="inlineStr">
        <is>
          <t>SKELLEFTEÅ</t>
        </is>
      </c>
      <c r="F382" t="inlineStr">
        <is>
          <t>Sveaskog</t>
        </is>
      </c>
      <c r="G382" t="n">
        <v>7.8</v>
      </c>
      <c r="H382" t="n">
        <v>0</v>
      </c>
      <c r="I382" t="n">
        <v>0</v>
      </c>
      <c r="J382" t="n">
        <v>0</v>
      </c>
      <c r="K382" t="n">
        <v>0</v>
      </c>
      <c r="L382" t="n">
        <v>0</v>
      </c>
      <c r="M382" t="n">
        <v>0</v>
      </c>
      <c r="N382" t="n">
        <v>0</v>
      </c>
      <c r="O382" t="n">
        <v>0</v>
      </c>
      <c r="P382" t="n">
        <v>0</v>
      </c>
      <c r="Q382" t="n">
        <v>0</v>
      </c>
      <c r="R382" s="2" t="inlineStr"/>
    </row>
    <row r="383" ht="15" customHeight="1">
      <c r="A383" t="inlineStr">
        <is>
          <t>A 50576-2019</t>
        </is>
      </c>
      <c r="B383" s="1" t="n">
        <v>43735</v>
      </c>
      <c r="C383" s="1" t="n">
        <v>45633</v>
      </c>
      <c r="D383" t="inlineStr">
        <is>
          <t>VÄSTERBOTTENS LÄN</t>
        </is>
      </c>
      <c r="E383" t="inlineStr">
        <is>
          <t>SKELLEFTEÅ</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53194-2019</t>
        </is>
      </c>
      <c r="B384" s="1" t="n">
        <v>43735</v>
      </c>
      <c r="C384" s="1" t="n">
        <v>45633</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50872-2019</t>
        </is>
      </c>
      <c r="B385" s="1" t="n">
        <v>43738</v>
      </c>
      <c r="C385" s="1" t="n">
        <v>45633</v>
      </c>
      <c r="D385" t="inlineStr">
        <is>
          <t>VÄSTERBOTTENS LÄN</t>
        </is>
      </c>
      <c r="E385" t="inlineStr">
        <is>
          <t>SKELLEFTEÅ</t>
        </is>
      </c>
      <c r="F385" t="inlineStr">
        <is>
          <t>Holmen skog AB</t>
        </is>
      </c>
      <c r="G385" t="n">
        <v>11.5</v>
      </c>
      <c r="H385" t="n">
        <v>0</v>
      </c>
      <c r="I385" t="n">
        <v>0</v>
      </c>
      <c r="J385" t="n">
        <v>0</v>
      </c>
      <c r="K385" t="n">
        <v>0</v>
      </c>
      <c r="L385" t="n">
        <v>0</v>
      </c>
      <c r="M385" t="n">
        <v>0</v>
      </c>
      <c r="N385" t="n">
        <v>0</v>
      </c>
      <c r="O385" t="n">
        <v>0</v>
      </c>
      <c r="P385" t="n">
        <v>0</v>
      </c>
      <c r="Q385" t="n">
        <v>0</v>
      </c>
      <c r="R385" s="2" t="inlineStr"/>
    </row>
    <row r="386" ht="15" customHeight="1">
      <c r="A386" t="inlineStr">
        <is>
          <t>A 53311-2019</t>
        </is>
      </c>
      <c r="B386" s="1" t="n">
        <v>43740</v>
      </c>
      <c r="C386" s="1" t="n">
        <v>45633</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53557-2019</t>
        </is>
      </c>
      <c r="B387" s="1" t="n">
        <v>43740</v>
      </c>
      <c r="C387" s="1" t="n">
        <v>45633</v>
      </c>
      <c r="D387" t="inlineStr">
        <is>
          <t>VÄSTERBOTTENS LÄN</t>
        </is>
      </c>
      <c r="E387" t="inlineStr">
        <is>
          <t>SKELLEFTEÅ</t>
        </is>
      </c>
      <c r="G387" t="n">
        <v>2.8</v>
      </c>
      <c r="H387" t="n">
        <v>0</v>
      </c>
      <c r="I387" t="n">
        <v>0</v>
      </c>
      <c r="J387" t="n">
        <v>0</v>
      </c>
      <c r="K387" t="n">
        <v>0</v>
      </c>
      <c r="L387" t="n">
        <v>0</v>
      </c>
      <c r="M387" t="n">
        <v>0</v>
      </c>
      <c r="N387" t="n">
        <v>0</v>
      </c>
      <c r="O387" t="n">
        <v>0</v>
      </c>
      <c r="P387" t="n">
        <v>0</v>
      </c>
      <c r="Q387" t="n">
        <v>0</v>
      </c>
      <c r="R387" s="2" t="inlineStr"/>
    </row>
    <row r="388" ht="15" customHeight="1">
      <c r="A388" t="inlineStr">
        <is>
          <t>A 54004-2019</t>
        </is>
      </c>
      <c r="B388" s="1" t="n">
        <v>43742</v>
      </c>
      <c r="C388" s="1" t="n">
        <v>45633</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52019-2019</t>
        </is>
      </c>
      <c r="B389" s="1" t="n">
        <v>43742</v>
      </c>
      <c r="C389" s="1" t="n">
        <v>45633</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53980-2019</t>
        </is>
      </c>
      <c r="B390" s="1" t="n">
        <v>43742</v>
      </c>
      <c r="C390" s="1" t="n">
        <v>45633</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52469-2019</t>
        </is>
      </c>
      <c r="B391" s="1" t="n">
        <v>43745</v>
      </c>
      <c r="C391" s="1" t="n">
        <v>45633</v>
      </c>
      <c r="D391" t="inlineStr">
        <is>
          <t>VÄSTERBOTTENS LÄN</t>
        </is>
      </c>
      <c r="E391" t="inlineStr">
        <is>
          <t>SKELLEFTEÅ</t>
        </is>
      </c>
      <c r="G391" t="n">
        <v>7.3</v>
      </c>
      <c r="H391" t="n">
        <v>0</v>
      </c>
      <c r="I391" t="n">
        <v>0</v>
      </c>
      <c r="J391" t="n">
        <v>0</v>
      </c>
      <c r="K391" t="n">
        <v>0</v>
      </c>
      <c r="L391" t="n">
        <v>0</v>
      </c>
      <c r="M391" t="n">
        <v>0</v>
      </c>
      <c r="N391" t="n">
        <v>0</v>
      </c>
      <c r="O391" t="n">
        <v>0</v>
      </c>
      <c r="P391" t="n">
        <v>0</v>
      </c>
      <c r="Q391" t="n">
        <v>0</v>
      </c>
      <c r="R391" s="2" t="inlineStr"/>
    </row>
    <row r="392" ht="15" customHeight="1">
      <c r="A392" t="inlineStr">
        <is>
          <t>A 52506-2019</t>
        </is>
      </c>
      <c r="B392" s="1" t="n">
        <v>43745</v>
      </c>
      <c r="C392" s="1" t="n">
        <v>45633</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52471-2019</t>
        </is>
      </c>
      <c r="B393" s="1" t="n">
        <v>43745</v>
      </c>
      <c r="C393" s="1" t="n">
        <v>45633</v>
      </c>
      <c r="D393" t="inlineStr">
        <is>
          <t>VÄSTERBOTTENS LÄN</t>
        </is>
      </c>
      <c r="E393" t="inlineStr">
        <is>
          <t>SKELLEFTEÅ</t>
        </is>
      </c>
      <c r="G393" t="n">
        <v>7.8</v>
      </c>
      <c r="H393" t="n">
        <v>0</v>
      </c>
      <c r="I393" t="n">
        <v>0</v>
      </c>
      <c r="J393" t="n">
        <v>0</v>
      </c>
      <c r="K393" t="n">
        <v>0</v>
      </c>
      <c r="L393" t="n">
        <v>0</v>
      </c>
      <c r="M393" t="n">
        <v>0</v>
      </c>
      <c r="N393" t="n">
        <v>0</v>
      </c>
      <c r="O393" t="n">
        <v>0</v>
      </c>
      <c r="P393" t="n">
        <v>0</v>
      </c>
      <c r="Q393" t="n">
        <v>0</v>
      </c>
      <c r="R393" s="2" t="inlineStr"/>
    </row>
    <row r="394" ht="15" customHeight="1">
      <c r="A394" t="inlineStr">
        <is>
          <t>A 52484-2019</t>
        </is>
      </c>
      <c r="B394" s="1" t="n">
        <v>43745</v>
      </c>
      <c r="C394" s="1" t="n">
        <v>45633</v>
      </c>
      <c r="D394" t="inlineStr">
        <is>
          <t>VÄSTERBOTTENS LÄN</t>
        </is>
      </c>
      <c r="E394" t="inlineStr">
        <is>
          <t>SKELLEFTEÅ</t>
        </is>
      </c>
      <c r="G394" t="n">
        <v>9</v>
      </c>
      <c r="H394" t="n">
        <v>0</v>
      </c>
      <c r="I394" t="n">
        <v>0</v>
      </c>
      <c r="J394" t="n">
        <v>0</v>
      </c>
      <c r="K394" t="n">
        <v>0</v>
      </c>
      <c r="L394" t="n">
        <v>0</v>
      </c>
      <c r="M394" t="n">
        <v>0</v>
      </c>
      <c r="N394" t="n">
        <v>0</v>
      </c>
      <c r="O394" t="n">
        <v>0</v>
      </c>
      <c r="P394" t="n">
        <v>0</v>
      </c>
      <c r="Q394" t="n">
        <v>0</v>
      </c>
      <c r="R394" s="2" t="inlineStr"/>
    </row>
    <row r="395" ht="15" customHeight="1">
      <c r="A395" t="inlineStr">
        <is>
          <t>A 52546-2019</t>
        </is>
      </c>
      <c r="B395" s="1" t="n">
        <v>43745</v>
      </c>
      <c r="C395" s="1" t="n">
        <v>45633</v>
      </c>
      <c r="D395" t="inlineStr">
        <is>
          <t>VÄSTERBOTTENS LÄN</t>
        </is>
      </c>
      <c r="E395" t="inlineStr">
        <is>
          <t>SKELLEFTEÅ</t>
        </is>
      </c>
      <c r="G395" t="n">
        <v>4</v>
      </c>
      <c r="H395" t="n">
        <v>0</v>
      </c>
      <c r="I395" t="n">
        <v>0</v>
      </c>
      <c r="J395" t="n">
        <v>0</v>
      </c>
      <c r="K395" t="n">
        <v>0</v>
      </c>
      <c r="L395" t="n">
        <v>0</v>
      </c>
      <c r="M395" t="n">
        <v>0</v>
      </c>
      <c r="N395" t="n">
        <v>0</v>
      </c>
      <c r="O395" t="n">
        <v>0</v>
      </c>
      <c r="P395" t="n">
        <v>0</v>
      </c>
      <c r="Q395" t="n">
        <v>0</v>
      </c>
      <c r="R395" s="2" t="inlineStr"/>
    </row>
    <row r="396" ht="15" customHeight="1">
      <c r="A396" t="inlineStr">
        <is>
          <t>A 52953-2019</t>
        </is>
      </c>
      <c r="B396" s="1" t="n">
        <v>43747</v>
      </c>
      <c r="C396" s="1" t="n">
        <v>45633</v>
      </c>
      <c r="D396" t="inlineStr">
        <is>
          <t>VÄSTERBOTTENS LÄN</t>
        </is>
      </c>
      <c r="E396" t="inlineStr">
        <is>
          <t>SKELLEFTEÅ</t>
        </is>
      </c>
      <c r="G396" t="n">
        <v>5.6</v>
      </c>
      <c r="H396" t="n">
        <v>0</v>
      </c>
      <c r="I396" t="n">
        <v>0</v>
      </c>
      <c r="J396" t="n">
        <v>0</v>
      </c>
      <c r="K396" t="n">
        <v>0</v>
      </c>
      <c r="L396" t="n">
        <v>0</v>
      </c>
      <c r="M396" t="n">
        <v>0</v>
      </c>
      <c r="N396" t="n">
        <v>0</v>
      </c>
      <c r="O396" t="n">
        <v>0</v>
      </c>
      <c r="P396" t="n">
        <v>0</v>
      </c>
      <c r="Q396" t="n">
        <v>0</v>
      </c>
      <c r="R396" s="2" t="inlineStr"/>
    </row>
    <row r="397" ht="15" customHeight="1">
      <c r="A397" t="inlineStr">
        <is>
          <t>A 54742-2019</t>
        </is>
      </c>
      <c r="B397" s="1" t="n">
        <v>43748</v>
      </c>
      <c r="C397" s="1" t="n">
        <v>45633</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53584-2019</t>
        </is>
      </c>
      <c r="B398" s="1" t="n">
        <v>43749</v>
      </c>
      <c r="C398" s="1" t="n">
        <v>45633</v>
      </c>
      <c r="D398" t="inlineStr">
        <is>
          <t>VÄSTERBOTTENS LÄN</t>
        </is>
      </c>
      <c r="E398" t="inlineStr">
        <is>
          <t>SKELLEFTEÅ</t>
        </is>
      </c>
      <c r="G398" t="n">
        <v>11.4</v>
      </c>
      <c r="H398" t="n">
        <v>0</v>
      </c>
      <c r="I398" t="n">
        <v>0</v>
      </c>
      <c r="J398" t="n">
        <v>0</v>
      </c>
      <c r="K398" t="n">
        <v>0</v>
      </c>
      <c r="L398" t="n">
        <v>0</v>
      </c>
      <c r="M398" t="n">
        <v>0</v>
      </c>
      <c r="N398" t="n">
        <v>0</v>
      </c>
      <c r="O398" t="n">
        <v>0</v>
      </c>
      <c r="P398" t="n">
        <v>0</v>
      </c>
      <c r="Q398" t="n">
        <v>0</v>
      </c>
      <c r="R398" s="2" t="inlineStr"/>
    </row>
    <row r="399" ht="15" customHeight="1">
      <c r="A399" t="inlineStr">
        <is>
          <t>A 54935-2019</t>
        </is>
      </c>
      <c r="B399" s="1" t="n">
        <v>43749</v>
      </c>
      <c r="C399" s="1" t="n">
        <v>45633</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54920-2019</t>
        </is>
      </c>
      <c r="B400" s="1" t="n">
        <v>43749</v>
      </c>
      <c r="C400" s="1" t="n">
        <v>45633</v>
      </c>
      <c r="D400" t="inlineStr">
        <is>
          <t>VÄSTERBOTTENS LÄN</t>
        </is>
      </c>
      <c r="E400" t="inlineStr">
        <is>
          <t>SKELLEFTEÅ</t>
        </is>
      </c>
      <c r="G400" t="n">
        <v>24.3</v>
      </c>
      <c r="H400" t="n">
        <v>0</v>
      </c>
      <c r="I400" t="n">
        <v>0</v>
      </c>
      <c r="J400" t="n">
        <v>0</v>
      </c>
      <c r="K400" t="n">
        <v>0</v>
      </c>
      <c r="L400" t="n">
        <v>0</v>
      </c>
      <c r="M400" t="n">
        <v>0</v>
      </c>
      <c r="N400" t="n">
        <v>0</v>
      </c>
      <c r="O400" t="n">
        <v>0</v>
      </c>
      <c r="P400" t="n">
        <v>0</v>
      </c>
      <c r="Q400" t="n">
        <v>0</v>
      </c>
      <c r="R400" s="2" t="inlineStr"/>
    </row>
    <row r="401" ht="15" customHeight="1">
      <c r="A401" t="inlineStr">
        <is>
          <t>A 54939-2019</t>
        </is>
      </c>
      <c r="B401" s="1" t="n">
        <v>43749</v>
      </c>
      <c r="C401" s="1" t="n">
        <v>45633</v>
      </c>
      <c r="D401" t="inlineStr">
        <is>
          <t>VÄSTERBOTTENS LÄN</t>
        </is>
      </c>
      <c r="E401" t="inlineStr">
        <is>
          <t>SKELLEFTEÅ</t>
        </is>
      </c>
      <c r="G401" t="n">
        <v>4.2</v>
      </c>
      <c r="H401" t="n">
        <v>0</v>
      </c>
      <c r="I401" t="n">
        <v>0</v>
      </c>
      <c r="J401" t="n">
        <v>0</v>
      </c>
      <c r="K401" t="n">
        <v>0</v>
      </c>
      <c r="L401" t="n">
        <v>0</v>
      </c>
      <c r="M401" t="n">
        <v>0</v>
      </c>
      <c r="N401" t="n">
        <v>0</v>
      </c>
      <c r="O401" t="n">
        <v>0</v>
      </c>
      <c r="P401" t="n">
        <v>0</v>
      </c>
      <c r="Q401" t="n">
        <v>0</v>
      </c>
      <c r="R401" s="2" t="inlineStr"/>
    </row>
    <row r="402" ht="15" customHeight="1">
      <c r="A402" t="inlineStr">
        <is>
          <t>A 53925-2019</t>
        </is>
      </c>
      <c r="B402" s="1" t="n">
        <v>43752</v>
      </c>
      <c r="C402" s="1" t="n">
        <v>45633</v>
      </c>
      <c r="D402" t="inlineStr">
        <is>
          <t>VÄSTERBOTTENS LÄN</t>
        </is>
      </c>
      <c r="E402" t="inlineStr">
        <is>
          <t>SKELLEFTEÅ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54146-2019</t>
        </is>
      </c>
      <c r="B403" s="1" t="n">
        <v>43753</v>
      </c>
      <c r="C403" s="1" t="n">
        <v>45633</v>
      </c>
      <c r="D403" t="inlineStr">
        <is>
          <t>VÄSTERBOTTENS LÄN</t>
        </is>
      </c>
      <c r="E403" t="inlineStr">
        <is>
          <t>SKELLEFTEÅ</t>
        </is>
      </c>
      <c r="G403" t="n">
        <v>3.7</v>
      </c>
      <c r="H403" t="n">
        <v>0</v>
      </c>
      <c r="I403" t="n">
        <v>0</v>
      </c>
      <c r="J403" t="n">
        <v>0</v>
      </c>
      <c r="K403" t="n">
        <v>0</v>
      </c>
      <c r="L403" t="n">
        <v>0</v>
      </c>
      <c r="M403" t="n">
        <v>0</v>
      </c>
      <c r="N403" t="n">
        <v>0</v>
      </c>
      <c r="O403" t="n">
        <v>0</v>
      </c>
      <c r="P403" t="n">
        <v>0</v>
      </c>
      <c r="Q403" t="n">
        <v>0</v>
      </c>
      <c r="R403" s="2" t="inlineStr"/>
    </row>
    <row r="404" ht="15" customHeight="1">
      <c r="A404" t="inlineStr">
        <is>
          <t>A 54666-2019</t>
        </is>
      </c>
      <c r="B404" s="1" t="n">
        <v>43754</v>
      </c>
      <c r="C404" s="1" t="n">
        <v>45633</v>
      </c>
      <c r="D404" t="inlineStr">
        <is>
          <t>VÄSTERBOTTENS LÄN</t>
        </is>
      </c>
      <c r="E404" t="inlineStr">
        <is>
          <t>SKELLEFTEÅ</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54667-2019</t>
        </is>
      </c>
      <c r="B405" s="1" t="n">
        <v>43754</v>
      </c>
      <c r="C405" s="1" t="n">
        <v>45633</v>
      </c>
      <c r="D405" t="inlineStr">
        <is>
          <t>VÄSTERBOTTENS LÄN</t>
        </is>
      </c>
      <c r="E405" t="inlineStr">
        <is>
          <t>SKELLEFTEÅ</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55363-2019</t>
        </is>
      </c>
      <c r="B406" s="1" t="n">
        <v>43756</v>
      </c>
      <c r="C406" s="1" t="n">
        <v>45633</v>
      </c>
      <c r="D406" t="inlineStr">
        <is>
          <t>VÄSTERBOTTENS LÄN</t>
        </is>
      </c>
      <c r="E406" t="inlineStr">
        <is>
          <t>SKELLEFTEÅ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55459-2019</t>
        </is>
      </c>
      <c r="B407" s="1" t="n">
        <v>43759</v>
      </c>
      <c r="C407" s="1" t="n">
        <v>45633</v>
      </c>
      <c r="D407" t="inlineStr">
        <is>
          <t>VÄSTERBOTTENS LÄN</t>
        </is>
      </c>
      <c r="E407" t="inlineStr">
        <is>
          <t>SKELLEFTEÅ</t>
        </is>
      </c>
      <c r="G407" t="n">
        <v>14.5</v>
      </c>
      <c r="H407" t="n">
        <v>0</v>
      </c>
      <c r="I407" t="n">
        <v>0</v>
      </c>
      <c r="J407" t="n">
        <v>0</v>
      </c>
      <c r="K407" t="n">
        <v>0</v>
      </c>
      <c r="L407" t="n">
        <v>0</v>
      </c>
      <c r="M407" t="n">
        <v>0</v>
      </c>
      <c r="N407" t="n">
        <v>0</v>
      </c>
      <c r="O407" t="n">
        <v>0</v>
      </c>
      <c r="P407" t="n">
        <v>0</v>
      </c>
      <c r="Q407" t="n">
        <v>0</v>
      </c>
      <c r="R407" s="2" t="inlineStr"/>
    </row>
    <row r="408" ht="15" customHeight="1">
      <c r="A408" t="inlineStr">
        <is>
          <t>A 55489-2019</t>
        </is>
      </c>
      <c r="B408" s="1" t="n">
        <v>43759</v>
      </c>
      <c r="C408" s="1" t="n">
        <v>45633</v>
      </c>
      <c r="D408" t="inlineStr">
        <is>
          <t>VÄSTERBOTTENS LÄN</t>
        </is>
      </c>
      <c r="E408" t="inlineStr">
        <is>
          <t>SKELLEFTEÅ</t>
        </is>
      </c>
      <c r="G408" t="n">
        <v>2.3</v>
      </c>
      <c r="H408" t="n">
        <v>0</v>
      </c>
      <c r="I408" t="n">
        <v>0</v>
      </c>
      <c r="J408" t="n">
        <v>0</v>
      </c>
      <c r="K408" t="n">
        <v>0</v>
      </c>
      <c r="L408" t="n">
        <v>0</v>
      </c>
      <c r="M408" t="n">
        <v>0</v>
      </c>
      <c r="N408" t="n">
        <v>0</v>
      </c>
      <c r="O408" t="n">
        <v>0</v>
      </c>
      <c r="P408" t="n">
        <v>0</v>
      </c>
      <c r="Q408" t="n">
        <v>0</v>
      </c>
      <c r="R408" s="2" t="inlineStr"/>
    </row>
    <row r="409" ht="15" customHeight="1">
      <c r="A409" t="inlineStr">
        <is>
          <t>A 56284-2019</t>
        </is>
      </c>
      <c r="B409" s="1" t="n">
        <v>43762</v>
      </c>
      <c r="C409" s="1" t="n">
        <v>45633</v>
      </c>
      <c r="D409" t="inlineStr">
        <is>
          <t>VÄSTERBOTTENS LÄN</t>
        </is>
      </c>
      <c r="E409" t="inlineStr">
        <is>
          <t>SKELLEFTEÅ</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56786-2019</t>
        </is>
      </c>
      <c r="B410" s="1" t="n">
        <v>43763</v>
      </c>
      <c r="C410" s="1" t="n">
        <v>45633</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56581-2019</t>
        </is>
      </c>
      <c r="B411" s="1" t="n">
        <v>43763</v>
      </c>
      <c r="C411" s="1" t="n">
        <v>45633</v>
      </c>
      <c r="D411" t="inlineStr">
        <is>
          <t>VÄSTERBOTTENS LÄN</t>
        </is>
      </c>
      <c r="E411" t="inlineStr">
        <is>
          <t>SKELLEFTEÅ</t>
        </is>
      </c>
      <c r="F411" t="inlineStr">
        <is>
          <t>Sveaskog</t>
        </is>
      </c>
      <c r="G411" t="n">
        <v>21.4</v>
      </c>
      <c r="H411" t="n">
        <v>0</v>
      </c>
      <c r="I411" t="n">
        <v>0</v>
      </c>
      <c r="J411" t="n">
        <v>0</v>
      </c>
      <c r="K411" t="n">
        <v>0</v>
      </c>
      <c r="L411" t="n">
        <v>0</v>
      </c>
      <c r="M411" t="n">
        <v>0</v>
      </c>
      <c r="N411" t="n">
        <v>0</v>
      </c>
      <c r="O411" t="n">
        <v>0</v>
      </c>
      <c r="P411" t="n">
        <v>0</v>
      </c>
      <c r="Q411" t="n">
        <v>0</v>
      </c>
      <c r="R411" s="2" t="inlineStr"/>
    </row>
    <row r="412" ht="15" customHeight="1">
      <c r="A412" t="inlineStr">
        <is>
          <t>A 57569-2019</t>
        </is>
      </c>
      <c r="B412" s="1" t="n">
        <v>43768</v>
      </c>
      <c r="C412" s="1" t="n">
        <v>45633</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57803-2019</t>
        </is>
      </c>
      <c r="B413" s="1" t="n">
        <v>43768</v>
      </c>
      <c r="C413" s="1" t="n">
        <v>45633</v>
      </c>
      <c r="D413" t="inlineStr">
        <is>
          <t>VÄSTERBOTTENS LÄN</t>
        </is>
      </c>
      <c r="E413" t="inlineStr">
        <is>
          <t>SKELLEFTEÅ</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58546-2019</t>
        </is>
      </c>
      <c r="B414" s="1" t="n">
        <v>43773</v>
      </c>
      <c r="C414" s="1" t="n">
        <v>45633</v>
      </c>
      <c r="D414" t="inlineStr">
        <is>
          <t>VÄSTERBOTTENS LÄN</t>
        </is>
      </c>
      <c r="E414" t="inlineStr">
        <is>
          <t>SKELLEFTEÅ</t>
        </is>
      </c>
      <c r="F414" t="inlineStr">
        <is>
          <t>Sveaskog</t>
        </is>
      </c>
      <c r="G414" t="n">
        <v>27.6</v>
      </c>
      <c r="H414" t="n">
        <v>0</v>
      </c>
      <c r="I414" t="n">
        <v>0</v>
      </c>
      <c r="J414" t="n">
        <v>0</v>
      </c>
      <c r="K414" t="n">
        <v>0</v>
      </c>
      <c r="L414" t="n">
        <v>0</v>
      </c>
      <c r="M414" t="n">
        <v>0</v>
      </c>
      <c r="N414" t="n">
        <v>0</v>
      </c>
      <c r="O414" t="n">
        <v>0</v>
      </c>
      <c r="P414" t="n">
        <v>0</v>
      </c>
      <c r="Q414" t="n">
        <v>0</v>
      </c>
      <c r="R414" s="2" t="inlineStr"/>
    </row>
    <row r="415" ht="15" customHeight="1">
      <c r="A415" t="inlineStr">
        <is>
          <t>A 59255-2019</t>
        </is>
      </c>
      <c r="B415" s="1" t="n">
        <v>43773</v>
      </c>
      <c r="C415" s="1" t="n">
        <v>45633</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58905-2019</t>
        </is>
      </c>
      <c r="B416" s="1" t="n">
        <v>43774</v>
      </c>
      <c r="C416" s="1" t="n">
        <v>45633</v>
      </c>
      <c r="D416" t="inlineStr">
        <is>
          <t>VÄSTERBOTTENS LÄN</t>
        </is>
      </c>
      <c r="E416" t="inlineStr">
        <is>
          <t>SKELLEFTEÅ</t>
        </is>
      </c>
      <c r="F416" t="inlineStr">
        <is>
          <t>Sveaskog</t>
        </is>
      </c>
      <c r="G416" t="n">
        <v>26.4</v>
      </c>
      <c r="H416" t="n">
        <v>0</v>
      </c>
      <c r="I416" t="n">
        <v>0</v>
      </c>
      <c r="J416" t="n">
        <v>0</v>
      </c>
      <c r="K416" t="n">
        <v>0</v>
      </c>
      <c r="L416" t="n">
        <v>0</v>
      </c>
      <c r="M416" t="n">
        <v>0</v>
      </c>
      <c r="N416" t="n">
        <v>0</v>
      </c>
      <c r="O416" t="n">
        <v>0</v>
      </c>
      <c r="P416" t="n">
        <v>0</v>
      </c>
      <c r="Q416" t="n">
        <v>0</v>
      </c>
      <c r="R416" s="2" t="inlineStr"/>
    </row>
    <row r="417" ht="15" customHeight="1">
      <c r="A417" t="inlineStr">
        <is>
          <t>A 58817-2019</t>
        </is>
      </c>
      <c r="B417" s="1" t="n">
        <v>43774</v>
      </c>
      <c r="C417" s="1" t="n">
        <v>45633</v>
      </c>
      <c r="D417" t="inlineStr">
        <is>
          <t>VÄSTERBOTTENS LÄN</t>
        </is>
      </c>
      <c r="E417" t="inlineStr">
        <is>
          <t>SKELLEFTEÅ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59611-2019</t>
        </is>
      </c>
      <c r="B418" s="1" t="n">
        <v>43774</v>
      </c>
      <c r="C418" s="1" t="n">
        <v>45633</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59344-2019</t>
        </is>
      </c>
      <c r="B419" s="1" t="n">
        <v>43775</v>
      </c>
      <c r="C419" s="1" t="n">
        <v>45633</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60378-2019</t>
        </is>
      </c>
      <c r="B420" s="1" t="n">
        <v>43776</v>
      </c>
      <c r="C420" s="1" t="n">
        <v>45633</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60289-2019</t>
        </is>
      </c>
      <c r="B421" s="1" t="n">
        <v>43776</v>
      </c>
      <c r="C421" s="1" t="n">
        <v>45633</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60189-2019</t>
        </is>
      </c>
      <c r="B422" s="1" t="n">
        <v>43780</v>
      </c>
      <c r="C422" s="1" t="n">
        <v>45633</v>
      </c>
      <c r="D422" t="inlineStr">
        <is>
          <t>VÄSTERBOTTENS LÄN</t>
        </is>
      </c>
      <c r="E422" t="inlineStr">
        <is>
          <t>SKELLEFTEÅ</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60416-2019</t>
        </is>
      </c>
      <c r="B423" s="1" t="n">
        <v>43780</v>
      </c>
      <c r="C423" s="1" t="n">
        <v>45633</v>
      </c>
      <c r="D423" t="inlineStr">
        <is>
          <t>VÄSTERBOTTENS LÄN</t>
        </is>
      </c>
      <c r="E423" t="inlineStr">
        <is>
          <t>SKELLEFTEÅ</t>
        </is>
      </c>
      <c r="G423" t="n">
        <v>5.8</v>
      </c>
      <c r="H423" t="n">
        <v>0</v>
      </c>
      <c r="I423" t="n">
        <v>0</v>
      </c>
      <c r="J423" t="n">
        <v>0</v>
      </c>
      <c r="K423" t="n">
        <v>0</v>
      </c>
      <c r="L423" t="n">
        <v>0</v>
      </c>
      <c r="M423" t="n">
        <v>0</v>
      </c>
      <c r="N423" t="n">
        <v>0</v>
      </c>
      <c r="O423" t="n">
        <v>0</v>
      </c>
      <c r="P423" t="n">
        <v>0</v>
      </c>
      <c r="Q423" t="n">
        <v>0</v>
      </c>
      <c r="R423" s="2" t="inlineStr"/>
    </row>
    <row r="424" ht="15" customHeight="1">
      <c r="A424" t="inlineStr">
        <is>
          <t>A 61929-2019</t>
        </is>
      </c>
      <c r="B424" s="1" t="n">
        <v>43781</v>
      </c>
      <c r="C424" s="1" t="n">
        <v>45633</v>
      </c>
      <c r="D424" t="inlineStr">
        <is>
          <t>VÄSTERBOTTENS LÄN</t>
        </is>
      </c>
      <c r="E424" t="inlineStr">
        <is>
          <t>SKELLEFTEÅ</t>
        </is>
      </c>
      <c r="G424" t="n">
        <v>0.3</v>
      </c>
      <c r="H424" t="n">
        <v>0</v>
      </c>
      <c r="I424" t="n">
        <v>0</v>
      </c>
      <c r="J424" t="n">
        <v>0</v>
      </c>
      <c r="K424" t="n">
        <v>0</v>
      </c>
      <c r="L424" t="n">
        <v>0</v>
      </c>
      <c r="M424" t="n">
        <v>0</v>
      </c>
      <c r="N424" t="n">
        <v>0</v>
      </c>
      <c r="O424" t="n">
        <v>0</v>
      </c>
      <c r="P424" t="n">
        <v>0</v>
      </c>
      <c r="Q424" t="n">
        <v>0</v>
      </c>
      <c r="R424" s="2" t="inlineStr"/>
    </row>
    <row r="425" ht="15" customHeight="1">
      <c r="A425" t="inlineStr">
        <is>
          <t>A 60985-2019</t>
        </is>
      </c>
      <c r="B425" s="1" t="n">
        <v>43782</v>
      </c>
      <c r="C425" s="1" t="n">
        <v>45633</v>
      </c>
      <c r="D425" t="inlineStr">
        <is>
          <t>VÄSTERBOTTENS LÄN</t>
        </is>
      </c>
      <c r="E425" t="inlineStr">
        <is>
          <t>SKELLEFTEÅ</t>
        </is>
      </c>
      <c r="G425" t="n">
        <v>4.7</v>
      </c>
      <c r="H425" t="n">
        <v>0</v>
      </c>
      <c r="I425" t="n">
        <v>0</v>
      </c>
      <c r="J425" t="n">
        <v>0</v>
      </c>
      <c r="K425" t="n">
        <v>0</v>
      </c>
      <c r="L425" t="n">
        <v>0</v>
      </c>
      <c r="M425" t="n">
        <v>0</v>
      </c>
      <c r="N425" t="n">
        <v>0</v>
      </c>
      <c r="O425" t="n">
        <v>0</v>
      </c>
      <c r="P425" t="n">
        <v>0</v>
      </c>
      <c r="Q425" t="n">
        <v>0</v>
      </c>
      <c r="R425" s="2" t="inlineStr"/>
    </row>
    <row r="426" ht="15" customHeight="1">
      <c r="A426" t="inlineStr">
        <is>
          <t>A 61295-2019</t>
        </is>
      </c>
      <c r="B426" s="1" t="n">
        <v>43783</v>
      </c>
      <c r="C426" s="1" t="n">
        <v>45633</v>
      </c>
      <c r="D426" t="inlineStr">
        <is>
          <t>VÄSTERBOTTENS LÄN</t>
        </is>
      </c>
      <c r="E426" t="inlineStr">
        <is>
          <t>SKELLEFTEÅ</t>
        </is>
      </c>
      <c r="F426" t="inlineStr">
        <is>
          <t>Holmen skog AB</t>
        </is>
      </c>
      <c r="G426" t="n">
        <v>11.2</v>
      </c>
      <c r="H426" t="n">
        <v>0</v>
      </c>
      <c r="I426" t="n">
        <v>0</v>
      </c>
      <c r="J426" t="n">
        <v>0</v>
      </c>
      <c r="K426" t="n">
        <v>0</v>
      </c>
      <c r="L426" t="n">
        <v>0</v>
      </c>
      <c r="M426" t="n">
        <v>0</v>
      </c>
      <c r="N426" t="n">
        <v>0</v>
      </c>
      <c r="O426" t="n">
        <v>0</v>
      </c>
      <c r="P426" t="n">
        <v>0</v>
      </c>
      <c r="Q426" t="n">
        <v>0</v>
      </c>
      <c r="R426" s="2" t="inlineStr"/>
    </row>
    <row r="427" ht="15" customHeight="1">
      <c r="A427" t="inlineStr">
        <is>
          <t>A 61468-2019</t>
        </is>
      </c>
      <c r="B427" s="1" t="n">
        <v>43783</v>
      </c>
      <c r="C427" s="1" t="n">
        <v>45633</v>
      </c>
      <c r="D427" t="inlineStr">
        <is>
          <t>VÄSTERBOTTENS LÄN</t>
        </is>
      </c>
      <c r="E427" t="inlineStr">
        <is>
          <t>SKELLEFTEÅ</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62584-2019</t>
        </is>
      </c>
      <c r="B428" s="1" t="n">
        <v>43784</v>
      </c>
      <c r="C428" s="1" t="n">
        <v>45633</v>
      </c>
      <c r="D428" t="inlineStr">
        <is>
          <t>VÄSTERBOTTENS LÄN</t>
        </is>
      </c>
      <c r="E428" t="inlineStr">
        <is>
          <t>SKELLEFTEÅ</t>
        </is>
      </c>
      <c r="G428" t="n">
        <v>6.1</v>
      </c>
      <c r="H428" t="n">
        <v>0</v>
      </c>
      <c r="I428" t="n">
        <v>0</v>
      </c>
      <c r="J428" t="n">
        <v>0</v>
      </c>
      <c r="K428" t="n">
        <v>0</v>
      </c>
      <c r="L428" t="n">
        <v>0</v>
      </c>
      <c r="M428" t="n">
        <v>0</v>
      </c>
      <c r="N428" t="n">
        <v>0</v>
      </c>
      <c r="O428" t="n">
        <v>0</v>
      </c>
      <c r="P428" t="n">
        <v>0</v>
      </c>
      <c r="Q428" t="n">
        <v>0</v>
      </c>
      <c r="R428" s="2" t="inlineStr"/>
    </row>
    <row r="429" ht="15" customHeight="1">
      <c r="A429" t="inlineStr">
        <is>
          <t>A 62201-2019</t>
        </is>
      </c>
      <c r="B429" s="1" t="n">
        <v>43788</v>
      </c>
      <c r="C429" s="1" t="n">
        <v>45633</v>
      </c>
      <c r="D429" t="inlineStr">
        <is>
          <t>VÄSTERBOTTENS LÄN</t>
        </is>
      </c>
      <c r="E429" t="inlineStr">
        <is>
          <t>SKELLEFTEÅ</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62678-2019</t>
        </is>
      </c>
      <c r="B430" s="1" t="n">
        <v>43789</v>
      </c>
      <c r="C430" s="1" t="n">
        <v>45633</v>
      </c>
      <c r="D430" t="inlineStr">
        <is>
          <t>VÄSTERBOTTENS LÄN</t>
        </is>
      </c>
      <c r="E430" t="inlineStr">
        <is>
          <t>SKELLEFTEÅ</t>
        </is>
      </c>
      <c r="G430" t="n">
        <v>4.9</v>
      </c>
      <c r="H430" t="n">
        <v>0</v>
      </c>
      <c r="I430" t="n">
        <v>0</v>
      </c>
      <c r="J430" t="n">
        <v>0</v>
      </c>
      <c r="K430" t="n">
        <v>0</v>
      </c>
      <c r="L430" t="n">
        <v>0</v>
      </c>
      <c r="M430" t="n">
        <v>0</v>
      </c>
      <c r="N430" t="n">
        <v>0</v>
      </c>
      <c r="O430" t="n">
        <v>0</v>
      </c>
      <c r="P430" t="n">
        <v>0</v>
      </c>
      <c r="Q430" t="n">
        <v>0</v>
      </c>
      <c r="R430" s="2" t="inlineStr"/>
    </row>
    <row r="431" ht="15" customHeight="1">
      <c r="A431" t="inlineStr">
        <is>
          <t>A 62873-2019</t>
        </is>
      </c>
      <c r="B431" s="1" t="n">
        <v>43790</v>
      </c>
      <c r="C431" s="1" t="n">
        <v>45633</v>
      </c>
      <c r="D431" t="inlineStr">
        <is>
          <t>VÄSTERBOTTENS LÄN</t>
        </is>
      </c>
      <c r="E431" t="inlineStr">
        <is>
          <t>SKELLEFTEÅ</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62823-2019</t>
        </is>
      </c>
      <c r="B432" s="1" t="n">
        <v>43790</v>
      </c>
      <c r="C432" s="1" t="n">
        <v>45633</v>
      </c>
      <c r="D432" t="inlineStr">
        <is>
          <t>VÄSTERBOTTENS LÄN</t>
        </is>
      </c>
      <c r="E432" t="inlineStr">
        <is>
          <t>SKELLEFTEÅ</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63554-2019</t>
        </is>
      </c>
      <c r="B433" s="1" t="n">
        <v>43794</v>
      </c>
      <c r="C433" s="1" t="n">
        <v>45633</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63846-2019</t>
        </is>
      </c>
      <c r="B434" s="1" t="n">
        <v>43796</v>
      </c>
      <c r="C434" s="1" t="n">
        <v>45633</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63845-2019</t>
        </is>
      </c>
      <c r="B435" s="1" t="n">
        <v>43796</v>
      </c>
      <c r="C435" s="1" t="n">
        <v>45633</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64039-2019</t>
        </is>
      </c>
      <c r="B436" s="1" t="n">
        <v>43796</v>
      </c>
      <c r="C436" s="1" t="n">
        <v>45633</v>
      </c>
      <c r="D436" t="inlineStr">
        <is>
          <t>VÄSTERBOTTENS LÄN</t>
        </is>
      </c>
      <c r="E436" t="inlineStr">
        <is>
          <t>SKELLEFTEÅ</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64117-2019</t>
        </is>
      </c>
      <c r="B437" s="1" t="n">
        <v>43796</v>
      </c>
      <c r="C437" s="1" t="n">
        <v>45633</v>
      </c>
      <c r="D437" t="inlineStr">
        <is>
          <t>VÄSTERBOTTENS LÄN</t>
        </is>
      </c>
      <c r="E437" t="inlineStr">
        <is>
          <t>SKELLEFTEÅ</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64139-2019</t>
        </is>
      </c>
      <c r="B438" s="1" t="n">
        <v>43796</v>
      </c>
      <c r="C438" s="1" t="n">
        <v>45633</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64569-2019</t>
        </is>
      </c>
      <c r="B439" s="1" t="n">
        <v>43798</v>
      </c>
      <c r="C439" s="1" t="n">
        <v>45633</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64754-2019</t>
        </is>
      </c>
      <c r="B440" s="1" t="n">
        <v>43801</v>
      </c>
      <c r="C440" s="1" t="n">
        <v>45633</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65070-2019</t>
        </is>
      </c>
      <c r="B441" s="1" t="n">
        <v>43802</v>
      </c>
      <c r="C441" s="1" t="n">
        <v>45633</v>
      </c>
      <c r="D441" t="inlineStr">
        <is>
          <t>VÄSTERBOTTENS LÄN</t>
        </is>
      </c>
      <c r="E441" t="inlineStr">
        <is>
          <t>SKELLEFTEÅ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65565-2019</t>
        </is>
      </c>
      <c r="B442" s="1" t="n">
        <v>43803</v>
      </c>
      <c r="C442" s="1" t="n">
        <v>45633</v>
      </c>
      <c r="D442" t="inlineStr">
        <is>
          <t>VÄSTERBOTTENS LÄN</t>
        </is>
      </c>
      <c r="E442" t="inlineStr">
        <is>
          <t>SKELLEFTEÅ</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65721-2019</t>
        </is>
      </c>
      <c r="B443" s="1" t="n">
        <v>43804</v>
      </c>
      <c r="C443" s="1" t="n">
        <v>45633</v>
      </c>
      <c r="D443" t="inlineStr">
        <is>
          <t>VÄSTERBOTTENS LÄN</t>
        </is>
      </c>
      <c r="E443" t="inlineStr">
        <is>
          <t>SKELLEFTEÅ</t>
        </is>
      </c>
      <c r="G443" t="n">
        <v>0.6</v>
      </c>
      <c r="H443" t="n">
        <v>0</v>
      </c>
      <c r="I443" t="n">
        <v>0</v>
      </c>
      <c r="J443" t="n">
        <v>0</v>
      </c>
      <c r="K443" t="n">
        <v>0</v>
      </c>
      <c r="L443" t="n">
        <v>0</v>
      </c>
      <c r="M443" t="n">
        <v>0</v>
      </c>
      <c r="N443" t="n">
        <v>0</v>
      </c>
      <c r="O443" t="n">
        <v>0</v>
      </c>
      <c r="P443" t="n">
        <v>0</v>
      </c>
      <c r="Q443" t="n">
        <v>0</v>
      </c>
      <c r="R443" s="2" t="inlineStr"/>
    </row>
    <row r="444" ht="15" customHeight="1">
      <c r="A444" t="inlineStr">
        <is>
          <t>A 65726-2019</t>
        </is>
      </c>
      <c r="B444" s="1" t="n">
        <v>43804</v>
      </c>
      <c r="C444" s="1" t="n">
        <v>45633</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65992-2019</t>
        </is>
      </c>
      <c r="B445" s="1" t="n">
        <v>43805</v>
      </c>
      <c r="C445" s="1" t="n">
        <v>45633</v>
      </c>
      <c r="D445" t="inlineStr">
        <is>
          <t>VÄSTERBOTTENS LÄN</t>
        </is>
      </c>
      <c r="E445" t="inlineStr">
        <is>
          <t>SKELLEFTEÅ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67581-2019</t>
        </is>
      </c>
      <c r="B446" s="1" t="n">
        <v>43808</v>
      </c>
      <c r="C446" s="1" t="n">
        <v>45633</v>
      </c>
      <c r="D446" t="inlineStr">
        <is>
          <t>VÄSTERBOTTENS LÄN</t>
        </is>
      </c>
      <c r="E446" t="inlineStr">
        <is>
          <t>SKELLEFTEÅ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66505-2019</t>
        </is>
      </c>
      <c r="B447" s="1" t="n">
        <v>43809</v>
      </c>
      <c r="C447" s="1" t="n">
        <v>45633</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66478-2019</t>
        </is>
      </c>
      <c r="B448" s="1" t="n">
        <v>43809</v>
      </c>
      <c r="C448" s="1" t="n">
        <v>45633</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68008-2019</t>
        </is>
      </c>
      <c r="B449" s="1" t="n">
        <v>43811</v>
      </c>
      <c r="C449" s="1" t="n">
        <v>45633</v>
      </c>
      <c r="D449" t="inlineStr">
        <is>
          <t>VÄSTERBOTTENS LÄN</t>
        </is>
      </c>
      <c r="E449" t="inlineStr">
        <is>
          <t>SKELLEFTEÅ</t>
        </is>
      </c>
      <c r="G449" t="n">
        <v>4.3</v>
      </c>
      <c r="H449" t="n">
        <v>0</v>
      </c>
      <c r="I449" t="n">
        <v>0</v>
      </c>
      <c r="J449" t="n">
        <v>0</v>
      </c>
      <c r="K449" t="n">
        <v>0</v>
      </c>
      <c r="L449" t="n">
        <v>0</v>
      </c>
      <c r="M449" t="n">
        <v>0</v>
      </c>
      <c r="N449" t="n">
        <v>0</v>
      </c>
      <c r="O449" t="n">
        <v>0</v>
      </c>
      <c r="P449" t="n">
        <v>0</v>
      </c>
      <c r="Q449" t="n">
        <v>0</v>
      </c>
      <c r="R449" s="2" t="inlineStr"/>
    </row>
    <row r="450" ht="15" customHeight="1">
      <c r="A450" t="inlineStr">
        <is>
          <t>A 69136-2019</t>
        </is>
      </c>
      <c r="B450" s="1" t="n">
        <v>43815</v>
      </c>
      <c r="C450" s="1" t="n">
        <v>45633</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69135-2019</t>
        </is>
      </c>
      <c r="B451" s="1" t="n">
        <v>43815</v>
      </c>
      <c r="C451" s="1" t="n">
        <v>45633</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69140-2019</t>
        </is>
      </c>
      <c r="B452" s="1" t="n">
        <v>43815</v>
      </c>
      <c r="C452" s="1" t="n">
        <v>45633</v>
      </c>
      <c r="D452" t="inlineStr">
        <is>
          <t>VÄSTERBOTTENS LÄN</t>
        </is>
      </c>
      <c r="E452" t="inlineStr">
        <is>
          <t>SKELLEFTEÅ</t>
        </is>
      </c>
      <c r="G452" t="n">
        <v>4.9</v>
      </c>
      <c r="H452" t="n">
        <v>0</v>
      </c>
      <c r="I452" t="n">
        <v>0</v>
      </c>
      <c r="J452" t="n">
        <v>0</v>
      </c>
      <c r="K452" t="n">
        <v>0</v>
      </c>
      <c r="L452" t="n">
        <v>0</v>
      </c>
      <c r="M452" t="n">
        <v>0</v>
      </c>
      <c r="N452" t="n">
        <v>0</v>
      </c>
      <c r="O452" t="n">
        <v>0</v>
      </c>
      <c r="P452" t="n">
        <v>0</v>
      </c>
      <c r="Q452" t="n">
        <v>0</v>
      </c>
      <c r="R452" s="2" t="inlineStr"/>
    </row>
    <row r="453" ht="15" customHeight="1">
      <c r="A453" t="inlineStr">
        <is>
          <t>A 69131-2019</t>
        </is>
      </c>
      <c r="B453" s="1" t="n">
        <v>43815</v>
      </c>
      <c r="C453" s="1" t="n">
        <v>45633</v>
      </c>
      <c r="D453" t="inlineStr">
        <is>
          <t>VÄSTERBOTTENS LÄN</t>
        </is>
      </c>
      <c r="E453" t="inlineStr">
        <is>
          <t>SKELLEFTEÅ</t>
        </is>
      </c>
      <c r="G453" t="n">
        <v>5.1</v>
      </c>
      <c r="H453" t="n">
        <v>0</v>
      </c>
      <c r="I453" t="n">
        <v>0</v>
      </c>
      <c r="J453" t="n">
        <v>0</v>
      </c>
      <c r="K453" t="n">
        <v>0</v>
      </c>
      <c r="L453" t="n">
        <v>0</v>
      </c>
      <c r="M453" t="n">
        <v>0</v>
      </c>
      <c r="N453" t="n">
        <v>0</v>
      </c>
      <c r="O453" t="n">
        <v>0</v>
      </c>
      <c r="P453" t="n">
        <v>0</v>
      </c>
      <c r="Q453" t="n">
        <v>0</v>
      </c>
      <c r="R453" s="2" t="inlineStr"/>
    </row>
    <row r="454" ht="15" customHeight="1">
      <c r="A454" t="inlineStr">
        <is>
          <t>A 277-2020</t>
        </is>
      </c>
      <c r="B454" s="1" t="n">
        <v>43816</v>
      </c>
      <c r="C454" s="1" t="n">
        <v>45633</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67837-2019</t>
        </is>
      </c>
      <c r="B455" s="1" t="n">
        <v>43816</v>
      </c>
      <c r="C455" s="1" t="n">
        <v>45633</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398-2020</t>
        </is>
      </c>
      <c r="B456" s="1" t="n">
        <v>43816</v>
      </c>
      <c r="C456" s="1" t="n">
        <v>45633</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434-2020</t>
        </is>
      </c>
      <c r="B457" s="1" t="n">
        <v>43816</v>
      </c>
      <c r="C457" s="1" t="n">
        <v>45633</v>
      </c>
      <c r="D457" t="inlineStr">
        <is>
          <t>VÄSTERBOTTENS LÄN</t>
        </is>
      </c>
      <c r="E457" t="inlineStr">
        <is>
          <t>SKELLEFTEÅ</t>
        </is>
      </c>
      <c r="G457" t="n">
        <v>12.9</v>
      </c>
      <c r="H457" t="n">
        <v>0</v>
      </c>
      <c r="I457" t="n">
        <v>0</v>
      </c>
      <c r="J457" t="n">
        <v>0</v>
      </c>
      <c r="K457" t="n">
        <v>0</v>
      </c>
      <c r="L457" t="n">
        <v>0</v>
      </c>
      <c r="M457" t="n">
        <v>0</v>
      </c>
      <c r="N457" t="n">
        <v>0</v>
      </c>
      <c r="O457" t="n">
        <v>0</v>
      </c>
      <c r="P457" t="n">
        <v>0</v>
      </c>
      <c r="Q457" t="n">
        <v>0</v>
      </c>
      <c r="R457" s="2" t="inlineStr"/>
    </row>
    <row r="458" ht="15" customHeight="1">
      <c r="A458" t="inlineStr">
        <is>
          <t>A 820-2020</t>
        </is>
      </c>
      <c r="B458" s="1" t="n">
        <v>43818</v>
      </c>
      <c r="C458" s="1" t="n">
        <v>45633</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1102-2020</t>
        </is>
      </c>
      <c r="B459" s="1" t="n">
        <v>43819</v>
      </c>
      <c r="C459" s="1" t="n">
        <v>45633</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1452-2020</t>
        </is>
      </c>
      <c r="B460" s="1" t="n">
        <v>43822</v>
      </c>
      <c r="C460" s="1" t="n">
        <v>45633</v>
      </c>
      <c r="D460" t="inlineStr">
        <is>
          <t>VÄSTERBOTTENS LÄN</t>
        </is>
      </c>
      <c r="E460" t="inlineStr">
        <is>
          <t>SKELLEFTEÅ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789-2020</t>
        </is>
      </c>
      <c r="B461" s="1" t="n">
        <v>43838</v>
      </c>
      <c r="C461" s="1" t="n">
        <v>45633</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896-2020</t>
        </is>
      </c>
      <c r="B462" s="1" t="n">
        <v>43839</v>
      </c>
      <c r="C462" s="1" t="n">
        <v>45633</v>
      </c>
      <c r="D462" t="inlineStr">
        <is>
          <t>VÄSTERBOTTENS LÄN</t>
        </is>
      </c>
      <c r="E462" t="inlineStr">
        <is>
          <t>SKELLEFTEÅ</t>
        </is>
      </c>
      <c r="F462" t="inlineStr">
        <is>
          <t>Kyrkan</t>
        </is>
      </c>
      <c r="G462" t="n">
        <v>14.9</v>
      </c>
      <c r="H462" t="n">
        <v>0</v>
      </c>
      <c r="I462" t="n">
        <v>0</v>
      </c>
      <c r="J462" t="n">
        <v>0</v>
      </c>
      <c r="K462" t="n">
        <v>0</v>
      </c>
      <c r="L462" t="n">
        <v>0</v>
      </c>
      <c r="M462" t="n">
        <v>0</v>
      </c>
      <c r="N462" t="n">
        <v>0</v>
      </c>
      <c r="O462" t="n">
        <v>0</v>
      </c>
      <c r="P462" t="n">
        <v>0</v>
      </c>
      <c r="Q462" t="n">
        <v>0</v>
      </c>
      <c r="R462" s="2" t="inlineStr"/>
    </row>
    <row r="463" ht="15" customHeight="1">
      <c r="A463" t="inlineStr">
        <is>
          <t>A 2127-2020</t>
        </is>
      </c>
      <c r="B463" s="1" t="n">
        <v>43839</v>
      </c>
      <c r="C463" s="1" t="n">
        <v>45633</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1550-2020</t>
        </is>
      </c>
      <c r="B464" s="1" t="n">
        <v>43843</v>
      </c>
      <c r="C464" s="1" t="n">
        <v>45633</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1612-2020</t>
        </is>
      </c>
      <c r="B465" s="1" t="n">
        <v>43844</v>
      </c>
      <c r="C465" s="1" t="n">
        <v>45633</v>
      </c>
      <c r="D465" t="inlineStr">
        <is>
          <t>VÄSTERBOTTENS LÄN</t>
        </is>
      </c>
      <c r="E465" t="inlineStr">
        <is>
          <t>SKELLEFTEÅ</t>
        </is>
      </c>
      <c r="G465" t="n">
        <v>5.4</v>
      </c>
      <c r="H465" t="n">
        <v>0</v>
      </c>
      <c r="I465" t="n">
        <v>0</v>
      </c>
      <c r="J465" t="n">
        <v>0</v>
      </c>
      <c r="K465" t="n">
        <v>0</v>
      </c>
      <c r="L465" t="n">
        <v>0</v>
      </c>
      <c r="M465" t="n">
        <v>0</v>
      </c>
      <c r="N465" t="n">
        <v>0</v>
      </c>
      <c r="O465" t="n">
        <v>0</v>
      </c>
      <c r="P465" t="n">
        <v>0</v>
      </c>
      <c r="Q465" t="n">
        <v>0</v>
      </c>
      <c r="R465" s="2" t="inlineStr"/>
    </row>
    <row r="466" ht="15" customHeight="1">
      <c r="A466" t="inlineStr">
        <is>
          <t>A 1695-2020</t>
        </is>
      </c>
      <c r="B466" s="1" t="n">
        <v>43844</v>
      </c>
      <c r="C466" s="1" t="n">
        <v>45633</v>
      </c>
      <c r="D466" t="inlineStr">
        <is>
          <t>VÄSTERBOTTENS LÄN</t>
        </is>
      </c>
      <c r="E466" t="inlineStr">
        <is>
          <t>SKELLEFTEÅ</t>
        </is>
      </c>
      <c r="F466" t="inlineStr">
        <is>
          <t>Holmen skog AB</t>
        </is>
      </c>
      <c r="G466" t="n">
        <v>13.6</v>
      </c>
      <c r="H466" t="n">
        <v>0</v>
      </c>
      <c r="I466" t="n">
        <v>0</v>
      </c>
      <c r="J466" t="n">
        <v>0</v>
      </c>
      <c r="K466" t="n">
        <v>0</v>
      </c>
      <c r="L466" t="n">
        <v>0</v>
      </c>
      <c r="M466" t="n">
        <v>0</v>
      </c>
      <c r="N466" t="n">
        <v>0</v>
      </c>
      <c r="O466" t="n">
        <v>0</v>
      </c>
      <c r="P466" t="n">
        <v>0</v>
      </c>
      <c r="Q466" t="n">
        <v>0</v>
      </c>
      <c r="R466" s="2" t="inlineStr"/>
    </row>
    <row r="467" ht="15" customHeight="1">
      <c r="A467" t="inlineStr">
        <is>
          <t>A 3123-2020</t>
        </is>
      </c>
      <c r="B467" s="1" t="n">
        <v>43844</v>
      </c>
      <c r="C467" s="1" t="n">
        <v>45633</v>
      </c>
      <c r="D467" t="inlineStr">
        <is>
          <t>VÄSTERBOTTENS LÄN</t>
        </is>
      </c>
      <c r="E467" t="inlineStr">
        <is>
          <t>SKELLEFTEÅ</t>
        </is>
      </c>
      <c r="G467" t="n">
        <v>12.5</v>
      </c>
      <c r="H467" t="n">
        <v>0</v>
      </c>
      <c r="I467" t="n">
        <v>0</v>
      </c>
      <c r="J467" t="n">
        <v>0</v>
      </c>
      <c r="K467" t="n">
        <v>0</v>
      </c>
      <c r="L467" t="n">
        <v>0</v>
      </c>
      <c r="M467" t="n">
        <v>0</v>
      </c>
      <c r="N467" t="n">
        <v>0</v>
      </c>
      <c r="O467" t="n">
        <v>0</v>
      </c>
      <c r="P467" t="n">
        <v>0</v>
      </c>
      <c r="Q467" t="n">
        <v>0</v>
      </c>
      <c r="R467" s="2" t="inlineStr"/>
    </row>
    <row r="468" ht="15" customHeight="1">
      <c r="A468" t="inlineStr">
        <is>
          <t>A 4286-2020</t>
        </is>
      </c>
      <c r="B468" s="1" t="n">
        <v>43847</v>
      </c>
      <c r="C468" s="1" t="n">
        <v>45633</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4381-2020</t>
        </is>
      </c>
      <c r="B469" s="1" t="n">
        <v>43847</v>
      </c>
      <c r="C469" s="1" t="n">
        <v>45633</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4765-2020</t>
        </is>
      </c>
      <c r="B470" s="1" t="n">
        <v>43850</v>
      </c>
      <c r="C470" s="1" t="n">
        <v>45633</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4985-2020</t>
        </is>
      </c>
      <c r="B471" s="1" t="n">
        <v>43853</v>
      </c>
      <c r="C471" s="1" t="n">
        <v>45633</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3968-2020</t>
        </is>
      </c>
      <c r="B472" s="1" t="n">
        <v>43854</v>
      </c>
      <c r="C472" s="1" t="n">
        <v>45633</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4006-2020</t>
        </is>
      </c>
      <c r="B473" s="1" t="n">
        <v>43857</v>
      </c>
      <c r="C473" s="1" t="n">
        <v>45633</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5261-2020</t>
        </is>
      </c>
      <c r="B474" s="1" t="n">
        <v>43857</v>
      </c>
      <c r="C474" s="1" t="n">
        <v>45633</v>
      </c>
      <c r="D474" t="inlineStr">
        <is>
          <t>VÄSTERBOTTENS LÄN</t>
        </is>
      </c>
      <c r="E474" t="inlineStr">
        <is>
          <t>SKELLEFTEÅ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4731-2020</t>
        </is>
      </c>
      <c r="B475" s="1" t="n">
        <v>43859</v>
      </c>
      <c r="C475" s="1" t="n">
        <v>45633</v>
      </c>
      <c r="D475" t="inlineStr">
        <is>
          <t>VÄSTERBOTTENS LÄN</t>
        </is>
      </c>
      <c r="E475" t="inlineStr">
        <is>
          <t>SKELLEFTEÅ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6511-2020</t>
        </is>
      </c>
      <c r="B476" s="1" t="n">
        <v>43865</v>
      </c>
      <c r="C476" s="1" t="n">
        <v>45633</v>
      </c>
      <c r="D476" t="inlineStr">
        <is>
          <t>VÄSTERBOTTENS LÄN</t>
        </is>
      </c>
      <c r="E476" t="inlineStr">
        <is>
          <t>SKELLEFTEÅ</t>
        </is>
      </c>
      <c r="G476" t="n">
        <v>9.9</v>
      </c>
      <c r="H476" t="n">
        <v>0</v>
      </c>
      <c r="I476" t="n">
        <v>0</v>
      </c>
      <c r="J476" t="n">
        <v>0</v>
      </c>
      <c r="K476" t="n">
        <v>0</v>
      </c>
      <c r="L476" t="n">
        <v>0</v>
      </c>
      <c r="M476" t="n">
        <v>0</v>
      </c>
      <c r="N476" t="n">
        <v>0</v>
      </c>
      <c r="O476" t="n">
        <v>0</v>
      </c>
      <c r="P476" t="n">
        <v>0</v>
      </c>
      <c r="Q476" t="n">
        <v>0</v>
      </c>
      <c r="R476" s="2" t="inlineStr"/>
    </row>
    <row r="477" ht="15" customHeight="1">
      <c r="A477" t="inlineStr">
        <is>
          <t>A 7334-2020</t>
        </is>
      </c>
      <c r="B477" s="1" t="n">
        <v>43868</v>
      </c>
      <c r="C477" s="1" t="n">
        <v>45633</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7689-2020</t>
        </is>
      </c>
      <c r="B478" s="1" t="n">
        <v>43872</v>
      </c>
      <c r="C478" s="1" t="n">
        <v>45633</v>
      </c>
      <c r="D478" t="inlineStr">
        <is>
          <t>VÄSTERBOTTENS LÄN</t>
        </is>
      </c>
      <c r="E478" t="inlineStr">
        <is>
          <t>SKELLEFTEÅ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8060-2020</t>
        </is>
      </c>
      <c r="B479" s="1" t="n">
        <v>43874</v>
      </c>
      <c r="C479" s="1" t="n">
        <v>45633</v>
      </c>
      <c r="D479" t="inlineStr">
        <is>
          <t>VÄSTERBOTTENS LÄN</t>
        </is>
      </c>
      <c r="E479" t="inlineStr">
        <is>
          <t>SKELLEFTEÅ</t>
        </is>
      </c>
      <c r="G479" t="n">
        <v>18.7</v>
      </c>
      <c r="H479" t="n">
        <v>0</v>
      </c>
      <c r="I479" t="n">
        <v>0</v>
      </c>
      <c r="J479" t="n">
        <v>0</v>
      </c>
      <c r="K479" t="n">
        <v>0</v>
      </c>
      <c r="L479" t="n">
        <v>0</v>
      </c>
      <c r="M479" t="n">
        <v>0</v>
      </c>
      <c r="N479" t="n">
        <v>0</v>
      </c>
      <c r="O479" t="n">
        <v>0</v>
      </c>
      <c r="P479" t="n">
        <v>0</v>
      </c>
      <c r="Q479" t="n">
        <v>0</v>
      </c>
      <c r="R479" s="2" t="inlineStr"/>
    </row>
    <row r="480" ht="15" customHeight="1">
      <c r="A480" t="inlineStr">
        <is>
          <t>A 8562-2020</t>
        </is>
      </c>
      <c r="B480" s="1" t="n">
        <v>43877</v>
      </c>
      <c r="C480" s="1" t="n">
        <v>45633</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9180-2020</t>
        </is>
      </c>
      <c r="B481" s="1" t="n">
        <v>43879</v>
      </c>
      <c r="C481" s="1" t="n">
        <v>45633</v>
      </c>
      <c r="D481" t="inlineStr">
        <is>
          <t>VÄSTERBOTTENS LÄN</t>
        </is>
      </c>
      <c r="E481" t="inlineStr">
        <is>
          <t>SKELLEFTEÅ</t>
        </is>
      </c>
      <c r="G481" t="n">
        <v>11.4</v>
      </c>
      <c r="H481" t="n">
        <v>0</v>
      </c>
      <c r="I481" t="n">
        <v>0</v>
      </c>
      <c r="J481" t="n">
        <v>0</v>
      </c>
      <c r="K481" t="n">
        <v>0</v>
      </c>
      <c r="L481" t="n">
        <v>0</v>
      </c>
      <c r="M481" t="n">
        <v>0</v>
      </c>
      <c r="N481" t="n">
        <v>0</v>
      </c>
      <c r="O481" t="n">
        <v>0</v>
      </c>
      <c r="P481" t="n">
        <v>0</v>
      </c>
      <c r="Q481" t="n">
        <v>0</v>
      </c>
      <c r="R481" s="2" t="inlineStr"/>
    </row>
    <row r="482" ht="15" customHeight="1">
      <c r="A482" t="inlineStr">
        <is>
          <t>A 9568-2020</t>
        </is>
      </c>
      <c r="B482" s="1" t="n">
        <v>43881</v>
      </c>
      <c r="C482" s="1" t="n">
        <v>45633</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10030-2020</t>
        </is>
      </c>
      <c r="B483" s="1" t="n">
        <v>43882</v>
      </c>
      <c r="C483" s="1" t="n">
        <v>45633</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10041-2020</t>
        </is>
      </c>
      <c r="B484" s="1" t="n">
        <v>43882</v>
      </c>
      <c r="C484" s="1" t="n">
        <v>45633</v>
      </c>
      <c r="D484" t="inlineStr">
        <is>
          <t>VÄSTERBOTTENS LÄN</t>
        </is>
      </c>
      <c r="E484" t="inlineStr">
        <is>
          <t>SKELLEFTEÅ</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10273-2020</t>
        </is>
      </c>
      <c r="B485" s="1" t="n">
        <v>43885</v>
      </c>
      <c r="C485" s="1" t="n">
        <v>45633</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c r="U485">
        <f>HYPERLINK("https://klasma.github.io/Logging_2482/knärot/A 10273-2020 karta knärot.png", "A 10273-2020")</f>
        <v/>
      </c>
      <c r="V485">
        <f>HYPERLINK("https://klasma.github.io/Logging_2482/klagomål/A 10273-2020 FSC-klagomål.docx", "A 10273-2020")</f>
        <v/>
      </c>
      <c r="W485">
        <f>HYPERLINK("https://klasma.github.io/Logging_2482/klagomålsmail/A 10273-2020 FSC-klagomål mail.docx", "A 10273-2020")</f>
        <v/>
      </c>
      <c r="X485">
        <f>HYPERLINK("https://klasma.github.io/Logging_2482/tillsyn/A 10273-2020 tillsynsbegäran.docx", "A 10273-2020")</f>
        <v/>
      </c>
      <c r="Y485">
        <f>HYPERLINK("https://klasma.github.io/Logging_2482/tillsynsmail/A 10273-2020 tillsynsbegäran mail.docx", "A 10273-2020")</f>
        <v/>
      </c>
    </row>
    <row r="486" ht="15" customHeight="1">
      <c r="A486" t="inlineStr">
        <is>
          <t>A 10279-2020</t>
        </is>
      </c>
      <c r="B486" s="1" t="n">
        <v>43885</v>
      </c>
      <c r="C486" s="1" t="n">
        <v>45633</v>
      </c>
      <c r="D486" t="inlineStr">
        <is>
          <t>VÄSTERBOTTENS LÄN</t>
        </is>
      </c>
      <c r="E486" t="inlineStr">
        <is>
          <t>SKELLEFTEÅ</t>
        </is>
      </c>
      <c r="G486" t="n">
        <v>5.8</v>
      </c>
      <c r="H486" t="n">
        <v>0</v>
      </c>
      <c r="I486" t="n">
        <v>0</v>
      </c>
      <c r="J486" t="n">
        <v>0</v>
      </c>
      <c r="K486" t="n">
        <v>0</v>
      </c>
      <c r="L486" t="n">
        <v>0</v>
      </c>
      <c r="M486" t="n">
        <v>0</v>
      </c>
      <c r="N486" t="n">
        <v>0</v>
      </c>
      <c r="O486" t="n">
        <v>0</v>
      </c>
      <c r="P486" t="n">
        <v>0</v>
      </c>
      <c r="Q486" t="n">
        <v>0</v>
      </c>
      <c r="R486" s="2" t="inlineStr"/>
    </row>
    <row r="487" ht="15" customHeight="1">
      <c r="A487" t="inlineStr">
        <is>
          <t>A 11083-2020</t>
        </is>
      </c>
      <c r="B487" s="1" t="n">
        <v>43885</v>
      </c>
      <c r="C487" s="1" t="n">
        <v>45633</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11037-2020</t>
        </is>
      </c>
      <c r="B488" s="1" t="n">
        <v>43886</v>
      </c>
      <c r="C488" s="1" t="n">
        <v>45633</v>
      </c>
      <c r="D488" t="inlineStr">
        <is>
          <t>VÄSTERBOTTENS LÄN</t>
        </is>
      </c>
      <c r="E488" t="inlineStr">
        <is>
          <t>SKELLEFTEÅ</t>
        </is>
      </c>
      <c r="G488" t="n">
        <v>2.9</v>
      </c>
      <c r="H488" t="n">
        <v>0</v>
      </c>
      <c r="I488" t="n">
        <v>0</v>
      </c>
      <c r="J488" t="n">
        <v>0</v>
      </c>
      <c r="K488" t="n">
        <v>0</v>
      </c>
      <c r="L488" t="n">
        <v>0</v>
      </c>
      <c r="M488" t="n">
        <v>0</v>
      </c>
      <c r="N488" t="n">
        <v>0</v>
      </c>
      <c r="O488" t="n">
        <v>0</v>
      </c>
      <c r="P488" t="n">
        <v>0</v>
      </c>
      <c r="Q488" t="n">
        <v>0</v>
      </c>
      <c r="R488" s="2" t="inlineStr"/>
    </row>
    <row r="489" ht="15" customHeight="1">
      <c r="A489" t="inlineStr">
        <is>
          <t>A 11048-2020</t>
        </is>
      </c>
      <c r="B489" s="1" t="n">
        <v>43886</v>
      </c>
      <c r="C489" s="1" t="n">
        <v>45633</v>
      </c>
      <c r="D489" t="inlineStr">
        <is>
          <t>VÄSTERBOTTENS LÄN</t>
        </is>
      </c>
      <c r="E489" t="inlineStr">
        <is>
          <t>SKELLEFTEÅ</t>
        </is>
      </c>
      <c r="G489" t="n">
        <v>5.2</v>
      </c>
      <c r="H489" t="n">
        <v>0</v>
      </c>
      <c r="I489" t="n">
        <v>0</v>
      </c>
      <c r="J489" t="n">
        <v>0</v>
      </c>
      <c r="K489" t="n">
        <v>0</v>
      </c>
      <c r="L489" t="n">
        <v>0</v>
      </c>
      <c r="M489" t="n">
        <v>0</v>
      </c>
      <c r="N489" t="n">
        <v>0</v>
      </c>
      <c r="O489" t="n">
        <v>0</v>
      </c>
      <c r="P489" t="n">
        <v>0</v>
      </c>
      <c r="Q489" t="n">
        <v>0</v>
      </c>
      <c r="R489" s="2" t="inlineStr"/>
    </row>
    <row r="490" ht="15" customHeight="1">
      <c r="A490" t="inlineStr">
        <is>
          <t>A 10181-2020</t>
        </is>
      </c>
      <c r="B490" s="1" t="n">
        <v>43887</v>
      </c>
      <c r="C490" s="1" t="n">
        <v>45633</v>
      </c>
      <c r="D490" t="inlineStr">
        <is>
          <t>VÄSTERBOTTENS LÄN</t>
        </is>
      </c>
      <c r="E490" t="inlineStr">
        <is>
          <t>SKELLEFTEÅ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10114-2020</t>
        </is>
      </c>
      <c r="B491" s="1" t="n">
        <v>43887</v>
      </c>
      <c r="C491" s="1" t="n">
        <v>45633</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12775-2020</t>
        </is>
      </c>
      <c r="B492" s="1" t="n">
        <v>43893</v>
      </c>
      <c r="C492" s="1" t="n">
        <v>45633</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12533-2020</t>
        </is>
      </c>
      <c r="B493" s="1" t="n">
        <v>43896</v>
      </c>
      <c r="C493" s="1" t="n">
        <v>45633</v>
      </c>
      <c r="D493" t="inlineStr">
        <is>
          <t>VÄSTERBOTTENS LÄN</t>
        </is>
      </c>
      <c r="E493" t="inlineStr">
        <is>
          <t>SKELLEFTEÅ</t>
        </is>
      </c>
      <c r="F493" t="inlineStr">
        <is>
          <t>SCA</t>
        </is>
      </c>
      <c r="G493" t="n">
        <v>8.1</v>
      </c>
      <c r="H493" t="n">
        <v>0</v>
      </c>
      <c r="I493" t="n">
        <v>0</v>
      </c>
      <c r="J493" t="n">
        <v>0</v>
      </c>
      <c r="K493" t="n">
        <v>0</v>
      </c>
      <c r="L493" t="n">
        <v>0</v>
      </c>
      <c r="M493" t="n">
        <v>0</v>
      </c>
      <c r="N493" t="n">
        <v>0</v>
      </c>
      <c r="O493" t="n">
        <v>0</v>
      </c>
      <c r="P493" t="n">
        <v>0</v>
      </c>
      <c r="Q493" t="n">
        <v>0</v>
      </c>
      <c r="R493" s="2" t="inlineStr"/>
    </row>
    <row r="494" ht="15" customHeight="1">
      <c r="A494" t="inlineStr">
        <is>
          <t>A 12534-2020</t>
        </is>
      </c>
      <c r="B494" s="1" t="n">
        <v>43896</v>
      </c>
      <c r="C494" s="1" t="n">
        <v>45633</v>
      </c>
      <c r="D494" t="inlineStr">
        <is>
          <t>VÄSTERBOTTENS LÄN</t>
        </is>
      </c>
      <c r="E494" t="inlineStr">
        <is>
          <t>SKELLEFTEÅ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13415-2020</t>
        </is>
      </c>
      <c r="B495" s="1" t="n">
        <v>43899</v>
      </c>
      <c r="C495" s="1" t="n">
        <v>45633</v>
      </c>
      <c r="D495" t="inlineStr">
        <is>
          <t>VÄSTERBOTTENS LÄN</t>
        </is>
      </c>
      <c r="E495" t="inlineStr">
        <is>
          <t>SKELLEFTEÅ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14147-2020</t>
        </is>
      </c>
      <c r="B496" s="1" t="n">
        <v>43900</v>
      </c>
      <c r="C496" s="1" t="n">
        <v>45633</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12945-2020</t>
        </is>
      </c>
      <c r="B497" s="1" t="n">
        <v>43900</v>
      </c>
      <c r="C497" s="1" t="n">
        <v>45633</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12939-2020</t>
        </is>
      </c>
      <c r="B498" s="1" t="n">
        <v>43900</v>
      </c>
      <c r="C498" s="1" t="n">
        <v>45633</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14186-2020</t>
        </is>
      </c>
      <c r="B499" s="1" t="n">
        <v>43901</v>
      </c>
      <c r="C499" s="1" t="n">
        <v>45633</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13566-2020</t>
        </is>
      </c>
      <c r="B500" s="1" t="n">
        <v>43902</v>
      </c>
      <c r="C500" s="1" t="n">
        <v>45633</v>
      </c>
      <c r="D500" t="inlineStr">
        <is>
          <t>VÄSTERBOTTENS LÄN</t>
        </is>
      </c>
      <c r="E500" t="inlineStr">
        <is>
          <t>SKELLEFTEÅ</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13568-2020</t>
        </is>
      </c>
      <c r="B501" s="1" t="n">
        <v>43902</v>
      </c>
      <c r="C501" s="1" t="n">
        <v>45633</v>
      </c>
      <c r="D501" t="inlineStr">
        <is>
          <t>VÄSTERBOTTENS LÄN</t>
        </is>
      </c>
      <c r="E501" t="inlineStr">
        <is>
          <t>SKELLEFTEÅ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13851-2020</t>
        </is>
      </c>
      <c r="B502" s="1" t="n">
        <v>43906</v>
      </c>
      <c r="C502" s="1" t="n">
        <v>45633</v>
      </c>
      <c r="D502" t="inlineStr">
        <is>
          <t>VÄSTERBOTTENS LÄN</t>
        </is>
      </c>
      <c r="E502" t="inlineStr">
        <is>
          <t>SKELLEFTEÅ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13933-2020</t>
        </is>
      </c>
      <c r="B503" s="1" t="n">
        <v>43906</v>
      </c>
      <c r="C503" s="1" t="n">
        <v>45633</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13883-2020</t>
        </is>
      </c>
      <c r="B504" s="1" t="n">
        <v>43906</v>
      </c>
      <c r="C504" s="1" t="n">
        <v>45633</v>
      </c>
      <c r="D504" t="inlineStr">
        <is>
          <t>VÄSTERBOTTENS LÄN</t>
        </is>
      </c>
      <c r="E504" t="inlineStr">
        <is>
          <t>SKELLEFTEÅ</t>
        </is>
      </c>
      <c r="G504" t="n">
        <v>4.1</v>
      </c>
      <c r="H504" t="n">
        <v>0</v>
      </c>
      <c r="I504" t="n">
        <v>0</v>
      </c>
      <c r="J504" t="n">
        <v>0</v>
      </c>
      <c r="K504" t="n">
        <v>0</v>
      </c>
      <c r="L504" t="n">
        <v>0</v>
      </c>
      <c r="M504" t="n">
        <v>0</v>
      </c>
      <c r="N504" t="n">
        <v>0</v>
      </c>
      <c r="O504" t="n">
        <v>0</v>
      </c>
      <c r="P504" t="n">
        <v>0</v>
      </c>
      <c r="Q504" t="n">
        <v>0</v>
      </c>
      <c r="R504" s="2" t="inlineStr"/>
    </row>
    <row r="505" ht="15" customHeight="1">
      <c r="A505" t="inlineStr">
        <is>
          <t>A 16728-2020</t>
        </is>
      </c>
      <c r="B505" s="1" t="n">
        <v>43910</v>
      </c>
      <c r="C505" s="1" t="n">
        <v>45633</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15320-2020</t>
        </is>
      </c>
      <c r="B506" s="1" t="n">
        <v>43913</v>
      </c>
      <c r="C506" s="1" t="n">
        <v>45633</v>
      </c>
      <c r="D506" t="inlineStr">
        <is>
          <t>VÄSTERBOTTENS LÄN</t>
        </is>
      </c>
      <c r="E506" t="inlineStr">
        <is>
          <t>SKELLEFTEÅ</t>
        </is>
      </c>
      <c r="G506" t="n">
        <v>5.8</v>
      </c>
      <c r="H506" t="n">
        <v>0</v>
      </c>
      <c r="I506" t="n">
        <v>0</v>
      </c>
      <c r="J506" t="n">
        <v>0</v>
      </c>
      <c r="K506" t="n">
        <v>0</v>
      </c>
      <c r="L506" t="n">
        <v>0</v>
      </c>
      <c r="M506" t="n">
        <v>0</v>
      </c>
      <c r="N506" t="n">
        <v>0</v>
      </c>
      <c r="O506" t="n">
        <v>0</v>
      </c>
      <c r="P506" t="n">
        <v>0</v>
      </c>
      <c r="Q506" t="n">
        <v>0</v>
      </c>
      <c r="R506" s="2" t="inlineStr"/>
    </row>
    <row r="507" ht="15" customHeight="1">
      <c r="A507" t="inlineStr">
        <is>
          <t>A 17124-2020</t>
        </is>
      </c>
      <c r="B507" s="1" t="n">
        <v>43914</v>
      </c>
      <c r="C507" s="1" t="n">
        <v>45633</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15870-2020</t>
        </is>
      </c>
      <c r="B508" s="1" t="n">
        <v>43915</v>
      </c>
      <c r="C508" s="1" t="n">
        <v>45633</v>
      </c>
      <c r="D508" t="inlineStr">
        <is>
          <t>VÄSTERBOTTENS LÄN</t>
        </is>
      </c>
      <c r="E508" t="inlineStr">
        <is>
          <t>SKELLEFTEÅ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15869-2020</t>
        </is>
      </c>
      <c r="B509" s="1" t="n">
        <v>43915</v>
      </c>
      <c r="C509" s="1" t="n">
        <v>45633</v>
      </c>
      <c r="D509" t="inlineStr">
        <is>
          <t>VÄSTERBOTTENS LÄN</t>
        </is>
      </c>
      <c r="E509" t="inlineStr">
        <is>
          <t>SKELLEFTEÅ</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17434-2020</t>
        </is>
      </c>
      <c r="B510" s="1" t="n">
        <v>43917</v>
      </c>
      <c r="C510" s="1" t="n">
        <v>45633</v>
      </c>
      <c r="D510" t="inlineStr">
        <is>
          <t>VÄSTERBOTTENS LÄN</t>
        </is>
      </c>
      <c r="E510" t="inlineStr">
        <is>
          <t>SKELLEFTEÅ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17894-2020</t>
        </is>
      </c>
      <c r="B511" s="1" t="n">
        <v>43923</v>
      </c>
      <c r="C511" s="1" t="n">
        <v>45633</v>
      </c>
      <c r="D511" t="inlineStr">
        <is>
          <t>VÄSTERBOTTENS LÄN</t>
        </is>
      </c>
      <c r="E511" t="inlineStr">
        <is>
          <t>SKELLEFTEÅ</t>
        </is>
      </c>
      <c r="G511" t="n">
        <v>3.5</v>
      </c>
      <c r="H511" t="n">
        <v>0</v>
      </c>
      <c r="I511" t="n">
        <v>0</v>
      </c>
      <c r="J511" t="n">
        <v>0</v>
      </c>
      <c r="K511" t="n">
        <v>0</v>
      </c>
      <c r="L511" t="n">
        <v>0</v>
      </c>
      <c r="M511" t="n">
        <v>0</v>
      </c>
      <c r="N511" t="n">
        <v>0</v>
      </c>
      <c r="O511" t="n">
        <v>0</v>
      </c>
      <c r="P511" t="n">
        <v>0</v>
      </c>
      <c r="Q511" t="n">
        <v>0</v>
      </c>
      <c r="R511" s="2" t="inlineStr"/>
    </row>
    <row r="512" ht="15" customHeight="1">
      <c r="A512" t="inlineStr">
        <is>
          <t>A 18619-2020</t>
        </is>
      </c>
      <c r="B512" s="1" t="n">
        <v>43928</v>
      </c>
      <c r="C512" s="1" t="n">
        <v>45633</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18442-2020</t>
        </is>
      </c>
      <c r="B513" s="1" t="n">
        <v>43929</v>
      </c>
      <c r="C513" s="1" t="n">
        <v>45633</v>
      </c>
      <c r="D513" t="inlineStr">
        <is>
          <t>VÄSTERBOTTENS LÄN</t>
        </is>
      </c>
      <c r="E513" t="inlineStr">
        <is>
          <t>SKELLEFTEÅ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18820-2020</t>
        </is>
      </c>
      <c r="B514" s="1" t="n">
        <v>43935</v>
      </c>
      <c r="C514" s="1" t="n">
        <v>45633</v>
      </c>
      <c r="D514" t="inlineStr">
        <is>
          <t>VÄSTERBOTTENS LÄN</t>
        </is>
      </c>
      <c r="E514" t="inlineStr">
        <is>
          <t>SKELLEFTEÅ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19006-2020</t>
        </is>
      </c>
      <c r="B515" s="1" t="n">
        <v>43936</v>
      </c>
      <c r="C515" s="1" t="n">
        <v>45633</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19961-2020</t>
        </is>
      </c>
      <c r="B516" s="1" t="n">
        <v>43943</v>
      </c>
      <c r="C516" s="1" t="n">
        <v>45633</v>
      </c>
      <c r="D516" t="inlineStr">
        <is>
          <t>VÄSTERBOTTENS LÄN</t>
        </is>
      </c>
      <c r="E516" t="inlineStr">
        <is>
          <t>SKELLEFTEÅ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20243-2020</t>
        </is>
      </c>
      <c r="B517" s="1" t="n">
        <v>43945</v>
      </c>
      <c r="C517" s="1" t="n">
        <v>45633</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20283-2020</t>
        </is>
      </c>
      <c r="B518" s="1" t="n">
        <v>43945</v>
      </c>
      <c r="C518" s="1" t="n">
        <v>45633</v>
      </c>
      <c r="D518" t="inlineStr">
        <is>
          <t>VÄSTERBOTTENS LÄN</t>
        </is>
      </c>
      <c r="E518" t="inlineStr">
        <is>
          <t>SKELLEFTEÅ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20351-2020</t>
        </is>
      </c>
      <c r="B519" s="1" t="n">
        <v>43945</v>
      </c>
      <c r="C519" s="1" t="n">
        <v>45633</v>
      </c>
      <c r="D519" t="inlineStr">
        <is>
          <t>VÄSTERBOTTENS LÄN</t>
        </is>
      </c>
      <c r="E519" t="inlineStr">
        <is>
          <t>SKELLEFTEÅ</t>
        </is>
      </c>
      <c r="G519" t="n">
        <v>6.3</v>
      </c>
      <c r="H519" t="n">
        <v>0</v>
      </c>
      <c r="I519" t="n">
        <v>0</v>
      </c>
      <c r="J519" t="n">
        <v>0</v>
      </c>
      <c r="K519" t="n">
        <v>0</v>
      </c>
      <c r="L519" t="n">
        <v>0</v>
      </c>
      <c r="M519" t="n">
        <v>0</v>
      </c>
      <c r="N519" t="n">
        <v>0</v>
      </c>
      <c r="O519" t="n">
        <v>0</v>
      </c>
      <c r="P519" t="n">
        <v>0</v>
      </c>
      <c r="Q519" t="n">
        <v>0</v>
      </c>
      <c r="R519" s="2" t="inlineStr"/>
    </row>
    <row r="520" ht="15" customHeight="1">
      <c r="A520" t="inlineStr">
        <is>
          <t>A 20444-2020</t>
        </is>
      </c>
      <c r="B520" s="1" t="n">
        <v>43948</v>
      </c>
      <c r="C520" s="1" t="n">
        <v>45633</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20466-2020</t>
        </is>
      </c>
      <c r="B521" s="1" t="n">
        <v>43948</v>
      </c>
      <c r="C521" s="1" t="n">
        <v>45633</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22451-2020</t>
        </is>
      </c>
      <c r="B522" s="1" t="n">
        <v>43963</v>
      </c>
      <c r="C522" s="1" t="n">
        <v>45633</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22752-2020</t>
        </is>
      </c>
      <c r="B523" s="1" t="n">
        <v>43963</v>
      </c>
      <c r="C523" s="1" t="n">
        <v>45633</v>
      </c>
      <c r="D523" t="inlineStr">
        <is>
          <t>VÄSTERBOTTENS LÄN</t>
        </is>
      </c>
      <c r="E523" t="inlineStr">
        <is>
          <t>SKELLEFTEÅ</t>
        </is>
      </c>
      <c r="G523" t="n">
        <v>1.8</v>
      </c>
      <c r="H523" t="n">
        <v>0</v>
      </c>
      <c r="I523" t="n">
        <v>0</v>
      </c>
      <c r="J523" t="n">
        <v>0</v>
      </c>
      <c r="K523" t="n">
        <v>0</v>
      </c>
      <c r="L523" t="n">
        <v>0</v>
      </c>
      <c r="M523" t="n">
        <v>0</v>
      </c>
      <c r="N523" t="n">
        <v>0</v>
      </c>
      <c r="O523" t="n">
        <v>0</v>
      </c>
      <c r="P523" t="n">
        <v>0</v>
      </c>
      <c r="Q523" t="n">
        <v>0</v>
      </c>
      <c r="R523" s="2" t="inlineStr"/>
    </row>
    <row r="524" ht="15" customHeight="1">
      <c r="A524" t="inlineStr">
        <is>
          <t>A 23006-2020</t>
        </is>
      </c>
      <c r="B524" s="1" t="n">
        <v>43965</v>
      </c>
      <c r="C524" s="1" t="n">
        <v>45633</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23181-2020</t>
        </is>
      </c>
      <c r="B525" s="1" t="n">
        <v>43965</v>
      </c>
      <c r="C525" s="1" t="n">
        <v>45633</v>
      </c>
      <c r="D525" t="inlineStr">
        <is>
          <t>VÄSTERBOTTENS LÄN</t>
        </is>
      </c>
      <c r="E525" t="inlineStr">
        <is>
          <t>SKELLEFTEÅ</t>
        </is>
      </c>
      <c r="G525" t="n">
        <v>8.1</v>
      </c>
      <c r="H525" t="n">
        <v>0</v>
      </c>
      <c r="I525" t="n">
        <v>0</v>
      </c>
      <c r="J525" t="n">
        <v>0</v>
      </c>
      <c r="K525" t="n">
        <v>0</v>
      </c>
      <c r="L525" t="n">
        <v>0</v>
      </c>
      <c r="M525" t="n">
        <v>0</v>
      </c>
      <c r="N525" t="n">
        <v>0</v>
      </c>
      <c r="O525" t="n">
        <v>0</v>
      </c>
      <c r="P525" t="n">
        <v>0</v>
      </c>
      <c r="Q525" t="n">
        <v>0</v>
      </c>
      <c r="R525" s="2" t="inlineStr"/>
    </row>
    <row r="526" ht="15" customHeight="1">
      <c r="A526" t="inlineStr">
        <is>
          <t>A 23522-2020</t>
        </is>
      </c>
      <c r="B526" s="1" t="n">
        <v>43969</v>
      </c>
      <c r="C526" s="1" t="n">
        <v>45633</v>
      </c>
      <c r="D526" t="inlineStr">
        <is>
          <t>VÄSTERBOTTENS LÄN</t>
        </is>
      </c>
      <c r="E526" t="inlineStr">
        <is>
          <t>SKELLEFTEÅ</t>
        </is>
      </c>
      <c r="G526" t="n">
        <v>0.2</v>
      </c>
      <c r="H526" t="n">
        <v>0</v>
      </c>
      <c r="I526" t="n">
        <v>0</v>
      </c>
      <c r="J526" t="n">
        <v>0</v>
      </c>
      <c r="K526" t="n">
        <v>0</v>
      </c>
      <c r="L526" t="n">
        <v>0</v>
      </c>
      <c r="M526" t="n">
        <v>0</v>
      </c>
      <c r="N526" t="n">
        <v>0</v>
      </c>
      <c r="O526" t="n">
        <v>0</v>
      </c>
      <c r="P526" t="n">
        <v>0</v>
      </c>
      <c r="Q526" t="n">
        <v>0</v>
      </c>
      <c r="R526" s="2" t="inlineStr"/>
    </row>
    <row r="527" ht="15" customHeight="1">
      <c r="A527" t="inlineStr">
        <is>
          <t>A 23672-2020</t>
        </is>
      </c>
      <c r="B527" s="1" t="n">
        <v>43970</v>
      </c>
      <c r="C527" s="1" t="n">
        <v>45633</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24280-2020</t>
        </is>
      </c>
      <c r="B528" s="1" t="n">
        <v>43970</v>
      </c>
      <c r="C528" s="1" t="n">
        <v>45633</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24276-2020</t>
        </is>
      </c>
      <c r="B529" s="1" t="n">
        <v>43970</v>
      </c>
      <c r="C529" s="1" t="n">
        <v>45633</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24274-2020</t>
        </is>
      </c>
      <c r="B530" s="1" t="n">
        <v>43970</v>
      </c>
      <c r="C530" s="1" t="n">
        <v>45633</v>
      </c>
      <c r="D530" t="inlineStr">
        <is>
          <t>VÄSTERBOTTENS LÄN</t>
        </is>
      </c>
      <c r="E530" t="inlineStr">
        <is>
          <t>SKELLEFTEÅ</t>
        </is>
      </c>
      <c r="G530" t="n">
        <v>1.1</v>
      </c>
      <c r="H530" t="n">
        <v>0</v>
      </c>
      <c r="I530" t="n">
        <v>0</v>
      </c>
      <c r="J530" t="n">
        <v>0</v>
      </c>
      <c r="K530" t="n">
        <v>0</v>
      </c>
      <c r="L530" t="n">
        <v>0</v>
      </c>
      <c r="M530" t="n">
        <v>0</v>
      </c>
      <c r="N530" t="n">
        <v>0</v>
      </c>
      <c r="O530" t="n">
        <v>0</v>
      </c>
      <c r="P530" t="n">
        <v>0</v>
      </c>
      <c r="Q530" t="n">
        <v>0</v>
      </c>
      <c r="R530" s="2" t="inlineStr"/>
    </row>
    <row r="531" ht="15" customHeight="1">
      <c r="A531" t="inlineStr">
        <is>
          <t>A 23908-2020</t>
        </is>
      </c>
      <c r="B531" s="1" t="n">
        <v>43970</v>
      </c>
      <c r="C531" s="1" t="n">
        <v>45633</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23907-2020</t>
        </is>
      </c>
      <c r="B532" s="1" t="n">
        <v>43970</v>
      </c>
      <c r="C532" s="1" t="n">
        <v>45633</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24264-2020</t>
        </is>
      </c>
      <c r="B533" s="1" t="n">
        <v>43970</v>
      </c>
      <c r="C533" s="1" t="n">
        <v>45633</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24543-2020</t>
        </is>
      </c>
      <c r="B534" s="1" t="n">
        <v>43977</v>
      </c>
      <c r="C534" s="1" t="n">
        <v>45633</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25142-2020</t>
        </is>
      </c>
      <c r="B535" s="1" t="n">
        <v>43978</v>
      </c>
      <c r="C535" s="1" t="n">
        <v>45633</v>
      </c>
      <c r="D535" t="inlineStr">
        <is>
          <t>VÄSTERBOTTENS LÄN</t>
        </is>
      </c>
      <c r="E535" t="inlineStr">
        <is>
          <t>SKELLEFTEÅ</t>
        </is>
      </c>
      <c r="G535" t="n">
        <v>0.8</v>
      </c>
      <c r="H535" t="n">
        <v>0</v>
      </c>
      <c r="I535" t="n">
        <v>0</v>
      </c>
      <c r="J535" t="n">
        <v>0</v>
      </c>
      <c r="K535" t="n">
        <v>0</v>
      </c>
      <c r="L535" t="n">
        <v>0</v>
      </c>
      <c r="M535" t="n">
        <v>0</v>
      </c>
      <c r="N535" t="n">
        <v>0</v>
      </c>
      <c r="O535" t="n">
        <v>0</v>
      </c>
      <c r="P535" t="n">
        <v>0</v>
      </c>
      <c r="Q535" t="n">
        <v>0</v>
      </c>
      <c r="R535" s="2" t="inlineStr"/>
    </row>
    <row r="536" ht="15" customHeight="1">
      <c r="A536" t="inlineStr">
        <is>
          <t>A 25161-2020</t>
        </is>
      </c>
      <c r="B536" s="1" t="n">
        <v>43978</v>
      </c>
      <c r="C536" s="1" t="n">
        <v>45633</v>
      </c>
      <c r="D536" t="inlineStr">
        <is>
          <t>VÄSTERBOTTENS LÄN</t>
        </is>
      </c>
      <c r="E536" t="inlineStr">
        <is>
          <t>SKELLEFTEÅ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25051-2020</t>
        </is>
      </c>
      <c r="B537" s="1" t="n">
        <v>43979</v>
      </c>
      <c r="C537" s="1" t="n">
        <v>45633</v>
      </c>
      <c r="D537" t="inlineStr">
        <is>
          <t>VÄSTERBOTTENS LÄN</t>
        </is>
      </c>
      <c r="E537" t="inlineStr">
        <is>
          <t>SKELLEFTEÅ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25202-2020</t>
        </is>
      </c>
      <c r="B538" s="1" t="n">
        <v>43980</v>
      </c>
      <c r="C538" s="1" t="n">
        <v>45633</v>
      </c>
      <c r="D538" t="inlineStr">
        <is>
          <t>VÄSTERBOTTENS LÄN</t>
        </is>
      </c>
      <c r="E538" t="inlineStr">
        <is>
          <t>SKELLEFTEÅ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25473-2020</t>
        </is>
      </c>
      <c r="B539" s="1" t="n">
        <v>43983</v>
      </c>
      <c r="C539" s="1" t="n">
        <v>45633</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25682-2020</t>
        </is>
      </c>
      <c r="B540" s="1" t="n">
        <v>43983</v>
      </c>
      <c r="C540" s="1" t="n">
        <v>45633</v>
      </c>
      <c r="D540" t="inlineStr">
        <is>
          <t>VÄSTERBOTTENS LÄN</t>
        </is>
      </c>
      <c r="E540" t="inlineStr">
        <is>
          <t>SKELLEFTEÅ</t>
        </is>
      </c>
      <c r="G540" t="n">
        <v>2.8</v>
      </c>
      <c r="H540" t="n">
        <v>0</v>
      </c>
      <c r="I540" t="n">
        <v>0</v>
      </c>
      <c r="J540" t="n">
        <v>0</v>
      </c>
      <c r="K540" t="n">
        <v>0</v>
      </c>
      <c r="L540" t="n">
        <v>0</v>
      </c>
      <c r="M540" t="n">
        <v>0</v>
      </c>
      <c r="N540" t="n">
        <v>0</v>
      </c>
      <c r="O540" t="n">
        <v>0</v>
      </c>
      <c r="P540" t="n">
        <v>0</v>
      </c>
      <c r="Q540" t="n">
        <v>0</v>
      </c>
      <c r="R540" s="2" t="inlineStr"/>
    </row>
    <row r="541" ht="15" customHeight="1">
      <c r="A541" t="inlineStr">
        <is>
          <t>A 25858-2020</t>
        </is>
      </c>
      <c r="B541" s="1" t="n">
        <v>43984</v>
      </c>
      <c r="C541" s="1" t="n">
        <v>45633</v>
      </c>
      <c r="D541" t="inlineStr">
        <is>
          <t>VÄSTERBOTTENS LÄN</t>
        </is>
      </c>
      <c r="E541" t="inlineStr">
        <is>
          <t>SKELLEFTEÅ</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26089-2020</t>
        </is>
      </c>
      <c r="B542" s="1" t="n">
        <v>43984</v>
      </c>
      <c r="C542" s="1" t="n">
        <v>45633</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25695-2020</t>
        </is>
      </c>
      <c r="B543" s="1" t="n">
        <v>43984</v>
      </c>
      <c r="C543" s="1" t="n">
        <v>45633</v>
      </c>
      <c r="D543" t="inlineStr">
        <is>
          <t>VÄSTERBOTTENS LÄN</t>
        </is>
      </c>
      <c r="E543" t="inlineStr">
        <is>
          <t>SKELLEFTEÅ</t>
        </is>
      </c>
      <c r="G543" t="n">
        <v>15.3</v>
      </c>
      <c r="H543" t="n">
        <v>0</v>
      </c>
      <c r="I543" t="n">
        <v>0</v>
      </c>
      <c r="J543" t="n">
        <v>0</v>
      </c>
      <c r="K543" t="n">
        <v>0</v>
      </c>
      <c r="L543" t="n">
        <v>0</v>
      </c>
      <c r="M543" t="n">
        <v>0</v>
      </c>
      <c r="N543" t="n">
        <v>0</v>
      </c>
      <c r="O543" t="n">
        <v>0</v>
      </c>
      <c r="P543" t="n">
        <v>0</v>
      </c>
      <c r="Q543" t="n">
        <v>0</v>
      </c>
      <c r="R543" s="2" t="inlineStr"/>
    </row>
    <row r="544" ht="15" customHeight="1">
      <c r="A544" t="inlineStr">
        <is>
          <t>A 25968-2020</t>
        </is>
      </c>
      <c r="B544" s="1" t="n">
        <v>43985</v>
      </c>
      <c r="C544" s="1" t="n">
        <v>45633</v>
      </c>
      <c r="D544" t="inlineStr">
        <is>
          <t>VÄSTERBOTTENS LÄN</t>
        </is>
      </c>
      <c r="E544" t="inlineStr">
        <is>
          <t>SKELLEFTEÅ</t>
        </is>
      </c>
      <c r="G544" t="n">
        <v>2.3</v>
      </c>
      <c r="H544" t="n">
        <v>0</v>
      </c>
      <c r="I544" t="n">
        <v>0</v>
      </c>
      <c r="J544" t="n">
        <v>0</v>
      </c>
      <c r="K544" t="n">
        <v>0</v>
      </c>
      <c r="L544" t="n">
        <v>0</v>
      </c>
      <c r="M544" t="n">
        <v>0</v>
      </c>
      <c r="N544" t="n">
        <v>0</v>
      </c>
      <c r="O544" t="n">
        <v>0</v>
      </c>
      <c r="P544" t="n">
        <v>0</v>
      </c>
      <c r="Q544" t="n">
        <v>0</v>
      </c>
      <c r="R544" s="2" t="inlineStr"/>
    </row>
    <row r="545" ht="15" customHeight="1">
      <c r="A545" t="inlineStr">
        <is>
          <t>A 26422-2020</t>
        </is>
      </c>
      <c r="B545" s="1" t="n">
        <v>43986</v>
      </c>
      <c r="C545" s="1" t="n">
        <v>45633</v>
      </c>
      <c r="D545" t="inlineStr">
        <is>
          <t>VÄSTERBOTTENS LÄN</t>
        </is>
      </c>
      <c r="E545" t="inlineStr">
        <is>
          <t>SKELLEFTEÅ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26413-2020</t>
        </is>
      </c>
      <c r="B546" s="1" t="n">
        <v>43987</v>
      </c>
      <c r="C546" s="1" t="n">
        <v>45633</v>
      </c>
      <c r="D546" t="inlineStr">
        <is>
          <t>VÄSTERBOTTENS LÄN</t>
        </is>
      </c>
      <c r="E546" t="inlineStr">
        <is>
          <t>SKELLEFTEÅ</t>
        </is>
      </c>
      <c r="F546" t="inlineStr">
        <is>
          <t>Holmen skog AB</t>
        </is>
      </c>
      <c r="G546" t="n">
        <v>7.9</v>
      </c>
      <c r="H546" t="n">
        <v>0</v>
      </c>
      <c r="I546" t="n">
        <v>0</v>
      </c>
      <c r="J546" t="n">
        <v>0</v>
      </c>
      <c r="K546" t="n">
        <v>0</v>
      </c>
      <c r="L546" t="n">
        <v>0</v>
      </c>
      <c r="M546" t="n">
        <v>0</v>
      </c>
      <c r="N546" t="n">
        <v>0</v>
      </c>
      <c r="O546" t="n">
        <v>0</v>
      </c>
      <c r="P546" t="n">
        <v>0</v>
      </c>
      <c r="Q546" t="n">
        <v>0</v>
      </c>
      <c r="R546" s="2" t="inlineStr"/>
    </row>
    <row r="547" ht="15" customHeight="1">
      <c r="A547" t="inlineStr">
        <is>
          <t>A 26396-2020</t>
        </is>
      </c>
      <c r="B547" s="1" t="n">
        <v>43987</v>
      </c>
      <c r="C547" s="1" t="n">
        <v>45633</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27218-2020</t>
        </is>
      </c>
      <c r="B548" s="1" t="n">
        <v>43992</v>
      </c>
      <c r="C548" s="1" t="n">
        <v>45633</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27684-2020</t>
        </is>
      </c>
      <c r="B549" s="1" t="n">
        <v>43994</v>
      </c>
      <c r="C549" s="1" t="n">
        <v>45633</v>
      </c>
      <c r="D549" t="inlineStr">
        <is>
          <t>VÄSTERBOTTENS LÄN</t>
        </is>
      </c>
      <c r="E549" t="inlineStr">
        <is>
          <t>SKELLEFTEÅ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28449-2020</t>
        </is>
      </c>
      <c r="B550" s="1" t="n">
        <v>43998</v>
      </c>
      <c r="C550" s="1" t="n">
        <v>45633</v>
      </c>
      <c r="D550" t="inlineStr">
        <is>
          <t>VÄSTERBOTTENS LÄN</t>
        </is>
      </c>
      <c r="E550" t="inlineStr">
        <is>
          <t>SKELLEFTEÅ</t>
        </is>
      </c>
      <c r="F550" t="inlineStr">
        <is>
          <t>Sveaskog</t>
        </is>
      </c>
      <c r="G550" t="n">
        <v>20.9</v>
      </c>
      <c r="H550" t="n">
        <v>0</v>
      </c>
      <c r="I550" t="n">
        <v>0</v>
      </c>
      <c r="J550" t="n">
        <v>0</v>
      </c>
      <c r="K550" t="n">
        <v>0</v>
      </c>
      <c r="L550" t="n">
        <v>0</v>
      </c>
      <c r="M550" t="n">
        <v>0</v>
      </c>
      <c r="N550" t="n">
        <v>0</v>
      </c>
      <c r="O550" t="n">
        <v>0</v>
      </c>
      <c r="P550" t="n">
        <v>0</v>
      </c>
      <c r="Q550" t="n">
        <v>0</v>
      </c>
      <c r="R550" s="2" t="inlineStr"/>
    </row>
    <row r="551" ht="15" customHeight="1">
      <c r="A551" t="inlineStr">
        <is>
          <t>A 28503-2020</t>
        </is>
      </c>
      <c r="B551" s="1" t="n">
        <v>43999</v>
      </c>
      <c r="C551" s="1" t="n">
        <v>45633</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28501-2020</t>
        </is>
      </c>
      <c r="B552" s="1" t="n">
        <v>43999</v>
      </c>
      <c r="C552" s="1" t="n">
        <v>45633</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28505-2020</t>
        </is>
      </c>
      <c r="B553" s="1" t="n">
        <v>43999</v>
      </c>
      <c r="C553" s="1" t="n">
        <v>45633</v>
      </c>
      <c r="D553" t="inlineStr">
        <is>
          <t>VÄSTERBOTTENS LÄN</t>
        </is>
      </c>
      <c r="E553" t="inlineStr">
        <is>
          <t>SKELLEFTEÅ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28574-2020</t>
        </is>
      </c>
      <c r="B554" s="1" t="n">
        <v>43999</v>
      </c>
      <c r="C554" s="1" t="n">
        <v>45633</v>
      </c>
      <c r="D554" t="inlineStr">
        <is>
          <t>VÄSTERBOTTENS LÄN</t>
        </is>
      </c>
      <c r="E554" t="inlineStr">
        <is>
          <t>SKELLEFTEÅ</t>
        </is>
      </c>
      <c r="F554" t="inlineStr">
        <is>
          <t>Holmen skog AB</t>
        </is>
      </c>
      <c r="G554" t="n">
        <v>19.4</v>
      </c>
      <c r="H554" t="n">
        <v>0</v>
      </c>
      <c r="I554" t="n">
        <v>0</v>
      </c>
      <c r="J554" t="n">
        <v>0</v>
      </c>
      <c r="K554" t="n">
        <v>0</v>
      </c>
      <c r="L554" t="n">
        <v>0</v>
      </c>
      <c r="M554" t="n">
        <v>0</v>
      </c>
      <c r="N554" t="n">
        <v>0</v>
      </c>
      <c r="O554" t="n">
        <v>0</v>
      </c>
      <c r="P554" t="n">
        <v>0</v>
      </c>
      <c r="Q554" t="n">
        <v>0</v>
      </c>
      <c r="R554" s="2" t="inlineStr"/>
    </row>
    <row r="555" ht="15" customHeight="1">
      <c r="A555" t="inlineStr">
        <is>
          <t>A 28986-2020</t>
        </is>
      </c>
      <c r="B555" s="1" t="n">
        <v>44000</v>
      </c>
      <c r="C555" s="1" t="n">
        <v>45633</v>
      </c>
      <c r="D555" t="inlineStr">
        <is>
          <t>VÄSTERBOTTENS LÄN</t>
        </is>
      </c>
      <c r="E555" t="inlineStr">
        <is>
          <t>SKELLEFTEÅ</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28985-2020</t>
        </is>
      </c>
      <c r="B556" s="1" t="n">
        <v>44000</v>
      </c>
      <c r="C556" s="1" t="n">
        <v>45633</v>
      </c>
      <c r="D556" t="inlineStr">
        <is>
          <t>VÄSTERBOTTENS LÄN</t>
        </is>
      </c>
      <c r="E556" t="inlineStr">
        <is>
          <t>SKELLEFTEÅ</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29134-2020</t>
        </is>
      </c>
      <c r="B557" s="1" t="n">
        <v>44004</v>
      </c>
      <c r="C557" s="1" t="n">
        <v>45633</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29595-2020</t>
        </is>
      </c>
      <c r="B558" s="1" t="n">
        <v>44004</v>
      </c>
      <c r="C558" s="1" t="n">
        <v>45633</v>
      </c>
      <c r="D558" t="inlineStr">
        <is>
          <t>VÄSTERBOTTENS LÄN</t>
        </is>
      </c>
      <c r="E558" t="inlineStr">
        <is>
          <t>SKELLEFTEÅ</t>
        </is>
      </c>
      <c r="G558" t="n">
        <v>4.3</v>
      </c>
      <c r="H558" t="n">
        <v>0</v>
      </c>
      <c r="I558" t="n">
        <v>0</v>
      </c>
      <c r="J558" t="n">
        <v>0</v>
      </c>
      <c r="K558" t="n">
        <v>0</v>
      </c>
      <c r="L558" t="n">
        <v>0</v>
      </c>
      <c r="M558" t="n">
        <v>0</v>
      </c>
      <c r="N558" t="n">
        <v>0</v>
      </c>
      <c r="O558" t="n">
        <v>0</v>
      </c>
      <c r="P558" t="n">
        <v>0</v>
      </c>
      <c r="Q558" t="n">
        <v>0</v>
      </c>
      <c r="R558" s="2" t="inlineStr"/>
    </row>
    <row r="559" ht="15" customHeight="1">
      <c r="A559" t="inlineStr">
        <is>
          <t>A 29542-2020</t>
        </is>
      </c>
      <c r="B559" s="1" t="n">
        <v>44005</v>
      </c>
      <c r="C559" s="1" t="n">
        <v>45633</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29832-2020</t>
        </is>
      </c>
      <c r="B560" s="1" t="n">
        <v>44005</v>
      </c>
      <c r="C560" s="1" t="n">
        <v>45633</v>
      </c>
      <c r="D560" t="inlineStr">
        <is>
          <t>VÄSTERBOTTENS LÄN</t>
        </is>
      </c>
      <c r="E560" t="inlineStr">
        <is>
          <t>SKELLEFTEÅ</t>
        </is>
      </c>
      <c r="G560" t="n">
        <v>6.3</v>
      </c>
      <c r="H560" t="n">
        <v>0</v>
      </c>
      <c r="I560" t="n">
        <v>0</v>
      </c>
      <c r="J560" t="n">
        <v>0</v>
      </c>
      <c r="K560" t="n">
        <v>0</v>
      </c>
      <c r="L560" t="n">
        <v>0</v>
      </c>
      <c r="M560" t="n">
        <v>0</v>
      </c>
      <c r="N560" t="n">
        <v>0</v>
      </c>
      <c r="O560" t="n">
        <v>0</v>
      </c>
      <c r="P560" t="n">
        <v>0</v>
      </c>
      <c r="Q560" t="n">
        <v>0</v>
      </c>
      <c r="R560" s="2" t="inlineStr"/>
    </row>
    <row r="561" ht="15" customHeight="1">
      <c r="A561" t="inlineStr">
        <is>
          <t>A 29850-2020</t>
        </is>
      </c>
      <c r="B561" s="1" t="n">
        <v>44005</v>
      </c>
      <c r="C561" s="1" t="n">
        <v>45633</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29842-2020</t>
        </is>
      </c>
      <c r="B562" s="1" t="n">
        <v>44005</v>
      </c>
      <c r="C562" s="1" t="n">
        <v>45633</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29982-2020</t>
        </is>
      </c>
      <c r="B563" s="1" t="n">
        <v>44006</v>
      </c>
      <c r="C563" s="1" t="n">
        <v>45633</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30075-2020</t>
        </is>
      </c>
      <c r="B564" s="1" t="n">
        <v>44006</v>
      </c>
      <c r="C564" s="1" t="n">
        <v>45633</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30074-2020</t>
        </is>
      </c>
      <c r="B565" s="1" t="n">
        <v>44006</v>
      </c>
      <c r="C565" s="1" t="n">
        <v>45633</v>
      </c>
      <c r="D565" t="inlineStr">
        <is>
          <t>VÄSTERBOTTENS LÄN</t>
        </is>
      </c>
      <c r="E565" t="inlineStr">
        <is>
          <t>SKELLEFTEÅ</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30408-2020</t>
        </is>
      </c>
      <c r="B566" s="1" t="n">
        <v>44007</v>
      </c>
      <c r="C566" s="1" t="n">
        <v>45633</v>
      </c>
      <c r="D566" t="inlineStr">
        <is>
          <t>VÄSTERBOTTENS LÄN</t>
        </is>
      </c>
      <c r="E566" t="inlineStr">
        <is>
          <t>SKELLEFTEÅ</t>
        </is>
      </c>
      <c r="G566" t="n">
        <v>24.3</v>
      </c>
      <c r="H566" t="n">
        <v>0</v>
      </c>
      <c r="I566" t="n">
        <v>0</v>
      </c>
      <c r="J566" t="n">
        <v>0</v>
      </c>
      <c r="K566" t="n">
        <v>0</v>
      </c>
      <c r="L566" t="n">
        <v>0</v>
      </c>
      <c r="M566" t="n">
        <v>0</v>
      </c>
      <c r="N566" t="n">
        <v>0</v>
      </c>
      <c r="O566" t="n">
        <v>0</v>
      </c>
      <c r="P566" t="n">
        <v>0</v>
      </c>
      <c r="Q566" t="n">
        <v>0</v>
      </c>
      <c r="R566" s="2" t="inlineStr"/>
    </row>
    <row r="567" ht="15" customHeight="1">
      <c r="A567" t="inlineStr">
        <is>
          <t>A 30712-2020</t>
        </is>
      </c>
      <c r="B567" s="1" t="n">
        <v>44008</v>
      </c>
      <c r="C567" s="1" t="n">
        <v>45633</v>
      </c>
      <c r="D567" t="inlineStr">
        <is>
          <t>VÄSTERBOTTENS LÄN</t>
        </is>
      </c>
      <c r="E567" t="inlineStr">
        <is>
          <t>SKELLEFTEÅ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30653-2020</t>
        </is>
      </c>
      <c r="B568" s="1" t="n">
        <v>44008</v>
      </c>
      <c r="C568" s="1" t="n">
        <v>45633</v>
      </c>
      <c r="D568" t="inlineStr">
        <is>
          <t>VÄSTERBOTTENS LÄN</t>
        </is>
      </c>
      <c r="E568" t="inlineStr">
        <is>
          <t>SKELLEFTEÅ</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30709-2020</t>
        </is>
      </c>
      <c r="B569" s="1" t="n">
        <v>44008</v>
      </c>
      <c r="C569" s="1" t="n">
        <v>45633</v>
      </c>
      <c r="D569" t="inlineStr">
        <is>
          <t>VÄSTERBOTTENS LÄN</t>
        </is>
      </c>
      <c r="E569" t="inlineStr">
        <is>
          <t>SKELLEFTEÅ</t>
        </is>
      </c>
      <c r="F569" t="inlineStr">
        <is>
          <t>Holmen skog AB</t>
        </is>
      </c>
      <c r="G569" t="n">
        <v>7.5</v>
      </c>
      <c r="H569" t="n">
        <v>0</v>
      </c>
      <c r="I569" t="n">
        <v>0</v>
      </c>
      <c r="J569" t="n">
        <v>0</v>
      </c>
      <c r="K569" t="n">
        <v>0</v>
      </c>
      <c r="L569" t="n">
        <v>0</v>
      </c>
      <c r="M569" t="n">
        <v>0</v>
      </c>
      <c r="N569" t="n">
        <v>0</v>
      </c>
      <c r="O569" t="n">
        <v>0</v>
      </c>
      <c r="P569" t="n">
        <v>0</v>
      </c>
      <c r="Q569" t="n">
        <v>0</v>
      </c>
      <c r="R569" s="2" t="inlineStr"/>
    </row>
    <row r="570" ht="15" customHeight="1">
      <c r="A570" t="inlineStr">
        <is>
          <t>A 30728-2020</t>
        </is>
      </c>
      <c r="B570" s="1" t="n">
        <v>44008</v>
      </c>
      <c r="C570" s="1" t="n">
        <v>45633</v>
      </c>
      <c r="D570" t="inlineStr">
        <is>
          <t>VÄSTERBOTTENS LÄN</t>
        </is>
      </c>
      <c r="E570" t="inlineStr">
        <is>
          <t>SKELLEFTEÅ</t>
        </is>
      </c>
      <c r="F570" t="inlineStr">
        <is>
          <t>Holmen skog AB</t>
        </is>
      </c>
      <c r="G570" t="n">
        <v>10.7</v>
      </c>
      <c r="H570" t="n">
        <v>0</v>
      </c>
      <c r="I570" t="n">
        <v>0</v>
      </c>
      <c r="J570" t="n">
        <v>0</v>
      </c>
      <c r="K570" t="n">
        <v>0</v>
      </c>
      <c r="L570" t="n">
        <v>0</v>
      </c>
      <c r="M570" t="n">
        <v>0</v>
      </c>
      <c r="N570" t="n">
        <v>0</v>
      </c>
      <c r="O570" t="n">
        <v>0</v>
      </c>
      <c r="P570" t="n">
        <v>0</v>
      </c>
      <c r="Q570" t="n">
        <v>0</v>
      </c>
      <c r="R570" s="2" t="inlineStr"/>
    </row>
    <row r="571" ht="15" customHeight="1">
      <c r="A571" t="inlineStr">
        <is>
          <t>A 30841-2020</t>
        </is>
      </c>
      <c r="B571" s="1" t="n">
        <v>44008</v>
      </c>
      <c r="C571" s="1" t="n">
        <v>45633</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30877-2020</t>
        </is>
      </c>
      <c r="B572" s="1" t="n">
        <v>44011</v>
      </c>
      <c r="C572" s="1" t="n">
        <v>45633</v>
      </c>
      <c r="D572" t="inlineStr">
        <is>
          <t>VÄSTERBOTTENS LÄN</t>
        </is>
      </c>
      <c r="E572" t="inlineStr">
        <is>
          <t>SKELLEFTEÅ</t>
        </is>
      </c>
      <c r="F572" t="inlineStr">
        <is>
          <t>Kyrkan</t>
        </is>
      </c>
      <c r="G572" t="n">
        <v>13.7</v>
      </c>
      <c r="H572" t="n">
        <v>0</v>
      </c>
      <c r="I572" t="n">
        <v>0</v>
      </c>
      <c r="J572" t="n">
        <v>0</v>
      </c>
      <c r="K572" t="n">
        <v>0</v>
      </c>
      <c r="L572" t="n">
        <v>0</v>
      </c>
      <c r="M572" t="n">
        <v>0</v>
      </c>
      <c r="N572" t="n">
        <v>0</v>
      </c>
      <c r="O572" t="n">
        <v>0</v>
      </c>
      <c r="P572" t="n">
        <v>0</v>
      </c>
      <c r="Q572" t="n">
        <v>0</v>
      </c>
      <c r="R572" s="2" t="inlineStr"/>
    </row>
    <row r="573" ht="15" customHeight="1">
      <c r="A573" t="inlineStr">
        <is>
          <t>A 30949-2020</t>
        </is>
      </c>
      <c r="B573" s="1" t="n">
        <v>44011</v>
      </c>
      <c r="C573" s="1" t="n">
        <v>45633</v>
      </c>
      <c r="D573" t="inlineStr">
        <is>
          <t>VÄSTERBOTTENS LÄN</t>
        </is>
      </c>
      <c r="E573" t="inlineStr">
        <is>
          <t>SKELLEFTEÅ</t>
        </is>
      </c>
      <c r="F573" t="inlineStr">
        <is>
          <t>Kommuner</t>
        </is>
      </c>
      <c r="G573" t="n">
        <v>4.1</v>
      </c>
      <c r="H573" t="n">
        <v>0</v>
      </c>
      <c r="I573" t="n">
        <v>0</v>
      </c>
      <c r="J573" t="n">
        <v>0</v>
      </c>
      <c r="K573" t="n">
        <v>0</v>
      </c>
      <c r="L573" t="n">
        <v>0</v>
      </c>
      <c r="M573" t="n">
        <v>0</v>
      </c>
      <c r="N573" t="n">
        <v>0</v>
      </c>
      <c r="O573" t="n">
        <v>0</v>
      </c>
      <c r="P573" t="n">
        <v>0</v>
      </c>
      <c r="Q573" t="n">
        <v>0</v>
      </c>
      <c r="R573" s="2" t="inlineStr"/>
    </row>
    <row r="574" ht="15" customHeight="1">
      <c r="A574" t="inlineStr">
        <is>
          <t>A 31060-2020</t>
        </is>
      </c>
      <c r="B574" s="1" t="n">
        <v>44012</v>
      </c>
      <c r="C574" s="1" t="n">
        <v>45633</v>
      </c>
      <c r="D574" t="inlineStr">
        <is>
          <t>VÄSTERBOTTENS LÄN</t>
        </is>
      </c>
      <c r="E574" t="inlineStr">
        <is>
          <t>SKELLEFTEÅ</t>
        </is>
      </c>
      <c r="G574" t="n">
        <v>3.3</v>
      </c>
      <c r="H574" t="n">
        <v>0</v>
      </c>
      <c r="I574" t="n">
        <v>0</v>
      </c>
      <c r="J574" t="n">
        <v>0</v>
      </c>
      <c r="K574" t="n">
        <v>0</v>
      </c>
      <c r="L574" t="n">
        <v>0</v>
      </c>
      <c r="M574" t="n">
        <v>0</v>
      </c>
      <c r="N574" t="n">
        <v>0</v>
      </c>
      <c r="O574" t="n">
        <v>0</v>
      </c>
      <c r="P574" t="n">
        <v>0</v>
      </c>
      <c r="Q574" t="n">
        <v>0</v>
      </c>
      <c r="R574" s="2" t="inlineStr"/>
    </row>
    <row r="575" ht="15" customHeight="1">
      <c r="A575" t="inlineStr">
        <is>
          <t>A 31434-2020</t>
        </is>
      </c>
      <c r="B575" s="1" t="n">
        <v>44012</v>
      </c>
      <c r="C575" s="1" t="n">
        <v>45633</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31331-2020</t>
        </is>
      </c>
      <c r="B576" s="1" t="n">
        <v>44012</v>
      </c>
      <c r="C576" s="1" t="n">
        <v>45633</v>
      </c>
      <c r="D576" t="inlineStr">
        <is>
          <t>VÄSTERBOTTENS LÄN</t>
        </is>
      </c>
      <c r="E576" t="inlineStr">
        <is>
          <t>SKELLEFTEÅ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31490-2020</t>
        </is>
      </c>
      <c r="B577" s="1" t="n">
        <v>44013</v>
      </c>
      <c r="C577" s="1" t="n">
        <v>45633</v>
      </c>
      <c r="D577" t="inlineStr">
        <is>
          <t>VÄSTERBOTTENS LÄN</t>
        </is>
      </c>
      <c r="E577" t="inlineStr">
        <is>
          <t>SKELLEFTEÅ</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31515-2020</t>
        </is>
      </c>
      <c r="B578" s="1" t="n">
        <v>44013</v>
      </c>
      <c r="C578" s="1" t="n">
        <v>45633</v>
      </c>
      <c r="D578" t="inlineStr">
        <is>
          <t>VÄSTERBOTTENS LÄN</t>
        </is>
      </c>
      <c r="E578" t="inlineStr">
        <is>
          <t>SKELLEFTEÅ</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31519-2020</t>
        </is>
      </c>
      <c r="B579" s="1" t="n">
        <v>44013</v>
      </c>
      <c r="C579" s="1" t="n">
        <v>45633</v>
      </c>
      <c r="D579" t="inlineStr">
        <is>
          <t>VÄSTERBOTTENS LÄN</t>
        </is>
      </c>
      <c r="E579" t="inlineStr">
        <is>
          <t>SKELLEFTEÅ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31501-2020</t>
        </is>
      </c>
      <c r="B580" s="1" t="n">
        <v>44013</v>
      </c>
      <c r="C580" s="1" t="n">
        <v>45633</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31736-2020</t>
        </is>
      </c>
      <c r="B581" s="1" t="n">
        <v>44013</v>
      </c>
      <c r="C581" s="1" t="n">
        <v>45633</v>
      </c>
      <c r="D581" t="inlineStr">
        <is>
          <t>VÄSTERBOTTENS LÄN</t>
        </is>
      </c>
      <c r="E581" t="inlineStr">
        <is>
          <t>SKELLEFTEÅ</t>
        </is>
      </c>
      <c r="G581" t="n">
        <v>4</v>
      </c>
      <c r="H581" t="n">
        <v>0</v>
      </c>
      <c r="I581" t="n">
        <v>0</v>
      </c>
      <c r="J581" t="n">
        <v>0</v>
      </c>
      <c r="K581" t="n">
        <v>0</v>
      </c>
      <c r="L581" t="n">
        <v>0</v>
      </c>
      <c r="M581" t="n">
        <v>0</v>
      </c>
      <c r="N581" t="n">
        <v>0</v>
      </c>
      <c r="O581" t="n">
        <v>0</v>
      </c>
      <c r="P581" t="n">
        <v>0</v>
      </c>
      <c r="Q581" t="n">
        <v>0</v>
      </c>
      <c r="R581" s="2" t="inlineStr"/>
    </row>
    <row r="582" ht="15" customHeight="1">
      <c r="A582" t="inlineStr">
        <is>
          <t>A 31734-2020</t>
        </is>
      </c>
      <c r="B582" s="1" t="n">
        <v>44013</v>
      </c>
      <c r="C582" s="1" t="n">
        <v>45633</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32173-2020</t>
        </is>
      </c>
      <c r="B583" s="1" t="n">
        <v>44015</v>
      </c>
      <c r="C583" s="1" t="n">
        <v>45633</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32511-2020</t>
        </is>
      </c>
      <c r="B584" s="1" t="n">
        <v>44017</v>
      </c>
      <c r="C584" s="1" t="n">
        <v>45633</v>
      </c>
      <c r="D584" t="inlineStr">
        <is>
          <t>VÄSTERBOTTENS LÄN</t>
        </is>
      </c>
      <c r="E584" t="inlineStr">
        <is>
          <t>SKELLEFTEÅ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32549-2020</t>
        </is>
      </c>
      <c r="B585" s="1" t="n">
        <v>44017</v>
      </c>
      <c r="C585" s="1" t="n">
        <v>45633</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32526-2020</t>
        </is>
      </c>
      <c r="B586" s="1" t="n">
        <v>44017</v>
      </c>
      <c r="C586" s="1" t="n">
        <v>45633</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32530-2020</t>
        </is>
      </c>
      <c r="B587" s="1" t="n">
        <v>44017</v>
      </c>
      <c r="C587" s="1" t="n">
        <v>45633</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32885-2020</t>
        </is>
      </c>
      <c r="B588" s="1" t="n">
        <v>44020</v>
      </c>
      <c r="C588" s="1" t="n">
        <v>45633</v>
      </c>
      <c r="D588" t="inlineStr">
        <is>
          <t>VÄSTERBOTTENS LÄN</t>
        </is>
      </c>
      <c r="E588" t="inlineStr">
        <is>
          <t>SKELLEFTEÅ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32864-2020</t>
        </is>
      </c>
      <c r="B589" s="1" t="n">
        <v>44020</v>
      </c>
      <c r="C589" s="1" t="n">
        <v>45633</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33086-2020</t>
        </is>
      </c>
      <c r="B590" s="1" t="n">
        <v>44021</v>
      </c>
      <c r="C590" s="1" t="n">
        <v>45633</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33327-2020</t>
        </is>
      </c>
      <c r="B591" s="1" t="n">
        <v>44022</v>
      </c>
      <c r="C591" s="1" t="n">
        <v>45633</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33322-2020</t>
        </is>
      </c>
      <c r="B592" s="1" t="n">
        <v>44022</v>
      </c>
      <c r="C592" s="1" t="n">
        <v>45633</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33424-2020</t>
        </is>
      </c>
      <c r="B593" s="1" t="n">
        <v>44022</v>
      </c>
      <c r="C593" s="1" t="n">
        <v>45633</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33791-2020</t>
        </is>
      </c>
      <c r="B594" s="1" t="n">
        <v>44026</v>
      </c>
      <c r="C594" s="1" t="n">
        <v>45633</v>
      </c>
      <c r="D594" t="inlineStr">
        <is>
          <t>VÄSTERBOTTENS LÄN</t>
        </is>
      </c>
      <c r="E594" t="inlineStr">
        <is>
          <t>SKELLEFTEÅ</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34235-2020</t>
        </is>
      </c>
      <c r="B595" s="1" t="n">
        <v>44027</v>
      </c>
      <c r="C595" s="1" t="n">
        <v>45633</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34173-2020</t>
        </is>
      </c>
      <c r="B596" s="1" t="n">
        <v>44029</v>
      </c>
      <c r="C596" s="1" t="n">
        <v>45633</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34155-2020</t>
        </is>
      </c>
      <c r="B597" s="1" t="n">
        <v>44029</v>
      </c>
      <c r="C597" s="1" t="n">
        <v>45633</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34169-2020</t>
        </is>
      </c>
      <c r="B598" s="1" t="n">
        <v>44029</v>
      </c>
      <c r="C598" s="1" t="n">
        <v>45633</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34177-2020</t>
        </is>
      </c>
      <c r="B599" s="1" t="n">
        <v>44029</v>
      </c>
      <c r="C599" s="1" t="n">
        <v>45633</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34142-2020</t>
        </is>
      </c>
      <c r="B600" s="1" t="n">
        <v>44029</v>
      </c>
      <c r="C600" s="1" t="n">
        <v>45633</v>
      </c>
      <c r="D600" t="inlineStr">
        <is>
          <t>VÄSTERBOTTENS LÄN</t>
        </is>
      </c>
      <c r="E600" t="inlineStr">
        <is>
          <t>SKELLEFTEÅ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34351-2020</t>
        </is>
      </c>
      <c r="B601" s="1" t="n">
        <v>44032</v>
      </c>
      <c r="C601" s="1" t="n">
        <v>45633</v>
      </c>
      <c r="D601" t="inlineStr">
        <is>
          <t>VÄSTERBOTTENS LÄN</t>
        </is>
      </c>
      <c r="E601" t="inlineStr">
        <is>
          <t>SKELLEFTEÅ</t>
        </is>
      </c>
      <c r="G601" t="n">
        <v>2.4</v>
      </c>
      <c r="H601" t="n">
        <v>0</v>
      </c>
      <c r="I601" t="n">
        <v>0</v>
      </c>
      <c r="J601" t="n">
        <v>0</v>
      </c>
      <c r="K601" t="n">
        <v>0</v>
      </c>
      <c r="L601" t="n">
        <v>0</v>
      </c>
      <c r="M601" t="n">
        <v>0</v>
      </c>
      <c r="N601" t="n">
        <v>0</v>
      </c>
      <c r="O601" t="n">
        <v>0</v>
      </c>
      <c r="P601" t="n">
        <v>0</v>
      </c>
      <c r="Q601" t="n">
        <v>0</v>
      </c>
      <c r="R601" s="2" t="inlineStr"/>
    </row>
    <row r="602" ht="15" customHeight="1">
      <c r="A602" t="inlineStr">
        <is>
          <t>A 34517-2020</t>
        </is>
      </c>
      <c r="B602" s="1" t="n">
        <v>44033</v>
      </c>
      <c r="C602" s="1" t="n">
        <v>45633</v>
      </c>
      <c r="D602" t="inlineStr">
        <is>
          <t>VÄSTERBOTTENS LÄN</t>
        </is>
      </c>
      <c r="E602" t="inlineStr">
        <is>
          <t>SKELLEFTEÅ</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35173-2020</t>
        </is>
      </c>
      <c r="B603" s="1" t="n">
        <v>44040</v>
      </c>
      <c r="C603" s="1" t="n">
        <v>45633</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35285-2020</t>
        </is>
      </c>
      <c r="B604" s="1" t="n">
        <v>44041</v>
      </c>
      <c r="C604" s="1" t="n">
        <v>45633</v>
      </c>
      <c r="D604" t="inlineStr">
        <is>
          <t>VÄSTERBOTTENS LÄN</t>
        </is>
      </c>
      <c r="E604" t="inlineStr">
        <is>
          <t>SKELLEFTEÅ</t>
        </is>
      </c>
      <c r="F604" t="inlineStr">
        <is>
          <t>Holmen skog AB</t>
        </is>
      </c>
      <c r="G604" t="n">
        <v>4.2</v>
      </c>
      <c r="H604" t="n">
        <v>0</v>
      </c>
      <c r="I604" t="n">
        <v>0</v>
      </c>
      <c r="J604" t="n">
        <v>0</v>
      </c>
      <c r="K604" t="n">
        <v>0</v>
      </c>
      <c r="L604" t="n">
        <v>0</v>
      </c>
      <c r="M604" t="n">
        <v>0</v>
      </c>
      <c r="N604" t="n">
        <v>0</v>
      </c>
      <c r="O604" t="n">
        <v>0</v>
      </c>
      <c r="P604" t="n">
        <v>0</v>
      </c>
      <c r="Q604" t="n">
        <v>0</v>
      </c>
      <c r="R604" s="2" t="inlineStr"/>
    </row>
    <row r="605" ht="15" customHeight="1">
      <c r="A605" t="inlineStr">
        <is>
          <t>A 35806-2020</t>
        </is>
      </c>
      <c r="B605" s="1" t="n">
        <v>44046</v>
      </c>
      <c r="C605" s="1" t="n">
        <v>45633</v>
      </c>
      <c r="D605" t="inlineStr">
        <is>
          <t>VÄSTERBOTTENS LÄN</t>
        </is>
      </c>
      <c r="E605" t="inlineStr">
        <is>
          <t>SKELLEFTEÅ</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35807-2020</t>
        </is>
      </c>
      <c r="B606" s="1" t="n">
        <v>44046</v>
      </c>
      <c r="C606" s="1" t="n">
        <v>45633</v>
      </c>
      <c r="D606" t="inlineStr">
        <is>
          <t>VÄSTERBOTTENS LÄN</t>
        </is>
      </c>
      <c r="E606" t="inlineStr">
        <is>
          <t>SKELLEFTEÅ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36401-2020</t>
        </is>
      </c>
      <c r="B607" s="1" t="n">
        <v>44049</v>
      </c>
      <c r="C607" s="1" t="n">
        <v>45633</v>
      </c>
      <c r="D607" t="inlineStr">
        <is>
          <t>VÄSTERBOTTENS LÄN</t>
        </is>
      </c>
      <c r="E607" t="inlineStr">
        <is>
          <t>SKELLEFTEÅ</t>
        </is>
      </c>
      <c r="F607" t="inlineStr">
        <is>
          <t>Holmen skog AB</t>
        </is>
      </c>
      <c r="G607" t="n">
        <v>11.1</v>
      </c>
      <c r="H607" t="n">
        <v>0</v>
      </c>
      <c r="I607" t="n">
        <v>0</v>
      </c>
      <c r="J607" t="n">
        <v>0</v>
      </c>
      <c r="K607" t="n">
        <v>0</v>
      </c>
      <c r="L607" t="n">
        <v>0</v>
      </c>
      <c r="M607" t="n">
        <v>0</v>
      </c>
      <c r="N607" t="n">
        <v>0</v>
      </c>
      <c r="O607" t="n">
        <v>0</v>
      </c>
      <c r="P607" t="n">
        <v>0</v>
      </c>
      <c r="Q607" t="n">
        <v>0</v>
      </c>
      <c r="R607" s="2" t="inlineStr"/>
    </row>
    <row r="608" ht="15" customHeight="1">
      <c r="A608" t="inlineStr">
        <is>
          <t>A 38217-2020</t>
        </is>
      </c>
      <c r="B608" s="1" t="n">
        <v>44050</v>
      </c>
      <c r="C608" s="1" t="n">
        <v>45633</v>
      </c>
      <c r="D608" t="inlineStr">
        <is>
          <t>VÄSTERBOTTENS LÄN</t>
        </is>
      </c>
      <c r="E608" t="inlineStr">
        <is>
          <t>SKELLEFTEÅ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37384-2020</t>
        </is>
      </c>
      <c r="B609" s="1" t="n">
        <v>44055</v>
      </c>
      <c r="C609" s="1" t="n">
        <v>45633</v>
      </c>
      <c r="D609" t="inlineStr">
        <is>
          <t>VÄSTERBOTTENS LÄN</t>
        </is>
      </c>
      <c r="E609" t="inlineStr">
        <is>
          <t>SKELLEFTEÅ</t>
        </is>
      </c>
      <c r="F609" t="inlineStr">
        <is>
          <t>Holmen skog AB</t>
        </is>
      </c>
      <c r="G609" t="n">
        <v>0.2</v>
      </c>
      <c r="H609" t="n">
        <v>0</v>
      </c>
      <c r="I609" t="n">
        <v>0</v>
      </c>
      <c r="J609" t="n">
        <v>0</v>
      </c>
      <c r="K609" t="n">
        <v>0</v>
      </c>
      <c r="L609" t="n">
        <v>0</v>
      </c>
      <c r="M609" t="n">
        <v>0</v>
      </c>
      <c r="N609" t="n">
        <v>0</v>
      </c>
      <c r="O609" t="n">
        <v>0</v>
      </c>
      <c r="P609" t="n">
        <v>0</v>
      </c>
      <c r="Q609" t="n">
        <v>0</v>
      </c>
      <c r="R609" s="2" t="inlineStr"/>
    </row>
    <row r="610" ht="15" customHeight="1">
      <c r="A610" t="inlineStr">
        <is>
          <t>A 37393-2020</t>
        </is>
      </c>
      <c r="B610" s="1" t="n">
        <v>44055</v>
      </c>
      <c r="C610" s="1" t="n">
        <v>45633</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37268-2020</t>
        </is>
      </c>
      <c r="B611" s="1" t="n">
        <v>44055</v>
      </c>
      <c r="C611" s="1" t="n">
        <v>45633</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37860-2020</t>
        </is>
      </c>
      <c r="B612" s="1" t="n">
        <v>44057</v>
      </c>
      <c r="C612" s="1" t="n">
        <v>45633</v>
      </c>
      <c r="D612" t="inlineStr">
        <is>
          <t>VÄSTERBOTTENS LÄN</t>
        </is>
      </c>
      <c r="E612" t="inlineStr">
        <is>
          <t>SKELLEFTEÅ</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37858-2020</t>
        </is>
      </c>
      <c r="B613" s="1" t="n">
        <v>44057</v>
      </c>
      <c r="C613" s="1" t="n">
        <v>45633</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37869-2020</t>
        </is>
      </c>
      <c r="B614" s="1" t="n">
        <v>44057</v>
      </c>
      <c r="C614" s="1" t="n">
        <v>45633</v>
      </c>
      <c r="D614" t="inlineStr">
        <is>
          <t>VÄSTERBOTTENS LÄN</t>
        </is>
      </c>
      <c r="E614" t="inlineStr">
        <is>
          <t>SKELLEFTEÅ</t>
        </is>
      </c>
      <c r="G614" t="n">
        <v>11.5</v>
      </c>
      <c r="H614" t="n">
        <v>0</v>
      </c>
      <c r="I614" t="n">
        <v>0</v>
      </c>
      <c r="J614" t="n">
        <v>0</v>
      </c>
      <c r="K614" t="n">
        <v>0</v>
      </c>
      <c r="L614" t="n">
        <v>0</v>
      </c>
      <c r="M614" t="n">
        <v>0</v>
      </c>
      <c r="N614" t="n">
        <v>0</v>
      </c>
      <c r="O614" t="n">
        <v>0</v>
      </c>
      <c r="P614" t="n">
        <v>0</v>
      </c>
      <c r="Q614" t="n">
        <v>0</v>
      </c>
      <c r="R614" s="2" t="inlineStr"/>
    </row>
    <row r="615" ht="15" customHeight="1">
      <c r="A615" t="inlineStr">
        <is>
          <t>A 37862-2020</t>
        </is>
      </c>
      <c r="B615" s="1" t="n">
        <v>44057</v>
      </c>
      <c r="C615" s="1" t="n">
        <v>45633</v>
      </c>
      <c r="D615" t="inlineStr">
        <is>
          <t>VÄSTERBOTTENS LÄN</t>
        </is>
      </c>
      <c r="E615" t="inlineStr">
        <is>
          <t>SKELLEFTEÅ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38174-2020</t>
        </is>
      </c>
      <c r="B616" s="1" t="n">
        <v>44057</v>
      </c>
      <c r="C616" s="1" t="n">
        <v>45633</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38181-2020</t>
        </is>
      </c>
      <c r="B617" s="1" t="n">
        <v>44057</v>
      </c>
      <c r="C617" s="1" t="n">
        <v>45633</v>
      </c>
      <c r="D617" t="inlineStr">
        <is>
          <t>VÄSTERBOTTENS LÄN</t>
        </is>
      </c>
      <c r="E617" t="inlineStr">
        <is>
          <t>SKELLEFTEÅ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38120-2020</t>
        </is>
      </c>
      <c r="B618" s="1" t="n">
        <v>44059</v>
      </c>
      <c r="C618" s="1" t="n">
        <v>45633</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38132-2020</t>
        </is>
      </c>
      <c r="B619" s="1" t="n">
        <v>44059</v>
      </c>
      <c r="C619" s="1" t="n">
        <v>45633</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38119-2020</t>
        </is>
      </c>
      <c r="B620" s="1" t="n">
        <v>44059</v>
      </c>
      <c r="C620" s="1" t="n">
        <v>45633</v>
      </c>
      <c r="D620" t="inlineStr">
        <is>
          <t>VÄSTERBOTTENS LÄN</t>
        </is>
      </c>
      <c r="E620" t="inlineStr">
        <is>
          <t>SKELLEFTEÅ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38187-2020</t>
        </is>
      </c>
      <c r="B621" s="1" t="n">
        <v>44060</v>
      </c>
      <c r="C621" s="1" t="n">
        <v>45633</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38192-2020</t>
        </is>
      </c>
      <c r="B622" s="1" t="n">
        <v>44060</v>
      </c>
      <c r="C622" s="1" t="n">
        <v>45633</v>
      </c>
      <c r="D622" t="inlineStr">
        <is>
          <t>VÄSTERBOTTENS LÄN</t>
        </is>
      </c>
      <c r="E622" t="inlineStr">
        <is>
          <t>SKELLEFTEÅ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39268-2020</t>
        </is>
      </c>
      <c r="B623" s="1" t="n">
        <v>44063</v>
      </c>
      <c r="C623" s="1" t="n">
        <v>45633</v>
      </c>
      <c r="D623" t="inlineStr">
        <is>
          <t>VÄSTERBOTTENS LÄN</t>
        </is>
      </c>
      <c r="E623" t="inlineStr">
        <is>
          <t>SKELLEFTEÅ</t>
        </is>
      </c>
      <c r="F623" t="inlineStr">
        <is>
          <t>Holmen skog AB</t>
        </is>
      </c>
      <c r="G623" t="n">
        <v>10.2</v>
      </c>
      <c r="H623" t="n">
        <v>0</v>
      </c>
      <c r="I623" t="n">
        <v>0</v>
      </c>
      <c r="J623" t="n">
        <v>0</v>
      </c>
      <c r="K623" t="n">
        <v>0</v>
      </c>
      <c r="L623" t="n">
        <v>0</v>
      </c>
      <c r="M623" t="n">
        <v>0</v>
      </c>
      <c r="N623" t="n">
        <v>0</v>
      </c>
      <c r="O623" t="n">
        <v>0</v>
      </c>
      <c r="P623" t="n">
        <v>0</v>
      </c>
      <c r="Q623" t="n">
        <v>0</v>
      </c>
      <c r="R623" s="2" t="inlineStr"/>
    </row>
    <row r="624" ht="15" customHeight="1">
      <c r="A624" t="inlineStr">
        <is>
          <t>A 39992-2020</t>
        </is>
      </c>
      <c r="B624" s="1" t="n">
        <v>44067</v>
      </c>
      <c r="C624" s="1" t="n">
        <v>45633</v>
      </c>
      <c r="D624" t="inlineStr">
        <is>
          <t>VÄSTERBOTTENS LÄN</t>
        </is>
      </c>
      <c r="E624" t="inlineStr">
        <is>
          <t>SKELLEFTEÅ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40196-2020</t>
        </is>
      </c>
      <c r="B625" s="1" t="n">
        <v>44068</v>
      </c>
      <c r="C625" s="1" t="n">
        <v>45633</v>
      </c>
      <c r="D625" t="inlineStr">
        <is>
          <t>VÄSTERBOTTENS LÄN</t>
        </is>
      </c>
      <c r="E625" t="inlineStr">
        <is>
          <t>SKELLEFTEÅ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40277-2020</t>
        </is>
      </c>
      <c r="B626" s="1" t="n">
        <v>44068</v>
      </c>
      <c r="C626" s="1" t="n">
        <v>45633</v>
      </c>
      <c r="D626" t="inlineStr">
        <is>
          <t>VÄSTERBOTTENS LÄN</t>
        </is>
      </c>
      <c r="E626" t="inlineStr">
        <is>
          <t>SKELLEFTEÅ</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40860-2020</t>
        </is>
      </c>
      <c r="B627" s="1" t="n">
        <v>44068</v>
      </c>
      <c r="C627" s="1" t="n">
        <v>45633</v>
      </c>
      <c r="D627" t="inlineStr">
        <is>
          <t>VÄSTERBOTTENS LÄN</t>
        </is>
      </c>
      <c r="E627" t="inlineStr">
        <is>
          <t>SKELLEFTEÅ</t>
        </is>
      </c>
      <c r="G627" t="n">
        <v>8.9</v>
      </c>
      <c r="H627" t="n">
        <v>0</v>
      </c>
      <c r="I627" t="n">
        <v>0</v>
      </c>
      <c r="J627" t="n">
        <v>0</v>
      </c>
      <c r="K627" t="n">
        <v>0</v>
      </c>
      <c r="L627" t="n">
        <v>0</v>
      </c>
      <c r="M627" t="n">
        <v>0</v>
      </c>
      <c r="N627" t="n">
        <v>0</v>
      </c>
      <c r="O627" t="n">
        <v>0</v>
      </c>
      <c r="P627" t="n">
        <v>0</v>
      </c>
      <c r="Q627" t="n">
        <v>0</v>
      </c>
      <c r="R627" s="2" t="inlineStr"/>
    </row>
    <row r="628" ht="15" customHeight="1">
      <c r="A628" t="inlineStr">
        <is>
          <t>A 41005-2020</t>
        </is>
      </c>
      <c r="B628" s="1" t="n">
        <v>44068</v>
      </c>
      <c r="C628" s="1" t="n">
        <v>45633</v>
      </c>
      <c r="D628" t="inlineStr">
        <is>
          <t>VÄSTERBOTTENS LÄN</t>
        </is>
      </c>
      <c r="E628" t="inlineStr">
        <is>
          <t>SKELLEFTEÅ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40469-2020</t>
        </is>
      </c>
      <c r="B629" s="1" t="n">
        <v>44069</v>
      </c>
      <c r="C629" s="1" t="n">
        <v>45633</v>
      </c>
      <c r="D629" t="inlineStr">
        <is>
          <t>VÄSTERBOTTENS LÄN</t>
        </is>
      </c>
      <c r="E629" t="inlineStr">
        <is>
          <t>SKELLEFTEÅ</t>
        </is>
      </c>
      <c r="G629" t="n">
        <v>4.4</v>
      </c>
      <c r="H629" t="n">
        <v>0</v>
      </c>
      <c r="I629" t="n">
        <v>0</v>
      </c>
      <c r="J629" t="n">
        <v>0</v>
      </c>
      <c r="K629" t="n">
        <v>0</v>
      </c>
      <c r="L629" t="n">
        <v>0</v>
      </c>
      <c r="M629" t="n">
        <v>0</v>
      </c>
      <c r="N629" t="n">
        <v>0</v>
      </c>
      <c r="O629" t="n">
        <v>0</v>
      </c>
      <c r="P629" t="n">
        <v>0</v>
      </c>
      <c r="Q629" t="n">
        <v>0</v>
      </c>
      <c r="R629" s="2" t="inlineStr"/>
    </row>
    <row r="630" ht="15" customHeight="1">
      <c r="A630" t="inlineStr">
        <is>
          <t>A 40566-2020</t>
        </is>
      </c>
      <c r="B630" s="1" t="n">
        <v>44069</v>
      </c>
      <c r="C630" s="1" t="n">
        <v>45633</v>
      </c>
      <c r="D630" t="inlineStr">
        <is>
          <t>VÄSTERBOTTENS LÄN</t>
        </is>
      </c>
      <c r="E630" t="inlineStr">
        <is>
          <t>SKELLEFTEÅ</t>
        </is>
      </c>
      <c r="F630" t="inlineStr">
        <is>
          <t>Holmen skog AB</t>
        </is>
      </c>
      <c r="G630" t="n">
        <v>7.1</v>
      </c>
      <c r="H630" t="n">
        <v>0</v>
      </c>
      <c r="I630" t="n">
        <v>0</v>
      </c>
      <c r="J630" t="n">
        <v>0</v>
      </c>
      <c r="K630" t="n">
        <v>0</v>
      </c>
      <c r="L630" t="n">
        <v>0</v>
      </c>
      <c r="M630" t="n">
        <v>0</v>
      </c>
      <c r="N630" t="n">
        <v>0</v>
      </c>
      <c r="O630" t="n">
        <v>0</v>
      </c>
      <c r="P630" t="n">
        <v>0</v>
      </c>
      <c r="Q630" t="n">
        <v>0</v>
      </c>
      <c r="R630" s="2" t="inlineStr"/>
    </row>
    <row r="631" ht="15" customHeight="1">
      <c r="A631" t="inlineStr">
        <is>
          <t>A 40756-2020</t>
        </is>
      </c>
      <c r="B631" s="1" t="n">
        <v>44069</v>
      </c>
      <c r="C631" s="1" t="n">
        <v>45633</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40828-2020</t>
        </is>
      </c>
      <c r="B632" s="1" t="n">
        <v>44070</v>
      </c>
      <c r="C632" s="1" t="n">
        <v>45633</v>
      </c>
      <c r="D632" t="inlineStr">
        <is>
          <t>VÄSTERBOTTENS LÄN</t>
        </is>
      </c>
      <c r="E632" t="inlineStr">
        <is>
          <t>SKELLEFTEÅ</t>
        </is>
      </c>
      <c r="G632" t="n">
        <v>2.7</v>
      </c>
      <c r="H632" t="n">
        <v>0</v>
      </c>
      <c r="I632" t="n">
        <v>0</v>
      </c>
      <c r="J632" t="n">
        <v>0</v>
      </c>
      <c r="K632" t="n">
        <v>0</v>
      </c>
      <c r="L632" t="n">
        <v>0</v>
      </c>
      <c r="M632" t="n">
        <v>0</v>
      </c>
      <c r="N632" t="n">
        <v>0</v>
      </c>
      <c r="O632" t="n">
        <v>0</v>
      </c>
      <c r="P632" t="n">
        <v>0</v>
      </c>
      <c r="Q632" t="n">
        <v>0</v>
      </c>
      <c r="R632" s="2" t="inlineStr"/>
    </row>
    <row r="633" ht="15" customHeight="1">
      <c r="A633" t="inlineStr">
        <is>
          <t>A 41372-2020</t>
        </is>
      </c>
      <c r="B633" s="1" t="n">
        <v>44071</v>
      </c>
      <c r="C633" s="1" t="n">
        <v>45633</v>
      </c>
      <c r="D633" t="inlineStr">
        <is>
          <t>VÄSTERBOTTENS LÄN</t>
        </is>
      </c>
      <c r="E633" t="inlineStr">
        <is>
          <t>SKELLEFTEÅ</t>
        </is>
      </c>
      <c r="G633" t="n">
        <v>3.5</v>
      </c>
      <c r="H633" t="n">
        <v>0</v>
      </c>
      <c r="I633" t="n">
        <v>0</v>
      </c>
      <c r="J633" t="n">
        <v>0</v>
      </c>
      <c r="K633" t="n">
        <v>0</v>
      </c>
      <c r="L633" t="n">
        <v>0</v>
      </c>
      <c r="M633" t="n">
        <v>0</v>
      </c>
      <c r="N633" t="n">
        <v>0</v>
      </c>
      <c r="O633" t="n">
        <v>0</v>
      </c>
      <c r="P633" t="n">
        <v>0</v>
      </c>
      <c r="Q633" t="n">
        <v>0</v>
      </c>
      <c r="R633" s="2" t="inlineStr"/>
    </row>
    <row r="634" ht="15" customHeight="1">
      <c r="A634" t="inlineStr">
        <is>
          <t>A 42123-2020</t>
        </is>
      </c>
      <c r="B634" s="1" t="n">
        <v>44071</v>
      </c>
      <c r="C634" s="1" t="n">
        <v>45633</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41428-2020</t>
        </is>
      </c>
      <c r="B635" s="1" t="n">
        <v>44073</v>
      </c>
      <c r="C635" s="1" t="n">
        <v>45633</v>
      </c>
      <c r="D635" t="inlineStr">
        <is>
          <t>VÄSTERBOTTENS LÄN</t>
        </is>
      </c>
      <c r="E635" t="inlineStr">
        <is>
          <t>SKELLEFTEÅ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41841-2020</t>
        </is>
      </c>
      <c r="B636" s="1" t="n">
        <v>44074</v>
      </c>
      <c r="C636" s="1" t="n">
        <v>45633</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42049-2020</t>
        </is>
      </c>
      <c r="B637" s="1" t="n">
        <v>44074</v>
      </c>
      <c r="C637" s="1" t="n">
        <v>45633</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41989-2020</t>
        </is>
      </c>
      <c r="B638" s="1" t="n">
        <v>44075</v>
      </c>
      <c r="C638" s="1" t="n">
        <v>45633</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42685-2020</t>
        </is>
      </c>
      <c r="B639" s="1" t="n">
        <v>44075</v>
      </c>
      <c r="C639" s="1" t="n">
        <v>45633</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42679-2020</t>
        </is>
      </c>
      <c r="B640" s="1" t="n">
        <v>44075</v>
      </c>
      <c r="C640" s="1" t="n">
        <v>45633</v>
      </c>
      <c r="D640" t="inlineStr">
        <is>
          <t>VÄSTERBOTTENS LÄN</t>
        </is>
      </c>
      <c r="E640" t="inlineStr">
        <is>
          <t>SKELLEFTEÅ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43331-2020</t>
        </is>
      </c>
      <c r="B641" s="1" t="n">
        <v>44076</v>
      </c>
      <c r="C641" s="1" t="n">
        <v>45633</v>
      </c>
      <c r="D641" t="inlineStr">
        <is>
          <t>VÄSTERBOTTENS LÄN</t>
        </is>
      </c>
      <c r="E641" t="inlineStr">
        <is>
          <t>SKELLEFTEÅ</t>
        </is>
      </c>
      <c r="G641" t="n">
        <v>3.8</v>
      </c>
      <c r="H641" t="n">
        <v>0</v>
      </c>
      <c r="I641" t="n">
        <v>0</v>
      </c>
      <c r="J641" t="n">
        <v>0</v>
      </c>
      <c r="K641" t="n">
        <v>0</v>
      </c>
      <c r="L641" t="n">
        <v>0</v>
      </c>
      <c r="M641" t="n">
        <v>0</v>
      </c>
      <c r="N641" t="n">
        <v>0</v>
      </c>
      <c r="O641" t="n">
        <v>0</v>
      </c>
      <c r="P641" t="n">
        <v>0</v>
      </c>
      <c r="Q641" t="n">
        <v>0</v>
      </c>
      <c r="R641" s="2" t="inlineStr"/>
    </row>
    <row r="642" ht="15" customHeight="1">
      <c r="A642" t="inlineStr">
        <is>
          <t>A 42648-2020</t>
        </is>
      </c>
      <c r="B642" s="1" t="n">
        <v>44077</v>
      </c>
      <c r="C642" s="1" t="n">
        <v>45633</v>
      </c>
      <c r="D642" t="inlineStr">
        <is>
          <t>VÄSTERBOTTENS LÄN</t>
        </is>
      </c>
      <c r="E642" t="inlineStr">
        <is>
          <t>SKELLEFTEÅ</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42808-2020</t>
        </is>
      </c>
      <c r="B643" s="1" t="n">
        <v>44078</v>
      </c>
      <c r="C643" s="1" t="n">
        <v>45633</v>
      </c>
      <c r="D643" t="inlineStr">
        <is>
          <t>VÄSTERBOTTENS LÄN</t>
        </is>
      </c>
      <c r="E643" t="inlineStr">
        <is>
          <t>SKELLEFTEÅ</t>
        </is>
      </c>
      <c r="F643" t="inlineStr">
        <is>
          <t>Kommuner</t>
        </is>
      </c>
      <c r="G643" t="n">
        <v>6.5</v>
      </c>
      <c r="H643" t="n">
        <v>0</v>
      </c>
      <c r="I643" t="n">
        <v>0</v>
      </c>
      <c r="J643" t="n">
        <v>0</v>
      </c>
      <c r="K643" t="n">
        <v>0</v>
      </c>
      <c r="L643" t="n">
        <v>0</v>
      </c>
      <c r="M643" t="n">
        <v>0</v>
      </c>
      <c r="N643" t="n">
        <v>0</v>
      </c>
      <c r="O643" t="n">
        <v>0</v>
      </c>
      <c r="P643" t="n">
        <v>0</v>
      </c>
      <c r="Q643" t="n">
        <v>0</v>
      </c>
      <c r="R643" s="2" t="inlineStr"/>
    </row>
    <row r="644" ht="15" customHeight="1">
      <c r="A644" t="inlineStr">
        <is>
          <t>A 43054-2020</t>
        </is>
      </c>
      <c r="B644" s="1" t="n">
        <v>44078</v>
      </c>
      <c r="C644" s="1" t="n">
        <v>45633</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43222-2020</t>
        </is>
      </c>
      <c r="B645" s="1" t="n">
        <v>44081</v>
      </c>
      <c r="C645" s="1" t="n">
        <v>45633</v>
      </c>
      <c r="D645" t="inlineStr">
        <is>
          <t>VÄSTERBOTTENS LÄN</t>
        </is>
      </c>
      <c r="E645" t="inlineStr">
        <is>
          <t>SKELLEFTEÅ</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43292-2020</t>
        </is>
      </c>
      <c r="B646" s="1" t="n">
        <v>44081</v>
      </c>
      <c r="C646" s="1" t="n">
        <v>45633</v>
      </c>
      <c r="D646" t="inlineStr">
        <is>
          <t>VÄSTERBOTTENS LÄN</t>
        </is>
      </c>
      <c r="E646" t="inlineStr">
        <is>
          <t>SKELLEFTEÅ</t>
        </is>
      </c>
      <c r="F646" t="inlineStr">
        <is>
          <t>Sveaskog</t>
        </is>
      </c>
      <c r="G646" t="n">
        <v>10.1</v>
      </c>
      <c r="H646" t="n">
        <v>0</v>
      </c>
      <c r="I646" t="n">
        <v>0</v>
      </c>
      <c r="J646" t="n">
        <v>0</v>
      </c>
      <c r="K646" t="n">
        <v>0</v>
      </c>
      <c r="L646" t="n">
        <v>0</v>
      </c>
      <c r="M646" t="n">
        <v>0</v>
      </c>
      <c r="N646" t="n">
        <v>0</v>
      </c>
      <c r="O646" t="n">
        <v>0</v>
      </c>
      <c r="P646" t="n">
        <v>0</v>
      </c>
      <c r="Q646" t="n">
        <v>0</v>
      </c>
      <c r="R646" s="2" t="inlineStr"/>
    </row>
    <row r="647" ht="15" customHeight="1">
      <c r="A647" t="inlineStr">
        <is>
          <t>A 43344-2020</t>
        </is>
      </c>
      <c r="B647" s="1" t="n">
        <v>44081</v>
      </c>
      <c r="C647" s="1" t="n">
        <v>45633</v>
      </c>
      <c r="D647" t="inlineStr">
        <is>
          <t>VÄSTERBOTTENS LÄN</t>
        </is>
      </c>
      <c r="E647" t="inlineStr">
        <is>
          <t>SKELLEFTEÅ</t>
        </is>
      </c>
      <c r="F647" t="inlineStr">
        <is>
          <t>Sveaskog</t>
        </is>
      </c>
      <c r="G647" t="n">
        <v>11.4</v>
      </c>
      <c r="H647" t="n">
        <v>0</v>
      </c>
      <c r="I647" t="n">
        <v>0</v>
      </c>
      <c r="J647" t="n">
        <v>0</v>
      </c>
      <c r="K647" t="n">
        <v>0</v>
      </c>
      <c r="L647" t="n">
        <v>0</v>
      </c>
      <c r="M647" t="n">
        <v>0</v>
      </c>
      <c r="N647" t="n">
        <v>0</v>
      </c>
      <c r="O647" t="n">
        <v>0</v>
      </c>
      <c r="P647" t="n">
        <v>0</v>
      </c>
      <c r="Q647" t="n">
        <v>0</v>
      </c>
      <c r="R647" s="2" t="inlineStr"/>
    </row>
    <row r="648" ht="15" customHeight="1">
      <c r="A648" t="inlineStr">
        <is>
          <t>A 43327-2020</t>
        </is>
      </c>
      <c r="B648" s="1" t="n">
        <v>44081</v>
      </c>
      <c r="C648" s="1" t="n">
        <v>45633</v>
      </c>
      <c r="D648" t="inlineStr">
        <is>
          <t>VÄSTERBOTTENS LÄN</t>
        </is>
      </c>
      <c r="E648" t="inlineStr">
        <is>
          <t>SKELLEFTEÅ</t>
        </is>
      </c>
      <c r="F648" t="inlineStr">
        <is>
          <t>Sveaskog</t>
        </is>
      </c>
      <c r="G648" t="n">
        <v>23.3</v>
      </c>
      <c r="H648" t="n">
        <v>0</v>
      </c>
      <c r="I648" t="n">
        <v>0</v>
      </c>
      <c r="J648" t="n">
        <v>0</v>
      </c>
      <c r="K648" t="n">
        <v>0</v>
      </c>
      <c r="L648" t="n">
        <v>0</v>
      </c>
      <c r="M648" t="n">
        <v>0</v>
      </c>
      <c r="N648" t="n">
        <v>0</v>
      </c>
      <c r="O648" t="n">
        <v>0</v>
      </c>
      <c r="P648" t="n">
        <v>0</v>
      </c>
      <c r="Q648" t="n">
        <v>0</v>
      </c>
      <c r="R648" s="2" t="inlineStr"/>
    </row>
    <row r="649" ht="15" customHeight="1">
      <c r="A649" t="inlineStr">
        <is>
          <t>A 43505-2020</t>
        </is>
      </c>
      <c r="B649" s="1" t="n">
        <v>44082</v>
      </c>
      <c r="C649" s="1" t="n">
        <v>45633</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44564-2020</t>
        </is>
      </c>
      <c r="B650" s="1" t="n">
        <v>44082</v>
      </c>
      <c r="C650" s="1" t="n">
        <v>45633</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44721-2020</t>
        </is>
      </c>
      <c r="B651" s="1" t="n">
        <v>44082</v>
      </c>
      <c r="C651" s="1" t="n">
        <v>45633</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43928-2020</t>
        </is>
      </c>
      <c r="B652" s="1" t="n">
        <v>44083</v>
      </c>
      <c r="C652" s="1" t="n">
        <v>45633</v>
      </c>
      <c r="D652" t="inlineStr">
        <is>
          <t>VÄSTERBOTTENS LÄN</t>
        </is>
      </c>
      <c r="E652" t="inlineStr">
        <is>
          <t>SKELLEFTEÅ</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43923-2020</t>
        </is>
      </c>
      <c r="B653" s="1" t="n">
        <v>44083</v>
      </c>
      <c r="C653" s="1" t="n">
        <v>45633</v>
      </c>
      <c r="D653" t="inlineStr">
        <is>
          <t>VÄSTERBOTTENS LÄN</t>
        </is>
      </c>
      <c r="E653" t="inlineStr">
        <is>
          <t>SKELLEFTEÅ</t>
        </is>
      </c>
      <c r="F653" t="inlineStr">
        <is>
          <t>Sveaskog</t>
        </is>
      </c>
      <c r="G653" t="n">
        <v>3.5</v>
      </c>
      <c r="H653" t="n">
        <v>0</v>
      </c>
      <c r="I653" t="n">
        <v>0</v>
      </c>
      <c r="J653" t="n">
        <v>0</v>
      </c>
      <c r="K653" t="n">
        <v>0</v>
      </c>
      <c r="L653" t="n">
        <v>0</v>
      </c>
      <c r="M653" t="n">
        <v>0</v>
      </c>
      <c r="N653" t="n">
        <v>0</v>
      </c>
      <c r="O653" t="n">
        <v>0</v>
      </c>
      <c r="P653" t="n">
        <v>0</v>
      </c>
      <c r="Q653" t="n">
        <v>0</v>
      </c>
      <c r="R653" s="2" t="inlineStr"/>
    </row>
    <row r="654" ht="15" customHeight="1">
      <c r="A654" t="inlineStr">
        <is>
          <t>A 43933-2020</t>
        </is>
      </c>
      <c r="B654" s="1" t="n">
        <v>44083</v>
      </c>
      <c r="C654" s="1" t="n">
        <v>45633</v>
      </c>
      <c r="D654" t="inlineStr">
        <is>
          <t>VÄSTERBOTTENS LÄN</t>
        </is>
      </c>
      <c r="E654" t="inlineStr">
        <is>
          <t>SKELLEFTEÅ</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44068-2020</t>
        </is>
      </c>
      <c r="B655" s="1" t="n">
        <v>44083</v>
      </c>
      <c r="C655" s="1" t="n">
        <v>45633</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43930-2020</t>
        </is>
      </c>
      <c r="B656" s="1" t="n">
        <v>44083</v>
      </c>
      <c r="C656" s="1" t="n">
        <v>45633</v>
      </c>
      <c r="D656" t="inlineStr">
        <is>
          <t>VÄSTERBOTTENS LÄN</t>
        </is>
      </c>
      <c r="E656" t="inlineStr">
        <is>
          <t>SKELLEFTEÅ</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43993-2020</t>
        </is>
      </c>
      <c r="B657" s="1" t="n">
        <v>44083</v>
      </c>
      <c r="C657" s="1" t="n">
        <v>45633</v>
      </c>
      <c r="D657" t="inlineStr">
        <is>
          <t>VÄSTERBOTTENS LÄN</t>
        </is>
      </c>
      <c r="E657" t="inlineStr">
        <is>
          <t>SKELLEFTEÅ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18255-2021</t>
        </is>
      </c>
      <c r="B658" s="1" t="n">
        <v>44083</v>
      </c>
      <c r="C658" s="1" t="n">
        <v>45633</v>
      </c>
      <c r="D658" t="inlineStr">
        <is>
          <t>VÄSTERBOTTENS LÄN</t>
        </is>
      </c>
      <c r="E658" t="inlineStr">
        <is>
          <t>SKELLEFTEÅ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18263-2021</t>
        </is>
      </c>
      <c r="B659" s="1" t="n">
        <v>44083</v>
      </c>
      <c r="C659" s="1" t="n">
        <v>45633</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44436-2020</t>
        </is>
      </c>
      <c r="B660" s="1" t="n">
        <v>44084</v>
      </c>
      <c r="C660" s="1" t="n">
        <v>45633</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44587-2020</t>
        </is>
      </c>
      <c r="B661" s="1" t="n">
        <v>44085</v>
      </c>
      <c r="C661" s="1" t="n">
        <v>45633</v>
      </c>
      <c r="D661" t="inlineStr">
        <is>
          <t>VÄSTERBOTTENS LÄN</t>
        </is>
      </c>
      <c r="E661" t="inlineStr">
        <is>
          <t>SKELLEFTEÅ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44572-2020</t>
        </is>
      </c>
      <c r="B662" s="1" t="n">
        <v>44085</v>
      </c>
      <c r="C662" s="1" t="n">
        <v>45633</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44592-2020</t>
        </is>
      </c>
      <c r="B663" s="1" t="n">
        <v>44085</v>
      </c>
      <c r="C663" s="1" t="n">
        <v>45633</v>
      </c>
      <c r="D663" t="inlineStr">
        <is>
          <t>VÄSTERBOTTENS LÄN</t>
        </is>
      </c>
      <c r="E663" t="inlineStr">
        <is>
          <t>SKELLEFTEÅ</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44667-2020</t>
        </is>
      </c>
      <c r="B664" s="1" t="n">
        <v>44085</v>
      </c>
      <c r="C664" s="1" t="n">
        <v>45633</v>
      </c>
      <c r="D664" t="inlineStr">
        <is>
          <t>VÄSTERBOTTENS LÄN</t>
        </is>
      </c>
      <c r="E664" t="inlineStr">
        <is>
          <t>SKELLEFTEÅ</t>
        </is>
      </c>
      <c r="F664" t="inlineStr">
        <is>
          <t>Sveaskog</t>
        </is>
      </c>
      <c r="G664" t="n">
        <v>15.6</v>
      </c>
      <c r="H664" t="n">
        <v>0</v>
      </c>
      <c r="I664" t="n">
        <v>0</v>
      </c>
      <c r="J664" t="n">
        <v>0</v>
      </c>
      <c r="K664" t="n">
        <v>0</v>
      </c>
      <c r="L664" t="n">
        <v>0</v>
      </c>
      <c r="M664" t="n">
        <v>0</v>
      </c>
      <c r="N664" t="n">
        <v>0</v>
      </c>
      <c r="O664" t="n">
        <v>0</v>
      </c>
      <c r="P664" t="n">
        <v>0</v>
      </c>
      <c r="Q664" t="n">
        <v>0</v>
      </c>
      <c r="R664" s="2" t="inlineStr"/>
    </row>
    <row r="665" ht="15" customHeight="1">
      <c r="A665" t="inlineStr">
        <is>
          <t>A 45181-2020</t>
        </is>
      </c>
      <c r="B665" s="1" t="n">
        <v>44088</v>
      </c>
      <c r="C665" s="1" t="n">
        <v>45633</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45514-2020</t>
        </is>
      </c>
      <c r="B666" s="1" t="n">
        <v>44089</v>
      </c>
      <c r="C666" s="1" t="n">
        <v>45633</v>
      </c>
      <c r="D666" t="inlineStr">
        <is>
          <t>VÄSTERBOTTENS LÄN</t>
        </is>
      </c>
      <c r="E666" t="inlineStr">
        <is>
          <t>SKELLEFTEÅ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46686-2020</t>
        </is>
      </c>
      <c r="B667" s="1" t="n">
        <v>44089</v>
      </c>
      <c r="C667" s="1" t="n">
        <v>45633</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45690-2020</t>
        </is>
      </c>
      <c r="B668" s="1" t="n">
        <v>44090</v>
      </c>
      <c r="C668" s="1" t="n">
        <v>45633</v>
      </c>
      <c r="D668" t="inlineStr">
        <is>
          <t>VÄSTERBOTTENS LÄN</t>
        </is>
      </c>
      <c r="E668" t="inlineStr">
        <is>
          <t>SKELLEFTEÅ</t>
        </is>
      </c>
      <c r="G668" t="n">
        <v>9.6</v>
      </c>
      <c r="H668" t="n">
        <v>0</v>
      </c>
      <c r="I668" t="n">
        <v>0</v>
      </c>
      <c r="J668" t="n">
        <v>0</v>
      </c>
      <c r="K668" t="n">
        <v>0</v>
      </c>
      <c r="L668" t="n">
        <v>0</v>
      </c>
      <c r="M668" t="n">
        <v>0</v>
      </c>
      <c r="N668" t="n">
        <v>0</v>
      </c>
      <c r="O668" t="n">
        <v>0</v>
      </c>
      <c r="P668" t="n">
        <v>0</v>
      </c>
      <c r="Q668" t="n">
        <v>0</v>
      </c>
      <c r="R668" s="2" t="inlineStr"/>
    </row>
    <row r="669" ht="15" customHeight="1">
      <c r="A669" t="inlineStr">
        <is>
          <t>A 46821-2020</t>
        </is>
      </c>
      <c r="B669" s="1" t="n">
        <v>44090</v>
      </c>
      <c r="C669" s="1" t="n">
        <v>45633</v>
      </c>
      <c r="D669" t="inlineStr">
        <is>
          <t>VÄSTERBOTTENS LÄN</t>
        </is>
      </c>
      <c r="E669" t="inlineStr">
        <is>
          <t>SKELLEFTEÅ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46205-2020</t>
        </is>
      </c>
      <c r="B670" s="1" t="n">
        <v>44092</v>
      </c>
      <c r="C670" s="1" t="n">
        <v>45633</v>
      </c>
      <c r="D670" t="inlineStr">
        <is>
          <t>VÄSTERBOTTENS LÄN</t>
        </is>
      </c>
      <c r="E670" t="inlineStr">
        <is>
          <t>SKELLEFTEÅ</t>
        </is>
      </c>
      <c r="F670" t="inlineStr">
        <is>
          <t>Holmen skog AB</t>
        </is>
      </c>
      <c r="G670" t="n">
        <v>5.1</v>
      </c>
      <c r="H670" t="n">
        <v>0</v>
      </c>
      <c r="I670" t="n">
        <v>0</v>
      </c>
      <c r="J670" t="n">
        <v>0</v>
      </c>
      <c r="K670" t="n">
        <v>0</v>
      </c>
      <c r="L670" t="n">
        <v>0</v>
      </c>
      <c r="M670" t="n">
        <v>0</v>
      </c>
      <c r="N670" t="n">
        <v>0</v>
      </c>
      <c r="O670" t="n">
        <v>0</v>
      </c>
      <c r="P670" t="n">
        <v>0</v>
      </c>
      <c r="Q670" t="n">
        <v>0</v>
      </c>
      <c r="R670" s="2" t="inlineStr"/>
    </row>
    <row r="671" ht="15" customHeight="1">
      <c r="A671" t="inlineStr">
        <is>
          <t>A 46638-2020</t>
        </is>
      </c>
      <c r="B671" s="1" t="n">
        <v>44095</v>
      </c>
      <c r="C671" s="1" t="n">
        <v>45633</v>
      </c>
      <c r="D671" t="inlineStr">
        <is>
          <t>VÄSTERBOTTENS LÄN</t>
        </is>
      </c>
      <c r="E671" t="inlineStr">
        <is>
          <t>SKELLEFTEÅ</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47405-2020</t>
        </is>
      </c>
      <c r="B672" s="1" t="n">
        <v>44095</v>
      </c>
      <c r="C672" s="1" t="n">
        <v>45633</v>
      </c>
      <c r="D672" t="inlineStr">
        <is>
          <t>VÄSTERBOTTENS LÄN</t>
        </is>
      </c>
      <c r="E672" t="inlineStr">
        <is>
          <t>SKELLEFTEÅ</t>
        </is>
      </c>
      <c r="G672" t="n">
        <v>0.6</v>
      </c>
      <c r="H672" t="n">
        <v>0</v>
      </c>
      <c r="I672" t="n">
        <v>0</v>
      </c>
      <c r="J672" t="n">
        <v>0</v>
      </c>
      <c r="K672" t="n">
        <v>0</v>
      </c>
      <c r="L672" t="n">
        <v>0</v>
      </c>
      <c r="M672" t="n">
        <v>0</v>
      </c>
      <c r="N672" t="n">
        <v>0</v>
      </c>
      <c r="O672" t="n">
        <v>0</v>
      </c>
      <c r="P672" t="n">
        <v>0</v>
      </c>
      <c r="Q672" t="n">
        <v>0</v>
      </c>
      <c r="R672" s="2" t="inlineStr"/>
    </row>
    <row r="673" ht="15" customHeight="1">
      <c r="A673" t="inlineStr">
        <is>
          <t>A 46819-2020</t>
        </is>
      </c>
      <c r="B673" s="1" t="n">
        <v>44096</v>
      </c>
      <c r="C673" s="1" t="n">
        <v>45633</v>
      </c>
      <c r="D673" t="inlineStr">
        <is>
          <t>VÄSTERBOTTENS LÄN</t>
        </is>
      </c>
      <c r="E673" t="inlineStr">
        <is>
          <t>SKELLEFTEÅ</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46842-2020</t>
        </is>
      </c>
      <c r="B674" s="1" t="n">
        <v>44096</v>
      </c>
      <c r="C674" s="1" t="n">
        <v>45633</v>
      </c>
      <c r="D674" t="inlineStr">
        <is>
          <t>VÄSTERBOTTENS LÄN</t>
        </is>
      </c>
      <c r="E674" t="inlineStr">
        <is>
          <t>SKELLEFTEÅ</t>
        </is>
      </c>
      <c r="F674" t="inlineStr">
        <is>
          <t>Holmen skog AB</t>
        </is>
      </c>
      <c r="G674" t="n">
        <v>6.5</v>
      </c>
      <c r="H674" t="n">
        <v>0</v>
      </c>
      <c r="I674" t="n">
        <v>0</v>
      </c>
      <c r="J674" t="n">
        <v>0</v>
      </c>
      <c r="K674" t="n">
        <v>0</v>
      </c>
      <c r="L674" t="n">
        <v>0</v>
      </c>
      <c r="M674" t="n">
        <v>0</v>
      </c>
      <c r="N674" t="n">
        <v>0</v>
      </c>
      <c r="O674" t="n">
        <v>0</v>
      </c>
      <c r="P674" t="n">
        <v>0</v>
      </c>
      <c r="Q674" t="n">
        <v>0</v>
      </c>
      <c r="R674" s="2" t="inlineStr"/>
    </row>
    <row r="675" ht="15" customHeight="1">
      <c r="A675" t="inlineStr">
        <is>
          <t>A 46857-2020</t>
        </is>
      </c>
      <c r="B675" s="1" t="n">
        <v>44096</v>
      </c>
      <c r="C675" s="1" t="n">
        <v>45633</v>
      </c>
      <c r="D675" t="inlineStr">
        <is>
          <t>VÄSTERBOTTENS LÄN</t>
        </is>
      </c>
      <c r="E675" t="inlineStr">
        <is>
          <t>SKELLEFTEÅ</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48584-2020</t>
        </is>
      </c>
      <c r="B676" s="1" t="n">
        <v>44098</v>
      </c>
      <c r="C676" s="1" t="n">
        <v>45633</v>
      </c>
      <c r="D676" t="inlineStr">
        <is>
          <t>VÄSTERBOTTENS LÄN</t>
        </is>
      </c>
      <c r="E676" t="inlineStr">
        <is>
          <t>SKELLEFTEÅ</t>
        </is>
      </c>
      <c r="G676" t="n">
        <v>2.9</v>
      </c>
      <c r="H676" t="n">
        <v>0</v>
      </c>
      <c r="I676" t="n">
        <v>0</v>
      </c>
      <c r="J676" t="n">
        <v>0</v>
      </c>
      <c r="K676" t="n">
        <v>0</v>
      </c>
      <c r="L676" t="n">
        <v>0</v>
      </c>
      <c r="M676" t="n">
        <v>0</v>
      </c>
      <c r="N676" t="n">
        <v>0</v>
      </c>
      <c r="O676" t="n">
        <v>0</v>
      </c>
      <c r="P676" t="n">
        <v>0</v>
      </c>
      <c r="Q676" t="n">
        <v>0</v>
      </c>
      <c r="R676" s="2" t="inlineStr"/>
    </row>
    <row r="677" ht="15" customHeight="1">
      <c r="A677" t="inlineStr">
        <is>
          <t>A 49241-2020</t>
        </is>
      </c>
      <c r="B677" s="1" t="n">
        <v>44102</v>
      </c>
      <c r="C677" s="1" t="n">
        <v>45633</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48575-2020</t>
        </is>
      </c>
      <c r="B678" s="1" t="n">
        <v>44103</v>
      </c>
      <c r="C678" s="1" t="n">
        <v>45633</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48609-2020</t>
        </is>
      </c>
      <c r="B679" s="1" t="n">
        <v>44103</v>
      </c>
      <c r="C679" s="1" t="n">
        <v>45633</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48893-2020</t>
        </is>
      </c>
      <c r="B680" s="1" t="n">
        <v>44104</v>
      </c>
      <c r="C680" s="1" t="n">
        <v>45633</v>
      </c>
      <c r="D680" t="inlineStr">
        <is>
          <t>VÄSTERBOTTENS LÄN</t>
        </is>
      </c>
      <c r="E680" t="inlineStr">
        <is>
          <t>SKELLEFTEÅ</t>
        </is>
      </c>
      <c r="F680" t="inlineStr">
        <is>
          <t>Sveaskog</t>
        </is>
      </c>
      <c r="G680" t="n">
        <v>42.8</v>
      </c>
      <c r="H680" t="n">
        <v>0</v>
      </c>
      <c r="I680" t="n">
        <v>0</v>
      </c>
      <c r="J680" t="n">
        <v>0</v>
      </c>
      <c r="K680" t="n">
        <v>0</v>
      </c>
      <c r="L680" t="n">
        <v>0</v>
      </c>
      <c r="M680" t="n">
        <v>0</v>
      </c>
      <c r="N680" t="n">
        <v>0</v>
      </c>
      <c r="O680" t="n">
        <v>0</v>
      </c>
      <c r="P680" t="n">
        <v>0</v>
      </c>
      <c r="Q680" t="n">
        <v>0</v>
      </c>
      <c r="R680" s="2" t="inlineStr"/>
    </row>
    <row r="681" ht="15" customHeight="1">
      <c r="A681" t="inlineStr">
        <is>
          <t>A 48939-2020</t>
        </is>
      </c>
      <c r="B681" s="1" t="n">
        <v>44104</v>
      </c>
      <c r="C681" s="1" t="n">
        <v>45633</v>
      </c>
      <c r="D681" t="inlineStr">
        <is>
          <t>VÄSTERBOTTENS LÄN</t>
        </is>
      </c>
      <c r="E681" t="inlineStr">
        <is>
          <t>SKELLEFTEÅ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49986-2020</t>
        </is>
      </c>
      <c r="B682" s="1" t="n">
        <v>44104</v>
      </c>
      <c r="C682" s="1" t="n">
        <v>45633</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49236-2020</t>
        </is>
      </c>
      <c r="B683" s="1" t="n">
        <v>44105</v>
      </c>
      <c r="C683" s="1" t="n">
        <v>45633</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49183-2020</t>
        </is>
      </c>
      <c r="B684" s="1" t="n">
        <v>44105</v>
      </c>
      <c r="C684" s="1" t="n">
        <v>45633</v>
      </c>
      <c r="D684" t="inlineStr">
        <is>
          <t>VÄSTERBOTTENS LÄN</t>
        </is>
      </c>
      <c r="E684" t="inlineStr">
        <is>
          <t>SKELLEFTEÅ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51654-2020</t>
        </is>
      </c>
      <c r="B685" s="1" t="n">
        <v>44109</v>
      </c>
      <c r="C685" s="1" t="n">
        <v>45633</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50275-2020</t>
        </is>
      </c>
      <c r="B686" s="1" t="n">
        <v>44109</v>
      </c>
      <c r="C686" s="1" t="n">
        <v>45633</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49952-2020</t>
        </is>
      </c>
      <c r="B687" s="1" t="n">
        <v>44109</v>
      </c>
      <c r="C687" s="1" t="n">
        <v>45633</v>
      </c>
      <c r="D687" t="inlineStr">
        <is>
          <t>VÄSTERBOTTENS LÄN</t>
        </is>
      </c>
      <c r="E687" t="inlineStr">
        <is>
          <t>SKELLEFTEÅ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49974-2020</t>
        </is>
      </c>
      <c r="B688" s="1" t="n">
        <v>44109</v>
      </c>
      <c r="C688" s="1" t="n">
        <v>45633</v>
      </c>
      <c r="D688" t="inlineStr">
        <is>
          <t>VÄSTERBOTTENS LÄN</t>
        </is>
      </c>
      <c r="E688" t="inlineStr">
        <is>
          <t>SKELLEFTEÅ</t>
        </is>
      </c>
      <c r="F688" t="inlineStr">
        <is>
          <t>Holmen skog AB</t>
        </is>
      </c>
      <c r="G688" t="n">
        <v>15.8</v>
      </c>
      <c r="H688" t="n">
        <v>0</v>
      </c>
      <c r="I688" t="n">
        <v>0</v>
      </c>
      <c r="J688" t="n">
        <v>0</v>
      </c>
      <c r="K688" t="n">
        <v>0</v>
      </c>
      <c r="L688" t="n">
        <v>0</v>
      </c>
      <c r="M688" t="n">
        <v>0</v>
      </c>
      <c r="N688" t="n">
        <v>0</v>
      </c>
      <c r="O688" t="n">
        <v>0</v>
      </c>
      <c r="P688" t="n">
        <v>0</v>
      </c>
      <c r="Q688" t="n">
        <v>0</v>
      </c>
      <c r="R688" s="2" t="inlineStr"/>
    </row>
    <row r="689" ht="15" customHeight="1">
      <c r="A689" t="inlineStr">
        <is>
          <t>A 52119-2020</t>
        </is>
      </c>
      <c r="B689" s="1" t="n">
        <v>44110</v>
      </c>
      <c r="C689" s="1" t="n">
        <v>45633</v>
      </c>
      <c r="D689" t="inlineStr">
        <is>
          <t>VÄSTERBOTTENS LÄN</t>
        </is>
      </c>
      <c r="E689" t="inlineStr">
        <is>
          <t>SKELLEFTEÅ</t>
        </is>
      </c>
      <c r="G689" t="n">
        <v>2</v>
      </c>
      <c r="H689" t="n">
        <v>0</v>
      </c>
      <c r="I689" t="n">
        <v>0</v>
      </c>
      <c r="J689" t="n">
        <v>0</v>
      </c>
      <c r="K689" t="n">
        <v>0</v>
      </c>
      <c r="L689" t="n">
        <v>0</v>
      </c>
      <c r="M689" t="n">
        <v>0</v>
      </c>
      <c r="N689" t="n">
        <v>0</v>
      </c>
      <c r="O689" t="n">
        <v>0</v>
      </c>
      <c r="P689" t="n">
        <v>0</v>
      </c>
      <c r="Q689" t="n">
        <v>0</v>
      </c>
      <c r="R689" s="2" t="inlineStr"/>
    </row>
    <row r="690" ht="15" customHeight="1">
      <c r="A690" t="inlineStr">
        <is>
          <t>A 50431-2020</t>
        </is>
      </c>
      <c r="B690" s="1" t="n">
        <v>44110</v>
      </c>
      <c r="C690" s="1" t="n">
        <v>45633</v>
      </c>
      <c r="D690" t="inlineStr">
        <is>
          <t>VÄSTERBOTTENS LÄN</t>
        </is>
      </c>
      <c r="E690" t="inlineStr">
        <is>
          <t>SKELLEFTEÅ</t>
        </is>
      </c>
      <c r="F690" t="inlineStr">
        <is>
          <t>Holmen skog AB</t>
        </is>
      </c>
      <c r="G690" t="n">
        <v>9.4</v>
      </c>
      <c r="H690" t="n">
        <v>0</v>
      </c>
      <c r="I690" t="n">
        <v>0</v>
      </c>
      <c r="J690" t="n">
        <v>0</v>
      </c>
      <c r="K690" t="n">
        <v>0</v>
      </c>
      <c r="L690" t="n">
        <v>0</v>
      </c>
      <c r="M690" t="n">
        <v>0</v>
      </c>
      <c r="N690" t="n">
        <v>0</v>
      </c>
      <c r="O690" t="n">
        <v>0</v>
      </c>
      <c r="P690" t="n">
        <v>0</v>
      </c>
      <c r="Q690" t="n">
        <v>0</v>
      </c>
      <c r="R690" s="2" t="inlineStr"/>
    </row>
    <row r="691" ht="15" customHeight="1">
      <c r="A691" t="inlineStr">
        <is>
          <t>A 50701-2020</t>
        </is>
      </c>
      <c r="B691" s="1" t="n">
        <v>44111</v>
      </c>
      <c r="C691" s="1" t="n">
        <v>45633</v>
      </c>
      <c r="D691" t="inlineStr">
        <is>
          <t>VÄSTERBOTTENS LÄN</t>
        </is>
      </c>
      <c r="E691" t="inlineStr">
        <is>
          <t>SKELLEFTEÅ</t>
        </is>
      </c>
      <c r="F691" t="inlineStr">
        <is>
          <t>Holmen skog AB</t>
        </is>
      </c>
      <c r="G691" t="n">
        <v>2.9</v>
      </c>
      <c r="H691" t="n">
        <v>0</v>
      </c>
      <c r="I691" t="n">
        <v>0</v>
      </c>
      <c r="J691" t="n">
        <v>0</v>
      </c>
      <c r="K691" t="n">
        <v>0</v>
      </c>
      <c r="L691" t="n">
        <v>0</v>
      </c>
      <c r="M691" t="n">
        <v>0</v>
      </c>
      <c r="N691" t="n">
        <v>0</v>
      </c>
      <c r="O691" t="n">
        <v>0</v>
      </c>
      <c r="P691" t="n">
        <v>0</v>
      </c>
      <c r="Q691" t="n">
        <v>0</v>
      </c>
      <c r="R691" s="2" t="inlineStr"/>
    </row>
    <row r="692" ht="15" customHeight="1">
      <c r="A692" t="inlineStr">
        <is>
          <t>A 51283-2020</t>
        </is>
      </c>
      <c r="B692" s="1" t="n">
        <v>44112</v>
      </c>
      <c r="C692" s="1" t="n">
        <v>45633</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51547-2020</t>
        </is>
      </c>
      <c r="B693" s="1" t="n">
        <v>44113</v>
      </c>
      <c r="C693" s="1" t="n">
        <v>45633</v>
      </c>
      <c r="D693" t="inlineStr">
        <is>
          <t>VÄSTERBOTTENS LÄN</t>
        </is>
      </c>
      <c r="E693" t="inlineStr">
        <is>
          <t>SKELLEFTEÅ</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51536-2020</t>
        </is>
      </c>
      <c r="B694" s="1" t="n">
        <v>44113</v>
      </c>
      <c r="C694" s="1" t="n">
        <v>45633</v>
      </c>
      <c r="D694" t="inlineStr">
        <is>
          <t>VÄSTERBOTTENS LÄN</t>
        </is>
      </c>
      <c r="E694" t="inlineStr">
        <is>
          <t>SKELLEFTEÅ</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51565-2020</t>
        </is>
      </c>
      <c r="B695" s="1" t="n">
        <v>44113</v>
      </c>
      <c r="C695" s="1" t="n">
        <v>45633</v>
      </c>
      <c r="D695" t="inlineStr">
        <is>
          <t>VÄSTERBOTTENS LÄN</t>
        </is>
      </c>
      <c r="E695" t="inlineStr">
        <is>
          <t>SKELLEFTEÅ</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51530-2020</t>
        </is>
      </c>
      <c r="B696" s="1" t="n">
        <v>44113</v>
      </c>
      <c r="C696" s="1" t="n">
        <v>45633</v>
      </c>
      <c r="D696" t="inlineStr">
        <is>
          <t>VÄSTERBOTTENS LÄN</t>
        </is>
      </c>
      <c r="E696" t="inlineStr">
        <is>
          <t>SKELLEFTEÅ</t>
        </is>
      </c>
      <c r="F696" t="inlineStr">
        <is>
          <t>Holmen skog AB</t>
        </is>
      </c>
      <c r="G696" t="n">
        <v>3.1</v>
      </c>
      <c r="H696" t="n">
        <v>0</v>
      </c>
      <c r="I696" t="n">
        <v>0</v>
      </c>
      <c r="J696" t="n">
        <v>0</v>
      </c>
      <c r="K696" t="n">
        <v>0</v>
      </c>
      <c r="L696" t="n">
        <v>0</v>
      </c>
      <c r="M696" t="n">
        <v>0</v>
      </c>
      <c r="N696" t="n">
        <v>0</v>
      </c>
      <c r="O696" t="n">
        <v>0</v>
      </c>
      <c r="P696" t="n">
        <v>0</v>
      </c>
      <c r="Q696" t="n">
        <v>0</v>
      </c>
      <c r="R696" s="2" t="inlineStr"/>
    </row>
    <row r="697" ht="15" customHeight="1">
      <c r="A697" t="inlineStr">
        <is>
          <t>A 51907-2020</t>
        </is>
      </c>
      <c r="B697" s="1" t="n">
        <v>44116</v>
      </c>
      <c r="C697" s="1" t="n">
        <v>45633</v>
      </c>
      <c r="D697" t="inlineStr">
        <is>
          <t>VÄSTERBOTTENS LÄN</t>
        </is>
      </c>
      <c r="E697" t="inlineStr">
        <is>
          <t>SKELLEFTEÅ</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52292-2020</t>
        </is>
      </c>
      <c r="B698" s="1" t="n">
        <v>44117</v>
      </c>
      <c r="C698" s="1" t="n">
        <v>45633</v>
      </c>
      <c r="D698" t="inlineStr">
        <is>
          <t>VÄSTERBOTTENS LÄN</t>
        </is>
      </c>
      <c r="E698" t="inlineStr">
        <is>
          <t>SKELLEFTEÅ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52640-2020</t>
        </is>
      </c>
      <c r="B699" s="1" t="n">
        <v>44118</v>
      </c>
      <c r="C699" s="1" t="n">
        <v>45633</v>
      </c>
      <c r="D699" t="inlineStr">
        <is>
          <t>VÄSTERBOTTENS LÄN</t>
        </is>
      </c>
      <c r="E699" t="inlineStr">
        <is>
          <t>SKELLEFTEÅ</t>
        </is>
      </c>
      <c r="G699" t="n">
        <v>11.5</v>
      </c>
      <c r="H699" t="n">
        <v>0</v>
      </c>
      <c r="I699" t="n">
        <v>0</v>
      </c>
      <c r="J699" t="n">
        <v>0</v>
      </c>
      <c r="K699" t="n">
        <v>0</v>
      </c>
      <c r="L699" t="n">
        <v>0</v>
      </c>
      <c r="M699" t="n">
        <v>0</v>
      </c>
      <c r="N699" t="n">
        <v>0</v>
      </c>
      <c r="O699" t="n">
        <v>0</v>
      </c>
      <c r="P699" t="n">
        <v>0</v>
      </c>
      <c r="Q699" t="n">
        <v>0</v>
      </c>
      <c r="R699" s="2" t="inlineStr"/>
    </row>
    <row r="700" ht="15" customHeight="1">
      <c r="A700" t="inlineStr">
        <is>
          <t>A 52714-2020</t>
        </is>
      </c>
      <c r="B700" s="1" t="n">
        <v>44119</v>
      </c>
      <c r="C700" s="1" t="n">
        <v>45633</v>
      </c>
      <c r="D700" t="inlineStr">
        <is>
          <t>VÄSTERBOTTENS LÄN</t>
        </is>
      </c>
      <c r="E700" t="inlineStr">
        <is>
          <t>SKELLEFTEÅ</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53114-2020</t>
        </is>
      </c>
      <c r="B701" s="1" t="n">
        <v>44120</v>
      </c>
      <c r="C701" s="1" t="n">
        <v>45633</v>
      </c>
      <c r="D701" t="inlineStr">
        <is>
          <t>VÄSTERBOTTENS LÄN</t>
        </is>
      </c>
      <c r="E701" t="inlineStr">
        <is>
          <t>SKELLEFTEÅ</t>
        </is>
      </c>
      <c r="G701" t="n">
        <v>6.1</v>
      </c>
      <c r="H701" t="n">
        <v>0</v>
      </c>
      <c r="I701" t="n">
        <v>0</v>
      </c>
      <c r="J701" t="n">
        <v>0</v>
      </c>
      <c r="K701" t="n">
        <v>0</v>
      </c>
      <c r="L701" t="n">
        <v>0</v>
      </c>
      <c r="M701" t="n">
        <v>0</v>
      </c>
      <c r="N701" t="n">
        <v>0</v>
      </c>
      <c r="O701" t="n">
        <v>0</v>
      </c>
      <c r="P701" t="n">
        <v>0</v>
      </c>
      <c r="Q701" t="n">
        <v>0</v>
      </c>
      <c r="R701" s="2" t="inlineStr"/>
    </row>
    <row r="702" ht="15" customHeight="1">
      <c r="A702" t="inlineStr">
        <is>
          <t>A 53373-2020</t>
        </is>
      </c>
      <c r="B702" s="1" t="n">
        <v>44123</v>
      </c>
      <c r="C702" s="1" t="n">
        <v>45633</v>
      </c>
      <c r="D702" t="inlineStr">
        <is>
          <t>VÄSTERBOTTENS LÄN</t>
        </is>
      </c>
      <c r="E702" t="inlineStr">
        <is>
          <t>SKELLEFTEÅ</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54356-2020</t>
        </is>
      </c>
      <c r="B703" s="1" t="n">
        <v>44125</v>
      </c>
      <c r="C703" s="1" t="n">
        <v>45633</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54850-2020</t>
        </is>
      </c>
      <c r="B704" s="1" t="n">
        <v>44126</v>
      </c>
      <c r="C704" s="1" t="n">
        <v>45633</v>
      </c>
      <c r="D704" t="inlineStr">
        <is>
          <t>VÄSTERBOTTENS LÄN</t>
        </is>
      </c>
      <c r="E704" t="inlineStr">
        <is>
          <t>SKELLEFTEÅ</t>
        </is>
      </c>
      <c r="G704" t="n">
        <v>3.4</v>
      </c>
      <c r="H704" t="n">
        <v>0</v>
      </c>
      <c r="I704" t="n">
        <v>0</v>
      </c>
      <c r="J704" t="n">
        <v>0</v>
      </c>
      <c r="K704" t="n">
        <v>0</v>
      </c>
      <c r="L704" t="n">
        <v>0</v>
      </c>
      <c r="M704" t="n">
        <v>0</v>
      </c>
      <c r="N704" t="n">
        <v>0</v>
      </c>
      <c r="O704" t="n">
        <v>0</v>
      </c>
      <c r="P704" t="n">
        <v>0</v>
      </c>
      <c r="Q704" t="n">
        <v>0</v>
      </c>
      <c r="R704" s="2" t="inlineStr"/>
    </row>
    <row r="705" ht="15" customHeight="1">
      <c r="A705" t="inlineStr">
        <is>
          <t>A 54872-2020</t>
        </is>
      </c>
      <c r="B705" s="1" t="n">
        <v>44126</v>
      </c>
      <c r="C705" s="1" t="n">
        <v>45633</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54662-2020</t>
        </is>
      </c>
      <c r="B706" s="1" t="n">
        <v>44127</v>
      </c>
      <c r="C706" s="1" t="n">
        <v>45633</v>
      </c>
      <c r="D706" t="inlineStr">
        <is>
          <t>VÄSTERBOTTENS LÄN</t>
        </is>
      </c>
      <c r="E706" t="inlineStr">
        <is>
          <t>SKELLEFTEÅ</t>
        </is>
      </c>
      <c r="F706" t="inlineStr">
        <is>
          <t>Holmen skog AB</t>
        </is>
      </c>
      <c r="G706" t="n">
        <v>13.4</v>
      </c>
      <c r="H706" t="n">
        <v>0</v>
      </c>
      <c r="I706" t="n">
        <v>0</v>
      </c>
      <c r="J706" t="n">
        <v>0</v>
      </c>
      <c r="K706" t="n">
        <v>0</v>
      </c>
      <c r="L706" t="n">
        <v>0</v>
      </c>
      <c r="M706" t="n">
        <v>0</v>
      </c>
      <c r="N706" t="n">
        <v>0</v>
      </c>
      <c r="O706" t="n">
        <v>0</v>
      </c>
      <c r="P706" t="n">
        <v>0</v>
      </c>
      <c r="Q706" t="n">
        <v>0</v>
      </c>
      <c r="R706" s="2" t="inlineStr"/>
    </row>
    <row r="707" ht="15" customHeight="1">
      <c r="A707" t="inlineStr">
        <is>
          <t>A 54921-2020</t>
        </is>
      </c>
      <c r="B707" s="1" t="n">
        <v>44127</v>
      </c>
      <c r="C707" s="1" t="n">
        <v>45633</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54913-2020</t>
        </is>
      </c>
      <c r="B708" s="1" t="n">
        <v>44127</v>
      </c>
      <c r="C708" s="1" t="n">
        <v>45633</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54942-2020</t>
        </is>
      </c>
      <c r="B709" s="1" t="n">
        <v>44129</v>
      </c>
      <c r="C709" s="1" t="n">
        <v>45633</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55628-2020</t>
        </is>
      </c>
      <c r="B710" s="1" t="n">
        <v>44131</v>
      </c>
      <c r="C710" s="1" t="n">
        <v>45633</v>
      </c>
      <c r="D710" t="inlineStr">
        <is>
          <t>VÄSTERBOTTENS LÄN</t>
        </is>
      </c>
      <c r="E710" t="inlineStr">
        <is>
          <t>SKELLEFTEÅ</t>
        </is>
      </c>
      <c r="F710" t="inlineStr">
        <is>
          <t>Sveaskog</t>
        </is>
      </c>
      <c r="G710" t="n">
        <v>25.9</v>
      </c>
      <c r="H710" t="n">
        <v>0</v>
      </c>
      <c r="I710" t="n">
        <v>0</v>
      </c>
      <c r="J710" t="n">
        <v>0</v>
      </c>
      <c r="K710" t="n">
        <v>0</v>
      </c>
      <c r="L710" t="n">
        <v>0</v>
      </c>
      <c r="M710" t="n">
        <v>0</v>
      </c>
      <c r="N710" t="n">
        <v>0</v>
      </c>
      <c r="O710" t="n">
        <v>0</v>
      </c>
      <c r="P710" t="n">
        <v>0</v>
      </c>
      <c r="Q710" t="n">
        <v>0</v>
      </c>
      <c r="R710" s="2" t="inlineStr"/>
    </row>
    <row r="711" ht="15" customHeight="1">
      <c r="A711" t="inlineStr">
        <is>
          <t>A 55633-2020</t>
        </is>
      </c>
      <c r="B711" s="1" t="n">
        <v>44131</v>
      </c>
      <c r="C711" s="1" t="n">
        <v>45633</v>
      </c>
      <c r="D711" t="inlineStr">
        <is>
          <t>VÄSTERBOTTENS LÄN</t>
        </is>
      </c>
      <c r="E711" t="inlineStr">
        <is>
          <t>SKELLEFTEÅ</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55572-2020</t>
        </is>
      </c>
      <c r="B712" s="1" t="n">
        <v>44131</v>
      </c>
      <c r="C712" s="1" t="n">
        <v>45633</v>
      </c>
      <c r="D712" t="inlineStr">
        <is>
          <t>VÄSTERBOTTENS LÄN</t>
        </is>
      </c>
      <c r="E712" t="inlineStr">
        <is>
          <t>SKELLEFTEÅ</t>
        </is>
      </c>
      <c r="F712" t="inlineStr">
        <is>
          <t>Sveaskog</t>
        </is>
      </c>
      <c r="G712" t="n">
        <v>12.6</v>
      </c>
      <c r="H712" t="n">
        <v>0</v>
      </c>
      <c r="I712" t="n">
        <v>0</v>
      </c>
      <c r="J712" t="n">
        <v>0</v>
      </c>
      <c r="K712" t="n">
        <v>0</v>
      </c>
      <c r="L712" t="n">
        <v>0</v>
      </c>
      <c r="M712" t="n">
        <v>0</v>
      </c>
      <c r="N712" t="n">
        <v>0</v>
      </c>
      <c r="O712" t="n">
        <v>0</v>
      </c>
      <c r="P712" t="n">
        <v>0</v>
      </c>
      <c r="Q712" t="n">
        <v>0</v>
      </c>
      <c r="R712" s="2" t="inlineStr"/>
    </row>
    <row r="713" ht="15" customHeight="1">
      <c r="A713" t="inlineStr">
        <is>
          <t>A 55626-2020</t>
        </is>
      </c>
      <c r="B713" s="1" t="n">
        <v>44131</v>
      </c>
      <c r="C713" s="1" t="n">
        <v>45633</v>
      </c>
      <c r="D713" t="inlineStr">
        <is>
          <t>VÄSTERBOTTENS LÄN</t>
        </is>
      </c>
      <c r="E713" t="inlineStr">
        <is>
          <t>SKELLEFTEÅ</t>
        </is>
      </c>
      <c r="F713" t="inlineStr">
        <is>
          <t>Sveaskog</t>
        </is>
      </c>
      <c r="G713" t="n">
        <v>14.2</v>
      </c>
      <c r="H713" t="n">
        <v>0</v>
      </c>
      <c r="I713" t="n">
        <v>0</v>
      </c>
      <c r="J713" t="n">
        <v>0</v>
      </c>
      <c r="K713" t="n">
        <v>0</v>
      </c>
      <c r="L713" t="n">
        <v>0</v>
      </c>
      <c r="M713" t="n">
        <v>0</v>
      </c>
      <c r="N713" t="n">
        <v>0</v>
      </c>
      <c r="O713" t="n">
        <v>0</v>
      </c>
      <c r="P713" t="n">
        <v>0</v>
      </c>
      <c r="Q713" t="n">
        <v>0</v>
      </c>
      <c r="R713" s="2" t="inlineStr"/>
    </row>
    <row r="714" ht="15" customHeight="1">
      <c r="A714" t="inlineStr">
        <is>
          <t>A 56029-2020</t>
        </is>
      </c>
      <c r="B714" s="1" t="n">
        <v>44133</v>
      </c>
      <c r="C714" s="1" t="n">
        <v>45633</v>
      </c>
      <c r="D714" t="inlineStr">
        <is>
          <t>VÄSTERBOTTENS LÄN</t>
        </is>
      </c>
      <c r="E714" t="inlineStr">
        <is>
          <t>SKELLEFTEÅ</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56683-2020</t>
        </is>
      </c>
      <c r="B715" s="1" t="n">
        <v>44133</v>
      </c>
      <c r="C715" s="1" t="n">
        <v>45633</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56879-2020</t>
        </is>
      </c>
      <c r="B716" s="1" t="n">
        <v>44134</v>
      </c>
      <c r="C716" s="1" t="n">
        <v>45633</v>
      </c>
      <c r="D716" t="inlineStr">
        <is>
          <t>VÄSTERBOTTENS LÄN</t>
        </is>
      </c>
      <c r="E716" t="inlineStr">
        <is>
          <t>SKELLEFTEÅ</t>
        </is>
      </c>
      <c r="G716" t="n">
        <v>8.5</v>
      </c>
      <c r="H716" t="n">
        <v>0</v>
      </c>
      <c r="I716" t="n">
        <v>0</v>
      </c>
      <c r="J716" t="n">
        <v>0</v>
      </c>
      <c r="K716" t="n">
        <v>0</v>
      </c>
      <c r="L716" t="n">
        <v>0</v>
      </c>
      <c r="M716" t="n">
        <v>0</v>
      </c>
      <c r="N716" t="n">
        <v>0</v>
      </c>
      <c r="O716" t="n">
        <v>0</v>
      </c>
      <c r="P716" t="n">
        <v>0</v>
      </c>
      <c r="Q716" t="n">
        <v>0</v>
      </c>
      <c r="R716" s="2" t="inlineStr"/>
    </row>
    <row r="717" ht="15" customHeight="1">
      <c r="A717" t="inlineStr">
        <is>
          <t>A 56604-2020</t>
        </is>
      </c>
      <c r="B717" s="1" t="n">
        <v>44137</v>
      </c>
      <c r="C717" s="1" t="n">
        <v>45633</v>
      </c>
      <c r="D717" t="inlineStr">
        <is>
          <t>VÄSTERBOTTENS LÄN</t>
        </is>
      </c>
      <c r="E717" t="inlineStr">
        <is>
          <t>SKELLEFTEÅ</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56720-2020</t>
        </is>
      </c>
      <c r="B718" s="1" t="n">
        <v>44137</v>
      </c>
      <c r="C718" s="1" t="n">
        <v>45633</v>
      </c>
      <c r="D718" t="inlineStr">
        <is>
          <t>VÄSTERBOTTENS LÄN</t>
        </is>
      </c>
      <c r="E718" t="inlineStr">
        <is>
          <t>SKELLEFTEÅ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56692-2020</t>
        </is>
      </c>
      <c r="B719" s="1" t="n">
        <v>44137</v>
      </c>
      <c r="C719" s="1" t="n">
        <v>45633</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56718-2020</t>
        </is>
      </c>
      <c r="B720" s="1" t="n">
        <v>44137</v>
      </c>
      <c r="C720" s="1" t="n">
        <v>45633</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56945-2020</t>
        </is>
      </c>
      <c r="B721" s="1" t="n">
        <v>44138</v>
      </c>
      <c r="C721" s="1" t="n">
        <v>45633</v>
      </c>
      <c r="D721" t="inlineStr">
        <is>
          <t>VÄSTERBOTTENS LÄN</t>
        </is>
      </c>
      <c r="E721" t="inlineStr">
        <is>
          <t>SKELLEFTEÅ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57620-2020</t>
        </is>
      </c>
      <c r="B722" s="1" t="n">
        <v>44140</v>
      </c>
      <c r="C722" s="1" t="n">
        <v>45633</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57770-2020</t>
        </is>
      </c>
      <c r="B723" s="1" t="n">
        <v>44141</v>
      </c>
      <c r="C723" s="1" t="n">
        <v>45633</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58427-2020</t>
        </is>
      </c>
      <c r="B724" s="1" t="n">
        <v>44141</v>
      </c>
      <c r="C724" s="1" t="n">
        <v>45633</v>
      </c>
      <c r="D724" t="inlineStr">
        <is>
          <t>VÄSTERBOTTENS LÄN</t>
        </is>
      </c>
      <c r="E724" t="inlineStr">
        <is>
          <t>SKELLEFTEÅ</t>
        </is>
      </c>
      <c r="G724" t="n">
        <v>5.5</v>
      </c>
      <c r="H724" t="n">
        <v>0</v>
      </c>
      <c r="I724" t="n">
        <v>0</v>
      </c>
      <c r="J724" t="n">
        <v>0</v>
      </c>
      <c r="K724" t="n">
        <v>0</v>
      </c>
      <c r="L724" t="n">
        <v>0</v>
      </c>
      <c r="M724" t="n">
        <v>0</v>
      </c>
      <c r="N724" t="n">
        <v>0</v>
      </c>
      <c r="O724" t="n">
        <v>0</v>
      </c>
      <c r="P724" t="n">
        <v>0</v>
      </c>
      <c r="Q724" t="n">
        <v>0</v>
      </c>
      <c r="R724" s="2" t="inlineStr"/>
    </row>
    <row r="725" ht="15" customHeight="1">
      <c r="A725" t="inlineStr">
        <is>
          <t>A 58520-2020</t>
        </is>
      </c>
      <c r="B725" s="1" t="n">
        <v>44144</v>
      </c>
      <c r="C725" s="1" t="n">
        <v>45633</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58544-2020</t>
        </is>
      </c>
      <c r="B726" s="1" t="n">
        <v>44145</v>
      </c>
      <c r="C726" s="1" t="n">
        <v>45633</v>
      </c>
      <c r="D726" t="inlineStr">
        <is>
          <t>VÄSTERBOTTENS LÄN</t>
        </is>
      </c>
      <c r="E726" t="inlineStr">
        <is>
          <t>SKELLEFTEÅ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58769-2020</t>
        </is>
      </c>
      <c r="B727" s="1" t="n">
        <v>44145</v>
      </c>
      <c r="C727" s="1" t="n">
        <v>45633</v>
      </c>
      <c r="D727" t="inlineStr">
        <is>
          <t>VÄSTERBOTTENS LÄN</t>
        </is>
      </c>
      <c r="E727" t="inlineStr">
        <is>
          <t>SKELLEFTEÅ</t>
        </is>
      </c>
      <c r="G727" t="n">
        <v>4</v>
      </c>
      <c r="H727" t="n">
        <v>0</v>
      </c>
      <c r="I727" t="n">
        <v>0</v>
      </c>
      <c r="J727" t="n">
        <v>0</v>
      </c>
      <c r="K727" t="n">
        <v>0</v>
      </c>
      <c r="L727" t="n">
        <v>0</v>
      </c>
      <c r="M727" t="n">
        <v>0</v>
      </c>
      <c r="N727" t="n">
        <v>0</v>
      </c>
      <c r="O727" t="n">
        <v>0</v>
      </c>
      <c r="P727" t="n">
        <v>0</v>
      </c>
      <c r="Q727" t="n">
        <v>0</v>
      </c>
      <c r="R727" s="2" t="inlineStr"/>
    </row>
    <row r="728" ht="15" customHeight="1">
      <c r="A728" t="inlineStr">
        <is>
          <t>A 58861-2020</t>
        </is>
      </c>
      <c r="B728" s="1" t="n">
        <v>44146</v>
      </c>
      <c r="C728" s="1" t="n">
        <v>45633</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59406-2020</t>
        </is>
      </c>
      <c r="B729" s="1" t="n">
        <v>44147</v>
      </c>
      <c r="C729" s="1" t="n">
        <v>45633</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59518-2020</t>
        </is>
      </c>
      <c r="B730" s="1" t="n">
        <v>44148</v>
      </c>
      <c r="C730" s="1" t="n">
        <v>45633</v>
      </c>
      <c r="D730" t="inlineStr">
        <is>
          <t>VÄSTERBOTTENS LÄN</t>
        </is>
      </c>
      <c r="E730" t="inlineStr">
        <is>
          <t>SKELLEFTEÅ</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59870-2020</t>
        </is>
      </c>
      <c r="B731" s="1" t="n">
        <v>44151</v>
      </c>
      <c r="C731" s="1" t="n">
        <v>45633</v>
      </c>
      <c r="D731" t="inlineStr">
        <is>
          <t>VÄSTERBOTTENS LÄN</t>
        </is>
      </c>
      <c r="E731" t="inlineStr">
        <is>
          <t>SKELLEFTEÅ</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60152-2020</t>
        </is>
      </c>
      <c r="B732" s="1" t="n">
        <v>44151</v>
      </c>
      <c r="C732" s="1" t="n">
        <v>45633</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60489-2020</t>
        </is>
      </c>
      <c r="B733" s="1" t="n">
        <v>44152</v>
      </c>
      <c r="C733" s="1" t="n">
        <v>45633</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61260-2020</t>
        </is>
      </c>
      <c r="B734" s="1" t="n">
        <v>44153</v>
      </c>
      <c r="C734" s="1" t="n">
        <v>45633</v>
      </c>
      <c r="D734" t="inlineStr">
        <is>
          <t>VÄSTERBOTTENS LÄN</t>
        </is>
      </c>
      <c r="E734" t="inlineStr">
        <is>
          <t>SKELLEFTEÅ</t>
        </is>
      </c>
      <c r="G734" t="n">
        <v>16.1</v>
      </c>
      <c r="H734" t="n">
        <v>0</v>
      </c>
      <c r="I734" t="n">
        <v>0</v>
      </c>
      <c r="J734" t="n">
        <v>0</v>
      </c>
      <c r="K734" t="n">
        <v>0</v>
      </c>
      <c r="L734" t="n">
        <v>0</v>
      </c>
      <c r="M734" t="n">
        <v>0</v>
      </c>
      <c r="N734" t="n">
        <v>0</v>
      </c>
      <c r="O734" t="n">
        <v>0</v>
      </c>
      <c r="P734" t="n">
        <v>0</v>
      </c>
      <c r="Q734" t="n">
        <v>0</v>
      </c>
      <c r="R734" s="2" t="inlineStr"/>
    </row>
    <row r="735" ht="15" customHeight="1">
      <c r="A735" t="inlineStr">
        <is>
          <t>A 61937-2020</t>
        </is>
      </c>
      <c r="B735" s="1" t="n">
        <v>44155</v>
      </c>
      <c r="C735" s="1" t="n">
        <v>45633</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61958-2020</t>
        </is>
      </c>
      <c r="B736" s="1" t="n">
        <v>44155</v>
      </c>
      <c r="C736" s="1" t="n">
        <v>45633</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62158-2020</t>
        </is>
      </c>
      <c r="B737" s="1" t="n">
        <v>44159</v>
      </c>
      <c r="C737" s="1" t="n">
        <v>45633</v>
      </c>
      <c r="D737" t="inlineStr">
        <is>
          <t>VÄSTERBOTTENS LÄN</t>
        </is>
      </c>
      <c r="E737" t="inlineStr">
        <is>
          <t>SKELLEFTEÅ</t>
        </is>
      </c>
      <c r="F737" t="inlineStr">
        <is>
          <t>Sveaskog</t>
        </is>
      </c>
      <c r="G737" t="n">
        <v>14.7</v>
      </c>
      <c r="H737" t="n">
        <v>0</v>
      </c>
      <c r="I737" t="n">
        <v>0</v>
      </c>
      <c r="J737" t="n">
        <v>0</v>
      </c>
      <c r="K737" t="n">
        <v>0</v>
      </c>
      <c r="L737" t="n">
        <v>0</v>
      </c>
      <c r="M737" t="n">
        <v>0</v>
      </c>
      <c r="N737" t="n">
        <v>0</v>
      </c>
      <c r="O737" t="n">
        <v>0</v>
      </c>
      <c r="P737" t="n">
        <v>0</v>
      </c>
      <c r="Q737" t="n">
        <v>0</v>
      </c>
      <c r="R737" s="2" t="inlineStr"/>
    </row>
    <row r="738" ht="15" customHeight="1">
      <c r="A738" t="inlineStr">
        <is>
          <t>A 62466-2020</t>
        </is>
      </c>
      <c r="B738" s="1" t="n">
        <v>44160</v>
      </c>
      <c r="C738" s="1" t="n">
        <v>45633</v>
      </c>
      <c r="D738" t="inlineStr">
        <is>
          <t>VÄSTERBOTTENS LÄN</t>
        </is>
      </c>
      <c r="E738" t="inlineStr">
        <is>
          <t>SKELLEFTEÅ</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62467-2020</t>
        </is>
      </c>
      <c r="B739" s="1" t="n">
        <v>44160</v>
      </c>
      <c r="C739" s="1" t="n">
        <v>45633</v>
      </c>
      <c r="D739" t="inlineStr">
        <is>
          <t>VÄSTERBOTTENS LÄN</t>
        </is>
      </c>
      <c r="E739" t="inlineStr">
        <is>
          <t>SKELLEFTEÅ</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62763-2020</t>
        </is>
      </c>
      <c r="B740" s="1" t="n">
        <v>44160</v>
      </c>
      <c r="C740" s="1" t="n">
        <v>45633</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62592-2020</t>
        </is>
      </c>
      <c r="B741" s="1" t="n">
        <v>44161</v>
      </c>
      <c r="C741" s="1" t="n">
        <v>45633</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63241-2020</t>
        </is>
      </c>
      <c r="B742" s="1" t="n">
        <v>44163</v>
      </c>
      <c r="C742" s="1" t="n">
        <v>45633</v>
      </c>
      <c r="D742" t="inlineStr">
        <is>
          <t>VÄSTERBOTTENS LÄN</t>
        </is>
      </c>
      <c r="E742" t="inlineStr">
        <is>
          <t>SKELLEFTEÅ</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63839-2020</t>
        </is>
      </c>
      <c r="B743" s="1" t="n">
        <v>44165</v>
      </c>
      <c r="C743" s="1" t="n">
        <v>45633</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64650-2020</t>
        </is>
      </c>
      <c r="B744" s="1" t="n">
        <v>44166</v>
      </c>
      <c r="C744" s="1" t="n">
        <v>45633</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64198-2020</t>
        </is>
      </c>
      <c r="B745" s="1" t="n">
        <v>44167</v>
      </c>
      <c r="C745" s="1" t="n">
        <v>45633</v>
      </c>
      <c r="D745" t="inlineStr">
        <is>
          <t>VÄSTERBOTTENS LÄN</t>
        </is>
      </c>
      <c r="E745" t="inlineStr">
        <is>
          <t>SKELLEFTEÅ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64977-2020</t>
        </is>
      </c>
      <c r="B746" s="1" t="n">
        <v>44167</v>
      </c>
      <c r="C746" s="1" t="n">
        <v>45633</v>
      </c>
      <c r="D746" t="inlineStr">
        <is>
          <t>VÄSTERBOTTENS LÄN</t>
        </is>
      </c>
      <c r="E746" t="inlineStr">
        <is>
          <t>SKELLEFTEÅ</t>
        </is>
      </c>
      <c r="G746" t="n">
        <v>9</v>
      </c>
      <c r="H746" t="n">
        <v>0</v>
      </c>
      <c r="I746" t="n">
        <v>0</v>
      </c>
      <c r="J746" t="n">
        <v>0</v>
      </c>
      <c r="K746" t="n">
        <v>0</v>
      </c>
      <c r="L746" t="n">
        <v>0</v>
      </c>
      <c r="M746" t="n">
        <v>0</v>
      </c>
      <c r="N746" t="n">
        <v>0</v>
      </c>
      <c r="O746" t="n">
        <v>0</v>
      </c>
      <c r="P746" t="n">
        <v>0</v>
      </c>
      <c r="Q746" t="n">
        <v>0</v>
      </c>
      <c r="R746" s="2" t="inlineStr"/>
    </row>
    <row r="747" ht="15" customHeight="1">
      <c r="A747" t="inlineStr">
        <is>
          <t>A 65096-2020</t>
        </is>
      </c>
      <c r="B747" s="1" t="n">
        <v>44167</v>
      </c>
      <c r="C747" s="1" t="n">
        <v>45633</v>
      </c>
      <c r="D747" t="inlineStr">
        <is>
          <t>VÄSTERBOTTENS LÄN</t>
        </is>
      </c>
      <c r="E747" t="inlineStr">
        <is>
          <t>SKELLEFTEÅ</t>
        </is>
      </c>
      <c r="G747" t="n">
        <v>3.2</v>
      </c>
      <c r="H747" t="n">
        <v>0</v>
      </c>
      <c r="I747" t="n">
        <v>0</v>
      </c>
      <c r="J747" t="n">
        <v>0</v>
      </c>
      <c r="K747" t="n">
        <v>0</v>
      </c>
      <c r="L747" t="n">
        <v>0</v>
      </c>
      <c r="M747" t="n">
        <v>0</v>
      </c>
      <c r="N747" t="n">
        <v>0</v>
      </c>
      <c r="O747" t="n">
        <v>0</v>
      </c>
      <c r="P747" t="n">
        <v>0</v>
      </c>
      <c r="Q747" t="n">
        <v>0</v>
      </c>
      <c r="R747" s="2" t="inlineStr"/>
    </row>
    <row r="748" ht="15" customHeight="1">
      <c r="A748" t="inlineStr">
        <is>
          <t>A 65053-2020</t>
        </is>
      </c>
      <c r="B748" s="1" t="n">
        <v>44167</v>
      </c>
      <c r="C748" s="1" t="n">
        <v>45633</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65103-2020</t>
        </is>
      </c>
      <c r="B749" s="1" t="n">
        <v>44167</v>
      </c>
      <c r="C749" s="1" t="n">
        <v>45633</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64296-2020</t>
        </is>
      </c>
      <c r="B750" s="1" t="n">
        <v>44168</v>
      </c>
      <c r="C750" s="1" t="n">
        <v>45633</v>
      </c>
      <c r="D750" t="inlineStr">
        <is>
          <t>VÄSTERBOTTENS LÄN</t>
        </is>
      </c>
      <c r="E750" t="inlineStr">
        <is>
          <t>SKELLEFTEÅ</t>
        </is>
      </c>
      <c r="F750" t="inlineStr">
        <is>
          <t>Sveaskog</t>
        </is>
      </c>
      <c r="G750" t="n">
        <v>4.4</v>
      </c>
      <c r="H750" t="n">
        <v>0</v>
      </c>
      <c r="I750" t="n">
        <v>0</v>
      </c>
      <c r="J750" t="n">
        <v>0</v>
      </c>
      <c r="K750" t="n">
        <v>0</v>
      </c>
      <c r="L750" t="n">
        <v>0</v>
      </c>
      <c r="M750" t="n">
        <v>0</v>
      </c>
      <c r="N750" t="n">
        <v>0</v>
      </c>
      <c r="O750" t="n">
        <v>0</v>
      </c>
      <c r="P750" t="n">
        <v>0</v>
      </c>
      <c r="Q750" t="n">
        <v>0</v>
      </c>
      <c r="R750" s="2" t="inlineStr"/>
    </row>
    <row r="751" ht="15" customHeight="1">
      <c r="A751" t="inlineStr">
        <is>
          <t>A 64481-2020</t>
        </is>
      </c>
      <c r="B751" s="1" t="n">
        <v>44168</v>
      </c>
      <c r="C751" s="1" t="n">
        <v>45633</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64507-2020</t>
        </is>
      </c>
      <c r="B752" s="1" t="n">
        <v>44168</v>
      </c>
      <c r="C752" s="1" t="n">
        <v>45633</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64485-2020</t>
        </is>
      </c>
      <c r="B753" s="1" t="n">
        <v>44168</v>
      </c>
      <c r="C753" s="1" t="n">
        <v>45633</v>
      </c>
      <c r="D753" t="inlineStr">
        <is>
          <t>VÄSTERBOTTENS LÄN</t>
        </is>
      </c>
      <c r="E753" t="inlineStr">
        <is>
          <t>SKELLEFTEÅ</t>
        </is>
      </c>
      <c r="G753" t="n">
        <v>35.4</v>
      </c>
      <c r="H753" t="n">
        <v>0</v>
      </c>
      <c r="I753" t="n">
        <v>0</v>
      </c>
      <c r="J753" t="n">
        <v>0</v>
      </c>
      <c r="K753" t="n">
        <v>0</v>
      </c>
      <c r="L753" t="n">
        <v>0</v>
      </c>
      <c r="M753" t="n">
        <v>0</v>
      </c>
      <c r="N753" t="n">
        <v>0</v>
      </c>
      <c r="O753" t="n">
        <v>0</v>
      </c>
      <c r="P753" t="n">
        <v>0</v>
      </c>
      <c r="Q753" t="n">
        <v>0</v>
      </c>
      <c r="R753" s="2" t="inlineStr"/>
    </row>
    <row r="754" ht="15" customHeight="1">
      <c r="A754" t="inlineStr">
        <is>
          <t>A 65254-2020</t>
        </is>
      </c>
      <c r="B754" s="1" t="n">
        <v>44172</v>
      </c>
      <c r="C754" s="1" t="n">
        <v>45633</v>
      </c>
      <c r="D754" t="inlineStr">
        <is>
          <t>VÄSTERBOTTENS LÄN</t>
        </is>
      </c>
      <c r="E754" t="inlineStr">
        <is>
          <t>SKELLEFTEÅ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65582-2020</t>
        </is>
      </c>
      <c r="B755" s="1" t="n">
        <v>44172</v>
      </c>
      <c r="C755" s="1" t="n">
        <v>45633</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65486-2020</t>
        </is>
      </c>
      <c r="B756" s="1" t="n">
        <v>44172</v>
      </c>
      <c r="C756" s="1" t="n">
        <v>45633</v>
      </c>
      <c r="D756" t="inlineStr">
        <is>
          <t>VÄSTERBOTTENS LÄN</t>
        </is>
      </c>
      <c r="E756" t="inlineStr">
        <is>
          <t>SKELLEFTEÅ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65379-2020</t>
        </is>
      </c>
      <c r="B757" s="1" t="n">
        <v>44173</v>
      </c>
      <c r="C757" s="1" t="n">
        <v>45633</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65384-2020</t>
        </is>
      </c>
      <c r="B758" s="1" t="n">
        <v>44173</v>
      </c>
      <c r="C758" s="1" t="n">
        <v>45633</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65567-2020</t>
        </is>
      </c>
      <c r="B759" s="1" t="n">
        <v>44173</v>
      </c>
      <c r="C759" s="1" t="n">
        <v>45633</v>
      </c>
      <c r="D759" t="inlineStr">
        <is>
          <t>VÄSTERBOTTENS LÄN</t>
        </is>
      </c>
      <c r="E759" t="inlineStr">
        <is>
          <t>SKELLEFTEÅ</t>
        </is>
      </c>
      <c r="F759" t="inlineStr">
        <is>
          <t>Sveaskog</t>
        </is>
      </c>
      <c r="G759" t="n">
        <v>17.7</v>
      </c>
      <c r="H759" t="n">
        <v>0</v>
      </c>
      <c r="I759" t="n">
        <v>0</v>
      </c>
      <c r="J759" t="n">
        <v>0</v>
      </c>
      <c r="K759" t="n">
        <v>0</v>
      </c>
      <c r="L759" t="n">
        <v>0</v>
      </c>
      <c r="M759" t="n">
        <v>0</v>
      </c>
      <c r="N759" t="n">
        <v>0</v>
      </c>
      <c r="O759" t="n">
        <v>0</v>
      </c>
      <c r="P759" t="n">
        <v>0</v>
      </c>
      <c r="Q759" t="n">
        <v>0</v>
      </c>
      <c r="R759" s="2" t="inlineStr"/>
    </row>
    <row r="760" ht="15" customHeight="1">
      <c r="A760" t="inlineStr">
        <is>
          <t>A 65382-2020</t>
        </is>
      </c>
      <c r="B760" s="1" t="n">
        <v>44173</v>
      </c>
      <c r="C760" s="1" t="n">
        <v>45633</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66061-2020</t>
        </is>
      </c>
      <c r="B761" s="1" t="n">
        <v>44173</v>
      </c>
      <c r="C761" s="1" t="n">
        <v>45633</v>
      </c>
      <c r="D761" t="inlineStr">
        <is>
          <t>VÄSTERBOTTENS LÄN</t>
        </is>
      </c>
      <c r="E761" t="inlineStr">
        <is>
          <t>SKELLEFTEÅ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66480-2020</t>
        </is>
      </c>
      <c r="B762" s="1" t="n">
        <v>44177</v>
      </c>
      <c r="C762" s="1" t="n">
        <v>45633</v>
      </c>
      <c r="D762" t="inlineStr">
        <is>
          <t>VÄSTERBOTTENS LÄN</t>
        </is>
      </c>
      <c r="E762" t="inlineStr">
        <is>
          <t>SKELLEFTEÅ</t>
        </is>
      </c>
      <c r="G762" t="n">
        <v>5.2</v>
      </c>
      <c r="H762" t="n">
        <v>0</v>
      </c>
      <c r="I762" t="n">
        <v>0</v>
      </c>
      <c r="J762" t="n">
        <v>0</v>
      </c>
      <c r="K762" t="n">
        <v>0</v>
      </c>
      <c r="L762" t="n">
        <v>0</v>
      </c>
      <c r="M762" t="n">
        <v>0</v>
      </c>
      <c r="N762" t="n">
        <v>0</v>
      </c>
      <c r="O762" t="n">
        <v>0</v>
      </c>
      <c r="P762" t="n">
        <v>0</v>
      </c>
      <c r="Q762" t="n">
        <v>0</v>
      </c>
      <c r="R762" s="2" t="inlineStr"/>
    </row>
    <row r="763" ht="15" customHeight="1">
      <c r="A763" t="inlineStr">
        <is>
          <t>A 66820-2020</t>
        </is>
      </c>
      <c r="B763" s="1" t="n">
        <v>44179</v>
      </c>
      <c r="C763" s="1" t="n">
        <v>45633</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67297-2020</t>
        </is>
      </c>
      <c r="B764" s="1" t="n">
        <v>44181</v>
      </c>
      <c r="C764" s="1" t="n">
        <v>45633</v>
      </c>
      <c r="D764" t="inlineStr">
        <is>
          <t>VÄSTERBOTTENS LÄN</t>
        </is>
      </c>
      <c r="E764" t="inlineStr">
        <is>
          <t>SKELLEFTEÅ</t>
        </is>
      </c>
      <c r="G764" t="n">
        <v>6.8</v>
      </c>
      <c r="H764" t="n">
        <v>0</v>
      </c>
      <c r="I764" t="n">
        <v>0</v>
      </c>
      <c r="J764" t="n">
        <v>0</v>
      </c>
      <c r="K764" t="n">
        <v>0</v>
      </c>
      <c r="L764" t="n">
        <v>0</v>
      </c>
      <c r="M764" t="n">
        <v>0</v>
      </c>
      <c r="N764" t="n">
        <v>0</v>
      </c>
      <c r="O764" t="n">
        <v>0</v>
      </c>
      <c r="P764" t="n">
        <v>0</v>
      </c>
      <c r="Q764" t="n">
        <v>0</v>
      </c>
      <c r="R764" s="2" t="inlineStr"/>
    </row>
    <row r="765" ht="15" customHeight="1">
      <c r="A765" t="inlineStr">
        <is>
          <t>A 67624-2020</t>
        </is>
      </c>
      <c r="B765" s="1" t="n">
        <v>44181</v>
      </c>
      <c r="C765" s="1" t="n">
        <v>45633</v>
      </c>
      <c r="D765" t="inlineStr">
        <is>
          <t>VÄSTERBOTTENS LÄN</t>
        </is>
      </c>
      <c r="E765" t="inlineStr">
        <is>
          <t>SKELLEFTEÅ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67678-2020</t>
        </is>
      </c>
      <c r="B766" s="1" t="n">
        <v>44182</v>
      </c>
      <c r="C766" s="1" t="n">
        <v>45633</v>
      </c>
      <c r="D766" t="inlineStr">
        <is>
          <t>VÄSTERBOTTENS LÄN</t>
        </is>
      </c>
      <c r="E766" t="inlineStr">
        <is>
          <t>SKELLEFTEÅ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67976-2020</t>
        </is>
      </c>
      <c r="B767" s="1" t="n">
        <v>44182</v>
      </c>
      <c r="C767" s="1" t="n">
        <v>45633</v>
      </c>
      <c r="D767" t="inlineStr">
        <is>
          <t>VÄSTERBOTTENS LÄN</t>
        </is>
      </c>
      <c r="E767" t="inlineStr">
        <is>
          <t>SKELLEFTEÅ</t>
        </is>
      </c>
      <c r="F767" t="inlineStr">
        <is>
          <t>Holmen skog AB</t>
        </is>
      </c>
      <c r="G767" t="n">
        <v>2.3</v>
      </c>
      <c r="H767" t="n">
        <v>0</v>
      </c>
      <c r="I767" t="n">
        <v>0</v>
      </c>
      <c r="J767" t="n">
        <v>0</v>
      </c>
      <c r="K767" t="n">
        <v>0</v>
      </c>
      <c r="L767" t="n">
        <v>0</v>
      </c>
      <c r="M767" t="n">
        <v>0</v>
      </c>
      <c r="N767" t="n">
        <v>0</v>
      </c>
      <c r="O767" t="n">
        <v>0</v>
      </c>
      <c r="P767" t="n">
        <v>0</v>
      </c>
      <c r="Q767" t="n">
        <v>0</v>
      </c>
      <c r="R767" s="2" t="inlineStr"/>
    </row>
    <row r="768" ht="15" customHeight="1">
      <c r="A768" t="inlineStr">
        <is>
          <t>A 68116-2020</t>
        </is>
      </c>
      <c r="B768" s="1" t="n">
        <v>44183</v>
      </c>
      <c r="C768" s="1" t="n">
        <v>45633</v>
      </c>
      <c r="D768" t="inlineStr">
        <is>
          <t>VÄSTERBOTTENS LÄN</t>
        </is>
      </c>
      <c r="E768" t="inlineStr">
        <is>
          <t>SKELLEFTEÅ</t>
        </is>
      </c>
      <c r="F768" t="inlineStr">
        <is>
          <t>Sveaskog</t>
        </is>
      </c>
      <c r="G768" t="n">
        <v>5.5</v>
      </c>
      <c r="H768" t="n">
        <v>0</v>
      </c>
      <c r="I768" t="n">
        <v>0</v>
      </c>
      <c r="J768" t="n">
        <v>0</v>
      </c>
      <c r="K768" t="n">
        <v>0</v>
      </c>
      <c r="L768" t="n">
        <v>0</v>
      </c>
      <c r="M768" t="n">
        <v>0</v>
      </c>
      <c r="N768" t="n">
        <v>0</v>
      </c>
      <c r="O768" t="n">
        <v>0</v>
      </c>
      <c r="P768" t="n">
        <v>0</v>
      </c>
      <c r="Q768" t="n">
        <v>0</v>
      </c>
      <c r="R768" s="2" t="inlineStr"/>
    </row>
    <row r="769" ht="15" customHeight="1">
      <c r="A769" t="inlineStr">
        <is>
          <t>A 68203-2020</t>
        </is>
      </c>
      <c r="B769" s="1" t="n">
        <v>44183</v>
      </c>
      <c r="C769" s="1" t="n">
        <v>45633</v>
      </c>
      <c r="D769" t="inlineStr">
        <is>
          <t>VÄSTERBOTTENS LÄN</t>
        </is>
      </c>
      <c r="E769" t="inlineStr">
        <is>
          <t>SKELLEFTEÅ</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68055-2020</t>
        </is>
      </c>
      <c r="B770" s="1" t="n">
        <v>44183</v>
      </c>
      <c r="C770" s="1" t="n">
        <v>45633</v>
      </c>
      <c r="D770" t="inlineStr">
        <is>
          <t>VÄSTERBOTTENS LÄN</t>
        </is>
      </c>
      <c r="E770" t="inlineStr">
        <is>
          <t>SKELLEFTEÅ</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68564-2020</t>
        </is>
      </c>
      <c r="B771" s="1" t="n">
        <v>44186</v>
      </c>
      <c r="C771" s="1" t="n">
        <v>45633</v>
      </c>
      <c r="D771" t="inlineStr">
        <is>
          <t>VÄSTERBOTTENS LÄN</t>
        </is>
      </c>
      <c r="E771" t="inlineStr">
        <is>
          <t>SKELLEFTEÅ</t>
        </is>
      </c>
      <c r="G771" t="n">
        <v>11.4</v>
      </c>
      <c r="H771" t="n">
        <v>0</v>
      </c>
      <c r="I771" t="n">
        <v>0</v>
      </c>
      <c r="J771" t="n">
        <v>0</v>
      </c>
      <c r="K771" t="n">
        <v>0</v>
      </c>
      <c r="L771" t="n">
        <v>0</v>
      </c>
      <c r="M771" t="n">
        <v>0</v>
      </c>
      <c r="N771" t="n">
        <v>0</v>
      </c>
      <c r="O771" t="n">
        <v>0</v>
      </c>
      <c r="P771" t="n">
        <v>0</v>
      </c>
      <c r="Q771" t="n">
        <v>0</v>
      </c>
      <c r="R771" s="2" t="inlineStr"/>
    </row>
    <row r="772" ht="15" customHeight="1">
      <c r="A772" t="inlineStr">
        <is>
          <t>A 69583-2020</t>
        </is>
      </c>
      <c r="B772" s="1" t="n">
        <v>44195</v>
      </c>
      <c r="C772" s="1" t="n">
        <v>45633</v>
      </c>
      <c r="D772" t="inlineStr">
        <is>
          <t>VÄSTERBOTTENS LÄN</t>
        </is>
      </c>
      <c r="E772" t="inlineStr">
        <is>
          <t>SKELLEFTEÅ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69585-2020</t>
        </is>
      </c>
      <c r="B773" s="1" t="n">
        <v>44195</v>
      </c>
      <c r="C773" s="1" t="n">
        <v>45633</v>
      </c>
      <c r="D773" t="inlineStr">
        <is>
          <t>VÄSTERBOTTENS LÄN</t>
        </is>
      </c>
      <c r="E773" t="inlineStr">
        <is>
          <t>SKELLEFTEÅ</t>
        </is>
      </c>
      <c r="G773" t="n">
        <v>4.5</v>
      </c>
      <c r="H773" t="n">
        <v>0</v>
      </c>
      <c r="I773" t="n">
        <v>0</v>
      </c>
      <c r="J773" t="n">
        <v>0</v>
      </c>
      <c r="K773" t="n">
        <v>0</v>
      </c>
      <c r="L773" t="n">
        <v>0</v>
      </c>
      <c r="M773" t="n">
        <v>0</v>
      </c>
      <c r="N773" t="n">
        <v>0</v>
      </c>
      <c r="O773" t="n">
        <v>0</v>
      </c>
      <c r="P773" t="n">
        <v>0</v>
      </c>
      <c r="Q773" t="n">
        <v>0</v>
      </c>
      <c r="R773" s="2" t="inlineStr"/>
    </row>
    <row r="774" ht="15" customHeight="1">
      <c r="A774" t="inlineStr">
        <is>
          <t>A 69581-2020</t>
        </is>
      </c>
      <c r="B774" s="1" t="n">
        <v>44195</v>
      </c>
      <c r="C774" s="1" t="n">
        <v>45633</v>
      </c>
      <c r="D774" t="inlineStr">
        <is>
          <t>VÄSTERBOTTENS LÄN</t>
        </is>
      </c>
      <c r="E774" t="inlineStr">
        <is>
          <t>SKELLEFTEÅ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353-2021</t>
        </is>
      </c>
      <c r="B775" s="1" t="n">
        <v>44201</v>
      </c>
      <c r="C775" s="1" t="n">
        <v>45633</v>
      </c>
      <c r="D775" t="inlineStr">
        <is>
          <t>VÄSTERBOTTENS LÄN</t>
        </is>
      </c>
      <c r="E775" t="inlineStr">
        <is>
          <t>SKELLEFTEÅ</t>
        </is>
      </c>
      <c r="G775" t="n">
        <v>37.7</v>
      </c>
      <c r="H775" t="n">
        <v>0</v>
      </c>
      <c r="I775" t="n">
        <v>0</v>
      </c>
      <c r="J775" t="n">
        <v>0</v>
      </c>
      <c r="K775" t="n">
        <v>0</v>
      </c>
      <c r="L775" t="n">
        <v>0</v>
      </c>
      <c r="M775" t="n">
        <v>0</v>
      </c>
      <c r="N775" t="n">
        <v>0</v>
      </c>
      <c r="O775" t="n">
        <v>0</v>
      </c>
      <c r="P775" t="n">
        <v>0</v>
      </c>
      <c r="Q775" t="n">
        <v>0</v>
      </c>
      <c r="R775" s="2" t="inlineStr"/>
    </row>
    <row r="776" ht="15" customHeight="1">
      <c r="A776" t="inlineStr">
        <is>
          <t>A 1076-2021</t>
        </is>
      </c>
      <c r="B776" s="1" t="n">
        <v>44207</v>
      </c>
      <c r="C776" s="1" t="n">
        <v>45633</v>
      </c>
      <c r="D776" t="inlineStr">
        <is>
          <t>VÄSTERBOTTENS LÄN</t>
        </is>
      </c>
      <c r="E776" t="inlineStr">
        <is>
          <t>SKELLEFTEÅ</t>
        </is>
      </c>
      <c r="F776" t="inlineStr">
        <is>
          <t>Holmen skog AB</t>
        </is>
      </c>
      <c r="G776" t="n">
        <v>3.4</v>
      </c>
      <c r="H776" t="n">
        <v>0</v>
      </c>
      <c r="I776" t="n">
        <v>0</v>
      </c>
      <c r="J776" t="n">
        <v>0</v>
      </c>
      <c r="K776" t="n">
        <v>0</v>
      </c>
      <c r="L776" t="n">
        <v>0</v>
      </c>
      <c r="M776" t="n">
        <v>0</v>
      </c>
      <c r="N776" t="n">
        <v>0</v>
      </c>
      <c r="O776" t="n">
        <v>0</v>
      </c>
      <c r="P776" t="n">
        <v>0</v>
      </c>
      <c r="Q776" t="n">
        <v>0</v>
      </c>
      <c r="R776" s="2" t="inlineStr"/>
    </row>
    <row r="777" ht="15" customHeight="1">
      <c r="A777" t="inlineStr">
        <is>
          <t>A 1149-2021</t>
        </is>
      </c>
      <c r="B777" s="1" t="n">
        <v>44207</v>
      </c>
      <c r="C777" s="1" t="n">
        <v>45633</v>
      </c>
      <c r="D777" t="inlineStr">
        <is>
          <t>VÄSTERBOTTENS LÄN</t>
        </is>
      </c>
      <c r="E777" t="inlineStr">
        <is>
          <t>SKELLEFTEÅ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1140-2021</t>
        </is>
      </c>
      <c r="B778" s="1" t="n">
        <v>44207</v>
      </c>
      <c r="C778" s="1" t="n">
        <v>45633</v>
      </c>
      <c r="D778" t="inlineStr">
        <is>
          <t>VÄSTERBOTTENS LÄN</t>
        </is>
      </c>
      <c r="E778" t="inlineStr">
        <is>
          <t>SKELLEFTEÅ</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1891-2021</t>
        </is>
      </c>
      <c r="B779" s="1" t="n">
        <v>44210</v>
      </c>
      <c r="C779" s="1" t="n">
        <v>45633</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2575-2021</t>
        </is>
      </c>
      <c r="B780" s="1" t="n">
        <v>44214</v>
      </c>
      <c r="C780" s="1" t="n">
        <v>45633</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3031-2021</t>
        </is>
      </c>
      <c r="B781" s="1" t="n">
        <v>44216</v>
      </c>
      <c r="C781" s="1" t="n">
        <v>45633</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3844-2021</t>
        </is>
      </c>
      <c r="B782" s="1" t="n">
        <v>44216</v>
      </c>
      <c r="C782" s="1" t="n">
        <v>45633</v>
      </c>
      <c r="D782" t="inlineStr">
        <is>
          <t>VÄSTERBOTTENS LÄN</t>
        </is>
      </c>
      <c r="E782" t="inlineStr">
        <is>
          <t>SKELLEFTEÅ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3951-2021</t>
        </is>
      </c>
      <c r="B783" s="1" t="n">
        <v>44217</v>
      </c>
      <c r="C783" s="1" t="n">
        <v>45633</v>
      </c>
      <c r="D783" t="inlineStr">
        <is>
          <t>VÄSTERBOTTENS LÄN</t>
        </is>
      </c>
      <c r="E783" t="inlineStr">
        <is>
          <t>SKELLEFTEÅ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4202-2021</t>
        </is>
      </c>
      <c r="B784" s="1" t="n">
        <v>44218</v>
      </c>
      <c r="C784" s="1" t="n">
        <v>45633</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3575-2021</t>
        </is>
      </c>
      <c r="B785" s="1" t="n">
        <v>44218</v>
      </c>
      <c r="C785" s="1" t="n">
        <v>45633</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3934-2021</t>
        </is>
      </c>
      <c r="B786" s="1" t="n">
        <v>44221</v>
      </c>
      <c r="C786" s="1" t="n">
        <v>45633</v>
      </c>
      <c r="D786" t="inlineStr">
        <is>
          <t>VÄSTERBOTTENS LÄN</t>
        </is>
      </c>
      <c r="E786" t="inlineStr">
        <is>
          <t>SKELLEFTEÅ</t>
        </is>
      </c>
      <c r="G786" t="n">
        <v>2.5</v>
      </c>
      <c r="H786" t="n">
        <v>0</v>
      </c>
      <c r="I786" t="n">
        <v>0</v>
      </c>
      <c r="J786" t="n">
        <v>0</v>
      </c>
      <c r="K786" t="n">
        <v>0</v>
      </c>
      <c r="L786" t="n">
        <v>0</v>
      </c>
      <c r="M786" t="n">
        <v>0</v>
      </c>
      <c r="N786" t="n">
        <v>0</v>
      </c>
      <c r="O786" t="n">
        <v>0</v>
      </c>
      <c r="P786" t="n">
        <v>0</v>
      </c>
      <c r="Q786" t="n">
        <v>0</v>
      </c>
      <c r="R786" s="2" t="inlineStr"/>
    </row>
    <row r="787" ht="15" customHeight="1">
      <c r="A787" t="inlineStr">
        <is>
          <t>A 4299-2021</t>
        </is>
      </c>
      <c r="B787" s="1" t="n">
        <v>44223</v>
      </c>
      <c r="C787" s="1" t="n">
        <v>45633</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5095-2021</t>
        </is>
      </c>
      <c r="B788" s="1" t="n">
        <v>44224</v>
      </c>
      <c r="C788" s="1" t="n">
        <v>45633</v>
      </c>
      <c r="D788" t="inlineStr">
        <is>
          <t>VÄSTERBOTTENS LÄN</t>
        </is>
      </c>
      <c r="E788" t="inlineStr">
        <is>
          <t>SKELLEFTEÅ</t>
        </is>
      </c>
      <c r="G788" t="n">
        <v>5.6</v>
      </c>
      <c r="H788" t="n">
        <v>0</v>
      </c>
      <c r="I788" t="n">
        <v>0</v>
      </c>
      <c r="J788" t="n">
        <v>0</v>
      </c>
      <c r="K788" t="n">
        <v>0</v>
      </c>
      <c r="L788" t="n">
        <v>0</v>
      </c>
      <c r="M788" t="n">
        <v>0</v>
      </c>
      <c r="N788" t="n">
        <v>0</v>
      </c>
      <c r="O788" t="n">
        <v>0</v>
      </c>
      <c r="P788" t="n">
        <v>0</v>
      </c>
      <c r="Q788" t="n">
        <v>0</v>
      </c>
      <c r="R788" s="2" t="inlineStr"/>
    </row>
    <row r="789" ht="15" customHeight="1">
      <c r="A789" t="inlineStr">
        <is>
          <t>A 5143-2021</t>
        </is>
      </c>
      <c r="B789" s="1" t="n">
        <v>44228</v>
      </c>
      <c r="C789" s="1" t="n">
        <v>45633</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5603-2021</t>
        </is>
      </c>
      <c r="B790" s="1" t="n">
        <v>44230</v>
      </c>
      <c r="C790" s="1" t="n">
        <v>45633</v>
      </c>
      <c r="D790" t="inlineStr">
        <is>
          <t>VÄSTERBOTTENS LÄN</t>
        </is>
      </c>
      <c r="E790" t="inlineStr">
        <is>
          <t>SKELLEFTEÅ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6356-2021</t>
        </is>
      </c>
      <c r="B791" s="1" t="n">
        <v>44235</v>
      </c>
      <c r="C791" s="1" t="n">
        <v>45633</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6557-2021</t>
        </is>
      </c>
      <c r="B792" s="1" t="n">
        <v>44236</v>
      </c>
      <c r="C792" s="1" t="n">
        <v>45633</v>
      </c>
      <c r="D792" t="inlineStr">
        <is>
          <t>VÄSTERBOTTENS LÄN</t>
        </is>
      </c>
      <c r="E792" t="inlineStr">
        <is>
          <t>SKELLEFTEÅ</t>
        </is>
      </c>
      <c r="G792" t="n">
        <v>6.4</v>
      </c>
      <c r="H792" t="n">
        <v>0</v>
      </c>
      <c r="I792" t="n">
        <v>0</v>
      </c>
      <c r="J792" t="n">
        <v>0</v>
      </c>
      <c r="K792" t="n">
        <v>0</v>
      </c>
      <c r="L792" t="n">
        <v>0</v>
      </c>
      <c r="M792" t="n">
        <v>0</v>
      </c>
      <c r="N792" t="n">
        <v>0</v>
      </c>
      <c r="O792" t="n">
        <v>0</v>
      </c>
      <c r="P792" t="n">
        <v>0</v>
      </c>
      <c r="Q792" t="n">
        <v>0</v>
      </c>
      <c r="R792" s="2" t="inlineStr"/>
    </row>
    <row r="793" ht="15" customHeight="1">
      <c r="A793" t="inlineStr">
        <is>
          <t>A 6635-2021</t>
        </is>
      </c>
      <c r="B793" s="1" t="n">
        <v>44236</v>
      </c>
      <c r="C793" s="1" t="n">
        <v>45633</v>
      </c>
      <c r="D793" t="inlineStr">
        <is>
          <t>VÄSTERBOTTENS LÄN</t>
        </is>
      </c>
      <c r="E793" t="inlineStr">
        <is>
          <t>SKELLEFTEÅ</t>
        </is>
      </c>
      <c r="G793" t="n">
        <v>3</v>
      </c>
      <c r="H793" t="n">
        <v>0</v>
      </c>
      <c r="I793" t="n">
        <v>0</v>
      </c>
      <c r="J793" t="n">
        <v>0</v>
      </c>
      <c r="K793" t="n">
        <v>0</v>
      </c>
      <c r="L793" t="n">
        <v>0</v>
      </c>
      <c r="M793" t="n">
        <v>0</v>
      </c>
      <c r="N793" t="n">
        <v>0</v>
      </c>
      <c r="O793" t="n">
        <v>0</v>
      </c>
      <c r="P793" t="n">
        <v>0</v>
      </c>
      <c r="Q793" t="n">
        <v>0</v>
      </c>
      <c r="R793" s="2" t="inlineStr"/>
    </row>
    <row r="794" ht="15" customHeight="1">
      <c r="A794" t="inlineStr">
        <is>
          <t>A 7038-2021</t>
        </is>
      </c>
      <c r="B794" s="1" t="n">
        <v>44237</v>
      </c>
      <c r="C794" s="1" t="n">
        <v>45633</v>
      </c>
      <c r="D794" t="inlineStr">
        <is>
          <t>VÄSTERBOTTENS LÄN</t>
        </is>
      </c>
      <c r="E794" t="inlineStr">
        <is>
          <t>SKELLEFTEÅ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7034-2021</t>
        </is>
      </c>
      <c r="B795" s="1" t="n">
        <v>44237</v>
      </c>
      <c r="C795" s="1" t="n">
        <v>45633</v>
      </c>
      <c r="D795" t="inlineStr">
        <is>
          <t>VÄSTERBOTTENS LÄN</t>
        </is>
      </c>
      <c r="E795" t="inlineStr">
        <is>
          <t>SKELLEFTEÅ</t>
        </is>
      </c>
      <c r="G795" t="n">
        <v>10.1</v>
      </c>
      <c r="H795" t="n">
        <v>0</v>
      </c>
      <c r="I795" t="n">
        <v>0</v>
      </c>
      <c r="J795" t="n">
        <v>0</v>
      </c>
      <c r="K795" t="n">
        <v>0</v>
      </c>
      <c r="L795" t="n">
        <v>0</v>
      </c>
      <c r="M795" t="n">
        <v>0</v>
      </c>
      <c r="N795" t="n">
        <v>0</v>
      </c>
      <c r="O795" t="n">
        <v>0</v>
      </c>
      <c r="P795" t="n">
        <v>0</v>
      </c>
      <c r="Q795" t="n">
        <v>0</v>
      </c>
      <c r="R795" s="2" t="inlineStr"/>
    </row>
    <row r="796" ht="15" customHeight="1">
      <c r="A796" t="inlineStr">
        <is>
          <t>A 7823-2021</t>
        </is>
      </c>
      <c r="B796" s="1" t="n">
        <v>44242</v>
      </c>
      <c r="C796" s="1" t="n">
        <v>45633</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7950-2021</t>
        </is>
      </c>
      <c r="B797" s="1" t="n">
        <v>44242</v>
      </c>
      <c r="C797" s="1" t="n">
        <v>45633</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8644-2021</t>
        </is>
      </c>
      <c r="B798" s="1" t="n">
        <v>44245</v>
      </c>
      <c r="C798" s="1" t="n">
        <v>45633</v>
      </c>
      <c r="D798" t="inlineStr">
        <is>
          <t>VÄSTERBOTTENS LÄN</t>
        </is>
      </c>
      <c r="E798" t="inlineStr">
        <is>
          <t>SKELLEFTEÅ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8648-2021</t>
        </is>
      </c>
      <c r="B799" s="1" t="n">
        <v>44245</v>
      </c>
      <c r="C799" s="1" t="n">
        <v>45633</v>
      </c>
      <c r="D799" t="inlineStr">
        <is>
          <t>VÄSTERBOTTENS LÄN</t>
        </is>
      </c>
      <c r="E799" t="inlineStr">
        <is>
          <t>SKELLEFTEÅ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8911-2021</t>
        </is>
      </c>
      <c r="B800" s="1" t="n">
        <v>44245</v>
      </c>
      <c r="C800" s="1" t="n">
        <v>45633</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8652-2021</t>
        </is>
      </c>
      <c r="B801" s="1" t="n">
        <v>44245</v>
      </c>
      <c r="C801" s="1" t="n">
        <v>45633</v>
      </c>
      <c r="D801" t="inlineStr">
        <is>
          <t>VÄSTERBOTTENS LÄN</t>
        </is>
      </c>
      <c r="E801" t="inlineStr">
        <is>
          <t>SKELLEFTEÅ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8846-2021</t>
        </is>
      </c>
      <c r="B802" s="1" t="n">
        <v>44246</v>
      </c>
      <c r="C802" s="1" t="n">
        <v>45633</v>
      </c>
      <c r="D802" t="inlineStr">
        <is>
          <t>VÄSTERBOTTENS LÄN</t>
        </is>
      </c>
      <c r="E802" t="inlineStr">
        <is>
          <t>SKELLEFTEÅ</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9081-2021</t>
        </is>
      </c>
      <c r="B803" s="1" t="n">
        <v>44249</v>
      </c>
      <c r="C803" s="1" t="n">
        <v>45633</v>
      </c>
      <c r="D803" t="inlineStr">
        <is>
          <t>VÄSTERBOTTENS LÄN</t>
        </is>
      </c>
      <c r="E803" t="inlineStr">
        <is>
          <t>SKELLEFTEÅ</t>
        </is>
      </c>
      <c r="G803" t="n">
        <v>16.2</v>
      </c>
      <c r="H803" t="n">
        <v>0</v>
      </c>
      <c r="I803" t="n">
        <v>0</v>
      </c>
      <c r="J803" t="n">
        <v>0</v>
      </c>
      <c r="K803" t="n">
        <v>0</v>
      </c>
      <c r="L803" t="n">
        <v>0</v>
      </c>
      <c r="M803" t="n">
        <v>0</v>
      </c>
      <c r="N803" t="n">
        <v>0</v>
      </c>
      <c r="O803" t="n">
        <v>0</v>
      </c>
      <c r="P803" t="n">
        <v>0</v>
      </c>
      <c r="Q803" t="n">
        <v>0</v>
      </c>
      <c r="R803" s="2" t="inlineStr"/>
    </row>
    <row r="804" ht="15" customHeight="1">
      <c r="A804" t="inlineStr">
        <is>
          <t>A 9045-2021</t>
        </is>
      </c>
      <c r="B804" s="1" t="n">
        <v>44249</v>
      </c>
      <c r="C804" s="1" t="n">
        <v>45633</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9059-2021</t>
        </is>
      </c>
      <c r="B805" s="1" t="n">
        <v>44249</v>
      </c>
      <c r="C805" s="1" t="n">
        <v>45633</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9192-2021</t>
        </is>
      </c>
      <c r="B806" s="1" t="n">
        <v>44249</v>
      </c>
      <c r="C806" s="1" t="n">
        <v>45633</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9035-2021</t>
        </is>
      </c>
      <c r="B807" s="1" t="n">
        <v>44249</v>
      </c>
      <c r="C807" s="1" t="n">
        <v>45633</v>
      </c>
      <c r="D807" t="inlineStr">
        <is>
          <t>VÄSTERBOTTENS LÄN</t>
        </is>
      </c>
      <c r="E807" t="inlineStr">
        <is>
          <t>SKELLEFTEÅ</t>
        </is>
      </c>
      <c r="G807" t="n">
        <v>6.7</v>
      </c>
      <c r="H807" t="n">
        <v>0</v>
      </c>
      <c r="I807" t="n">
        <v>0</v>
      </c>
      <c r="J807" t="n">
        <v>0</v>
      </c>
      <c r="K807" t="n">
        <v>0</v>
      </c>
      <c r="L807" t="n">
        <v>0</v>
      </c>
      <c r="M807" t="n">
        <v>0</v>
      </c>
      <c r="N807" t="n">
        <v>0</v>
      </c>
      <c r="O807" t="n">
        <v>0</v>
      </c>
      <c r="P807" t="n">
        <v>0</v>
      </c>
      <c r="Q807" t="n">
        <v>0</v>
      </c>
      <c r="R807" s="2" t="inlineStr"/>
    </row>
    <row r="808" ht="15" customHeight="1">
      <c r="A808" t="inlineStr">
        <is>
          <t>A 9051-2021</t>
        </is>
      </c>
      <c r="B808" s="1" t="n">
        <v>44249</v>
      </c>
      <c r="C808" s="1" t="n">
        <v>45633</v>
      </c>
      <c r="D808" t="inlineStr">
        <is>
          <t>VÄSTERBOTTENS LÄN</t>
        </is>
      </c>
      <c r="E808" t="inlineStr">
        <is>
          <t>SKELLEFTEÅ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9090-2021</t>
        </is>
      </c>
      <c r="B809" s="1" t="n">
        <v>44249</v>
      </c>
      <c r="C809" s="1" t="n">
        <v>45633</v>
      </c>
      <c r="D809" t="inlineStr">
        <is>
          <t>VÄSTERBOTTENS LÄN</t>
        </is>
      </c>
      <c r="E809" t="inlineStr">
        <is>
          <t>SKELLEFTEÅ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10051-2021</t>
        </is>
      </c>
      <c r="B810" s="1" t="n">
        <v>44256</v>
      </c>
      <c r="C810" s="1" t="n">
        <v>45633</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10471-2021</t>
        </is>
      </c>
      <c r="B811" s="1" t="n">
        <v>44257</v>
      </c>
      <c r="C811" s="1" t="n">
        <v>45633</v>
      </c>
      <c r="D811" t="inlineStr">
        <is>
          <t>VÄSTERBOTTENS LÄN</t>
        </is>
      </c>
      <c r="E811" t="inlineStr">
        <is>
          <t>SKELLEFTEÅ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11087-2021</t>
        </is>
      </c>
      <c r="B812" s="1" t="n">
        <v>44259</v>
      </c>
      <c r="C812" s="1" t="n">
        <v>45633</v>
      </c>
      <c r="D812" t="inlineStr">
        <is>
          <t>VÄSTERBOTTENS LÄN</t>
        </is>
      </c>
      <c r="E812" t="inlineStr">
        <is>
          <t>SKELLEFTEÅ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11102-2021</t>
        </is>
      </c>
      <c r="B813" s="1" t="n">
        <v>44259</v>
      </c>
      <c r="C813" s="1" t="n">
        <v>45633</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11409-2021</t>
        </is>
      </c>
      <c r="B814" s="1" t="n">
        <v>44263</v>
      </c>
      <c r="C814" s="1" t="n">
        <v>45633</v>
      </c>
      <c r="D814" t="inlineStr">
        <is>
          <t>VÄSTERBOTTENS LÄN</t>
        </is>
      </c>
      <c r="E814" t="inlineStr">
        <is>
          <t>SKELLEFTEÅ</t>
        </is>
      </c>
      <c r="G814" t="n">
        <v>6</v>
      </c>
      <c r="H814" t="n">
        <v>0</v>
      </c>
      <c r="I814" t="n">
        <v>0</v>
      </c>
      <c r="J814" t="n">
        <v>0</v>
      </c>
      <c r="K814" t="n">
        <v>0</v>
      </c>
      <c r="L814" t="n">
        <v>0</v>
      </c>
      <c r="M814" t="n">
        <v>0</v>
      </c>
      <c r="N814" t="n">
        <v>0</v>
      </c>
      <c r="O814" t="n">
        <v>0</v>
      </c>
      <c r="P814" t="n">
        <v>0</v>
      </c>
      <c r="Q814" t="n">
        <v>0</v>
      </c>
      <c r="R814" s="2" t="inlineStr"/>
    </row>
    <row r="815" ht="15" customHeight="1">
      <c r="A815" t="inlineStr">
        <is>
          <t>A 11454-2021</t>
        </is>
      </c>
      <c r="B815" s="1" t="n">
        <v>44264</v>
      </c>
      <c r="C815" s="1" t="n">
        <v>45633</v>
      </c>
      <c r="D815" t="inlineStr">
        <is>
          <t>VÄSTERBOTTENS LÄN</t>
        </is>
      </c>
      <c r="E815" t="inlineStr">
        <is>
          <t>SKELLEFTEÅ</t>
        </is>
      </c>
      <c r="G815" t="n">
        <v>14.6</v>
      </c>
      <c r="H815" t="n">
        <v>0</v>
      </c>
      <c r="I815" t="n">
        <v>0</v>
      </c>
      <c r="J815" t="n">
        <v>0</v>
      </c>
      <c r="K815" t="n">
        <v>0</v>
      </c>
      <c r="L815" t="n">
        <v>0</v>
      </c>
      <c r="M815" t="n">
        <v>0</v>
      </c>
      <c r="N815" t="n">
        <v>0</v>
      </c>
      <c r="O815" t="n">
        <v>0</v>
      </c>
      <c r="P815" t="n">
        <v>0</v>
      </c>
      <c r="Q815" t="n">
        <v>0</v>
      </c>
      <c r="R815" s="2" t="inlineStr"/>
    </row>
    <row r="816" ht="15" customHeight="1">
      <c r="A816" t="inlineStr">
        <is>
          <t>A 11499-2021</t>
        </is>
      </c>
      <c r="B816" s="1" t="n">
        <v>44264</v>
      </c>
      <c r="C816" s="1" t="n">
        <v>45633</v>
      </c>
      <c r="D816" t="inlineStr">
        <is>
          <t>VÄSTERBOTTENS LÄN</t>
        </is>
      </c>
      <c r="E816" t="inlineStr">
        <is>
          <t>SKELLEFTEÅ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12416-2021</t>
        </is>
      </c>
      <c r="B817" s="1" t="n">
        <v>44267</v>
      </c>
      <c r="C817" s="1" t="n">
        <v>45633</v>
      </c>
      <c r="D817" t="inlineStr">
        <is>
          <t>VÄSTERBOTTENS LÄN</t>
        </is>
      </c>
      <c r="E817" t="inlineStr">
        <is>
          <t>SKELLEFTEÅ</t>
        </is>
      </c>
      <c r="G817" t="n">
        <v>3.5</v>
      </c>
      <c r="H817" t="n">
        <v>0</v>
      </c>
      <c r="I817" t="n">
        <v>0</v>
      </c>
      <c r="J817" t="n">
        <v>0</v>
      </c>
      <c r="K817" t="n">
        <v>0</v>
      </c>
      <c r="L817" t="n">
        <v>0</v>
      </c>
      <c r="M817" t="n">
        <v>0</v>
      </c>
      <c r="N817" t="n">
        <v>0</v>
      </c>
      <c r="O817" t="n">
        <v>0</v>
      </c>
      <c r="P817" t="n">
        <v>0</v>
      </c>
      <c r="Q817" t="n">
        <v>0</v>
      </c>
      <c r="R817" s="2" t="inlineStr"/>
    </row>
    <row r="818" ht="15" customHeight="1">
      <c r="A818" t="inlineStr">
        <is>
          <t>A 12928-2021</t>
        </is>
      </c>
      <c r="B818" s="1" t="n">
        <v>44270</v>
      </c>
      <c r="C818" s="1" t="n">
        <v>45633</v>
      </c>
      <c r="D818" t="inlineStr">
        <is>
          <t>VÄSTERBOTTENS LÄN</t>
        </is>
      </c>
      <c r="E818" t="inlineStr">
        <is>
          <t>SKELLEFTEÅ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13086-2021</t>
        </is>
      </c>
      <c r="B819" s="1" t="n">
        <v>44271</v>
      </c>
      <c r="C819" s="1" t="n">
        <v>45633</v>
      </c>
      <c r="D819" t="inlineStr">
        <is>
          <t>VÄSTERBOTTENS LÄN</t>
        </is>
      </c>
      <c r="E819" t="inlineStr">
        <is>
          <t>SKELLEFTEÅ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13729-2021</t>
        </is>
      </c>
      <c r="B820" s="1" t="n">
        <v>44274</v>
      </c>
      <c r="C820" s="1" t="n">
        <v>45633</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14850-2021</t>
        </is>
      </c>
      <c r="B821" s="1" t="n">
        <v>44280</v>
      </c>
      <c r="C821" s="1" t="n">
        <v>45633</v>
      </c>
      <c r="D821" t="inlineStr">
        <is>
          <t>VÄSTERBOTTENS LÄN</t>
        </is>
      </c>
      <c r="E821" t="inlineStr">
        <is>
          <t>SKELLEFTEÅ</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14865-2021</t>
        </is>
      </c>
      <c r="B822" s="1" t="n">
        <v>44280</v>
      </c>
      <c r="C822" s="1" t="n">
        <v>45633</v>
      </c>
      <c r="D822" t="inlineStr">
        <is>
          <t>VÄSTERBOTTENS LÄN</t>
        </is>
      </c>
      <c r="E822" t="inlineStr">
        <is>
          <t>SKELLEFTEÅ</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14851-2021</t>
        </is>
      </c>
      <c r="B823" s="1" t="n">
        <v>44280</v>
      </c>
      <c r="C823" s="1" t="n">
        <v>45633</v>
      </c>
      <c r="D823" t="inlineStr">
        <is>
          <t>VÄSTERBOTTENS LÄN</t>
        </is>
      </c>
      <c r="E823" t="inlineStr">
        <is>
          <t>SKELLEFTEÅ</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14858-2021</t>
        </is>
      </c>
      <c r="B824" s="1" t="n">
        <v>44280</v>
      </c>
      <c r="C824" s="1" t="n">
        <v>45633</v>
      </c>
      <c r="D824" t="inlineStr">
        <is>
          <t>VÄSTERBOTTENS LÄN</t>
        </is>
      </c>
      <c r="E824" t="inlineStr">
        <is>
          <t>SKELLEFTEÅ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14848-2021</t>
        </is>
      </c>
      <c r="B825" s="1" t="n">
        <v>44280</v>
      </c>
      <c r="C825" s="1" t="n">
        <v>45633</v>
      </c>
      <c r="D825" t="inlineStr">
        <is>
          <t>VÄSTERBOTTENS LÄN</t>
        </is>
      </c>
      <c r="E825" t="inlineStr">
        <is>
          <t>SKELLEFTEÅ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14853-2021</t>
        </is>
      </c>
      <c r="B826" s="1" t="n">
        <v>44280</v>
      </c>
      <c r="C826" s="1" t="n">
        <v>45633</v>
      </c>
      <c r="D826" t="inlineStr">
        <is>
          <t>VÄSTERBOTTENS LÄN</t>
        </is>
      </c>
      <c r="E826" t="inlineStr">
        <is>
          <t>SKELLEFTEÅ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15108-2021</t>
        </is>
      </c>
      <c r="B827" s="1" t="n">
        <v>44281</v>
      </c>
      <c r="C827" s="1" t="n">
        <v>45633</v>
      </c>
      <c r="D827" t="inlineStr">
        <is>
          <t>VÄSTERBOTTENS LÄN</t>
        </is>
      </c>
      <c r="E827" t="inlineStr">
        <is>
          <t>SKELLEFTEÅ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15109-2021</t>
        </is>
      </c>
      <c r="B828" s="1" t="n">
        <v>44281</v>
      </c>
      <c r="C828" s="1" t="n">
        <v>45633</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15459-2021</t>
        </is>
      </c>
      <c r="B829" s="1" t="n">
        <v>44284</v>
      </c>
      <c r="C829" s="1" t="n">
        <v>45633</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18073-2021</t>
        </is>
      </c>
      <c r="B830" s="1" t="n">
        <v>44302</v>
      </c>
      <c r="C830" s="1" t="n">
        <v>45633</v>
      </c>
      <c r="D830" t="inlineStr">
        <is>
          <t>VÄSTERBOTTENS LÄN</t>
        </is>
      </c>
      <c r="E830" t="inlineStr">
        <is>
          <t>SKELLEFTEÅ</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18101-2021</t>
        </is>
      </c>
      <c r="B831" s="1" t="n">
        <v>44302</v>
      </c>
      <c r="C831" s="1" t="n">
        <v>45633</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18182-2021</t>
        </is>
      </c>
      <c r="B832" s="1" t="n">
        <v>44302</v>
      </c>
      <c r="C832" s="1" t="n">
        <v>45633</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18183-2021</t>
        </is>
      </c>
      <c r="B833" s="1" t="n">
        <v>44302</v>
      </c>
      <c r="C833" s="1" t="n">
        <v>45633</v>
      </c>
      <c r="D833" t="inlineStr">
        <is>
          <t>VÄSTERBOTTENS LÄN</t>
        </is>
      </c>
      <c r="E833" t="inlineStr">
        <is>
          <t>SKELLEFTEÅ</t>
        </is>
      </c>
      <c r="G833" t="n">
        <v>7.4</v>
      </c>
      <c r="H833" t="n">
        <v>0</v>
      </c>
      <c r="I833" t="n">
        <v>0</v>
      </c>
      <c r="J833" t="n">
        <v>0</v>
      </c>
      <c r="K833" t="n">
        <v>0</v>
      </c>
      <c r="L833" t="n">
        <v>0</v>
      </c>
      <c r="M833" t="n">
        <v>0</v>
      </c>
      <c r="N833" t="n">
        <v>0</v>
      </c>
      <c r="O833" t="n">
        <v>0</v>
      </c>
      <c r="P833" t="n">
        <v>0</v>
      </c>
      <c r="Q833" t="n">
        <v>0</v>
      </c>
      <c r="R833" s="2" t="inlineStr"/>
    </row>
    <row r="834" ht="15" customHeight="1">
      <c r="A834" t="inlineStr">
        <is>
          <t>A 18104-2021</t>
        </is>
      </c>
      <c r="B834" s="1" t="n">
        <v>44302</v>
      </c>
      <c r="C834" s="1" t="n">
        <v>45633</v>
      </c>
      <c r="D834" t="inlineStr">
        <is>
          <t>VÄSTERBOTTENS LÄN</t>
        </is>
      </c>
      <c r="E834" t="inlineStr">
        <is>
          <t>SKELLEFTEÅ</t>
        </is>
      </c>
      <c r="G834" t="n">
        <v>3.8</v>
      </c>
      <c r="H834" t="n">
        <v>0</v>
      </c>
      <c r="I834" t="n">
        <v>0</v>
      </c>
      <c r="J834" t="n">
        <v>0</v>
      </c>
      <c r="K834" t="n">
        <v>0</v>
      </c>
      <c r="L834" t="n">
        <v>0</v>
      </c>
      <c r="M834" t="n">
        <v>0</v>
      </c>
      <c r="N834" t="n">
        <v>0</v>
      </c>
      <c r="O834" t="n">
        <v>0</v>
      </c>
      <c r="P834" t="n">
        <v>0</v>
      </c>
      <c r="Q834" t="n">
        <v>0</v>
      </c>
      <c r="R834" s="2" t="inlineStr"/>
    </row>
    <row r="835" ht="15" customHeight="1">
      <c r="A835" t="inlineStr">
        <is>
          <t>A 18216-2021</t>
        </is>
      </c>
      <c r="B835" s="1" t="n">
        <v>44303</v>
      </c>
      <c r="C835" s="1" t="n">
        <v>45633</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18353-2021</t>
        </is>
      </c>
      <c r="B836" s="1" t="n">
        <v>44305</v>
      </c>
      <c r="C836" s="1" t="n">
        <v>45633</v>
      </c>
      <c r="D836" t="inlineStr">
        <is>
          <t>VÄSTERBOTTENS LÄN</t>
        </is>
      </c>
      <c r="E836" t="inlineStr">
        <is>
          <t>SKELLEFTEÅ</t>
        </is>
      </c>
      <c r="G836" t="n">
        <v>7.2</v>
      </c>
      <c r="H836" t="n">
        <v>0</v>
      </c>
      <c r="I836" t="n">
        <v>0</v>
      </c>
      <c r="J836" t="n">
        <v>0</v>
      </c>
      <c r="K836" t="n">
        <v>0</v>
      </c>
      <c r="L836" t="n">
        <v>0</v>
      </c>
      <c r="M836" t="n">
        <v>0</v>
      </c>
      <c r="N836" t="n">
        <v>0</v>
      </c>
      <c r="O836" t="n">
        <v>0</v>
      </c>
      <c r="P836" t="n">
        <v>0</v>
      </c>
      <c r="Q836" t="n">
        <v>0</v>
      </c>
      <c r="R836" s="2" t="inlineStr"/>
    </row>
    <row r="837" ht="15" customHeight="1">
      <c r="A837" t="inlineStr">
        <is>
          <t>A 19538-2021</t>
        </is>
      </c>
      <c r="B837" s="1" t="n">
        <v>44309</v>
      </c>
      <c r="C837" s="1" t="n">
        <v>45633</v>
      </c>
      <c r="D837" t="inlineStr">
        <is>
          <t>VÄSTERBOTTENS LÄN</t>
        </is>
      </c>
      <c r="E837" t="inlineStr">
        <is>
          <t>SKELLEFTEÅ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19748-2021</t>
        </is>
      </c>
      <c r="B838" s="1" t="n">
        <v>44312</v>
      </c>
      <c r="C838" s="1" t="n">
        <v>45633</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19679-2021</t>
        </is>
      </c>
      <c r="B839" s="1" t="n">
        <v>44312</v>
      </c>
      <c r="C839" s="1" t="n">
        <v>45633</v>
      </c>
      <c r="D839" t="inlineStr">
        <is>
          <t>VÄSTERBOTTENS LÄN</t>
        </is>
      </c>
      <c r="E839" t="inlineStr">
        <is>
          <t>SKELLEFTEÅ</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20051-2021</t>
        </is>
      </c>
      <c r="B840" s="1" t="n">
        <v>44313</v>
      </c>
      <c r="C840" s="1" t="n">
        <v>45633</v>
      </c>
      <c r="D840" t="inlineStr">
        <is>
          <t>VÄSTERBOTTENS LÄN</t>
        </is>
      </c>
      <c r="E840" t="inlineStr">
        <is>
          <t>SKELLEFTEÅ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20046-2021</t>
        </is>
      </c>
      <c r="B841" s="1" t="n">
        <v>44313</v>
      </c>
      <c r="C841" s="1" t="n">
        <v>45633</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20381-2021</t>
        </is>
      </c>
      <c r="B842" s="1" t="n">
        <v>44314</v>
      </c>
      <c r="C842" s="1" t="n">
        <v>45633</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20856-2021</t>
        </is>
      </c>
      <c r="B843" s="1" t="n">
        <v>44319</v>
      </c>
      <c r="C843" s="1" t="n">
        <v>45633</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24606-2021</t>
        </is>
      </c>
      <c r="B844" s="1" t="n">
        <v>44319</v>
      </c>
      <c r="C844" s="1" t="n">
        <v>45633</v>
      </c>
      <c r="D844" t="inlineStr">
        <is>
          <t>VÄSTERBOTTENS LÄN</t>
        </is>
      </c>
      <c r="E844" t="inlineStr">
        <is>
          <t>SKELLEFTEÅ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21265-2021</t>
        </is>
      </c>
      <c r="B845" s="1" t="n">
        <v>44320</v>
      </c>
      <c r="C845" s="1" t="n">
        <v>45633</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22067-2021</t>
        </is>
      </c>
      <c r="B846" s="1" t="n">
        <v>44322</v>
      </c>
      <c r="C846" s="1" t="n">
        <v>45633</v>
      </c>
      <c r="D846" t="inlineStr">
        <is>
          <t>VÄSTERBOTTENS LÄN</t>
        </is>
      </c>
      <c r="E846" t="inlineStr">
        <is>
          <t>SKELLEFTEÅ</t>
        </is>
      </c>
      <c r="G846" t="n">
        <v>10.7</v>
      </c>
      <c r="H846" t="n">
        <v>0</v>
      </c>
      <c r="I846" t="n">
        <v>0</v>
      </c>
      <c r="J846" t="n">
        <v>0</v>
      </c>
      <c r="K846" t="n">
        <v>0</v>
      </c>
      <c r="L846" t="n">
        <v>0</v>
      </c>
      <c r="M846" t="n">
        <v>0</v>
      </c>
      <c r="N846" t="n">
        <v>0</v>
      </c>
      <c r="O846" t="n">
        <v>0</v>
      </c>
      <c r="P846" t="n">
        <v>0</v>
      </c>
      <c r="Q846" t="n">
        <v>0</v>
      </c>
      <c r="R846" s="2" t="inlineStr"/>
    </row>
    <row r="847" ht="15" customHeight="1">
      <c r="A847" t="inlineStr">
        <is>
          <t>A 22568-2021</t>
        </is>
      </c>
      <c r="B847" s="1" t="n">
        <v>44322</v>
      </c>
      <c r="C847" s="1" t="n">
        <v>45633</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22626-2021</t>
        </is>
      </c>
      <c r="B848" s="1" t="n">
        <v>44326</v>
      </c>
      <c r="C848" s="1" t="n">
        <v>45633</v>
      </c>
      <c r="D848" t="inlineStr">
        <is>
          <t>VÄSTERBOTTENS LÄN</t>
        </is>
      </c>
      <c r="E848" t="inlineStr">
        <is>
          <t>SKELLEFTEÅ</t>
        </is>
      </c>
      <c r="G848" t="n">
        <v>8.4</v>
      </c>
      <c r="H848" t="n">
        <v>0</v>
      </c>
      <c r="I848" t="n">
        <v>0</v>
      </c>
      <c r="J848" t="n">
        <v>0</v>
      </c>
      <c r="K848" t="n">
        <v>0</v>
      </c>
      <c r="L848" t="n">
        <v>0</v>
      </c>
      <c r="M848" t="n">
        <v>0</v>
      </c>
      <c r="N848" t="n">
        <v>0</v>
      </c>
      <c r="O848" t="n">
        <v>0</v>
      </c>
      <c r="P848" t="n">
        <v>0</v>
      </c>
      <c r="Q848" t="n">
        <v>0</v>
      </c>
      <c r="R848" s="2" t="inlineStr"/>
    </row>
    <row r="849" ht="15" customHeight="1">
      <c r="A849" t="inlineStr">
        <is>
          <t>A 23132-2021</t>
        </is>
      </c>
      <c r="B849" s="1" t="n">
        <v>44331</v>
      </c>
      <c r="C849" s="1" t="n">
        <v>45633</v>
      </c>
      <c r="D849" t="inlineStr">
        <is>
          <t>VÄSTERBOTTENS LÄN</t>
        </is>
      </c>
      <c r="E849" t="inlineStr">
        <is>
          <t>SKELLEFTEÅ</t>
        </is>
      </c>
      <c r="G849" t="n">
        <v>2.6</v>
      </c>
      <c r="H849" t="n">
        <v>0</v>
      </c>
      <c r="I849" t="n">
        <v>0</v>
      </c>
      <c r="J849" t="n">
        <v>0</v>
      </c>
      <c r="K849" t="n">
        <v>0</v>
      </c>
      <c r="L849" t="n">
        <v>0</v>
      </c>
      <c r="M849" t="n">
        <v>0</v>
      </c>
      <c r="N849" t="n">
        <v>0</v>
      </c>
      <c r="O849" t="n">
        <v>0</v>
      </c>
      <c r="P849" t="n">
        <v>0</v>
      </c>
      <c r="Q849" t="n">
        <v>0</v>
      </c>
      <c r="R849" s="2" t="inlineStr"/>
    </row>
    <row r="850" ht="15" customHeight="1">
      <c r="A850" t="inlineStr">
        <is>
          <t>A 23408-2021</t>
        </is>
      </c>
      <c r="B850" s="1" t="n">
        <v>44333</v>
      </c>
      <c r="C850" s="1" t="n">
        <v>45633</v>
      </c>
      <c r="D850" t="inlineStr">
        <is>
          <t>VÄSTERBOTTENS LÄN</t>
        </is>
      </c>
      <c r="E850" t="inlineStr">
        <is>
          <t>SKELLEFTEÅ</t>
        </is>
      </c>
      <c r="F850" t="inlineStr">
        <is>
          <t>Holmen skog AB</t>
        </is>
      </c>
      <c r="G850" t="n">
        <v>4.2</v>
      </c>
      <c r="H850" t="n">
        <v>0</v>
      </c>
      <c r="I850" t="n">
        <v>0</v>
      </c>
      <c r="J850" t="n">
        <v>0</v>
      </c>
      <c r="K850" t="n">
        <v>0</v>
      </c>
      <c r="L850" t="n">
        <v>0</v>
      </c>
      <c r="M850" t="n">
        <v>0</v>
      </c>
      <c r="N850" t="n">
        <v>0</v>
      </c>
      <c r="O850" t="n">
        <v>0</v>
      </c>
      <c r="P850" t="n">
        <v>0</v>
      </c>
      <c r="Q850" t="n">
        <v>0</v>
      </c>
      <c r="R850" s="2" t="inlineStr"/>
    </row>
    <row r="851" ht="15" customHeight="1">
      <c r="A851" t="inlineStr">
        <is>
          <t>A 23801-2021</t>
        </is>
      </c>
      <c r="B851" s="1" t="n">
        <v>44334</v>
      </c>
      <c r="C851" s="1" t="n">
        <v>45633</v>
      </c>
      <c r="D851" t="inlineStr">
        <is>
          <t>VÄSTERBOTTENS LÄN</t>
        </is>
      </c>
      <c r="E851" t="inlineStr">
        <is>
          <t>SKELLEFTEÅ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23885-2021</t>
        </is>
      </c>
      <c r="B852" s="1" t="n">
        <v>44335</v>
      </c>
      <c r="C852" s="1" t="n">
        <v>45633</v>
      </c>
      <c r="D852" t="inlineStr">
        <is>
          <t>VÄSTERBOTTENS LÄN</t>
        </is>
      </c>
      <c r="E852" t="inlineStr">
        <is>
          <t>SKELLEFTEÅ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24238-2021</t>
        </is>
      </c>
      <c r="B853" s="1" t="n">
        <v>44337</v>
      </c>
      <c r="C853" s="1" t="n">
        <v>45633</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24303-2021</t>
        </is>
      </c>
      <c r="B854" s="1" t="n">
        <v>44337</v>
      </c>
      <c r="C854" s="1" t="n">
        <v>45633</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24653-2021</t>
        </is>
      </c>
      <c r="B855" s="1" t="n">
        <v>44340</v>
      </c>
      <c r="C855" s="1" t="n">
        <v>45633</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25513-2021</t>
        </is>
      </c>
      <c r="B856" s="1" t="n">
        <v>44343</v>
      </c>
      <c r="C856" s="1" t="n">
        <v>45633</v>
      </c>
      <c r="D856" t="inlineStr">
        <is>
          <t>VÄSTERBOTTENS LÄN</t>
        </is>
      </c>
      <c r="E856" t="inlineStr">
        <is>
          <t>SKELLEFTEÅ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25512-2021</t>
        </is>
      </c>
      <c r="B857" s="1" t="n">
        <v>44342</v>
      </c>
      <c r="C857" s="1" t="n">
        <v>45633</v>
      </c>
      <c r="D857" t="inlineStr">
        <is>
          <t>VÄSTERBOTTENS LÄN</t>
        </is>
      </c>
      <c r="E857" t="inlineStr">
        <is>
          <t>SKELLEFTEÅ</t>
        </is>
      </c>
      <c r="F857" t="inlineStr">
        <is>
          <t>SCA</t>
        </is>
      </c>
      <c r="G857" t="n">
        <v>6.4</v>
      </c>
      <c r="H857" t="n">
        <v>0</v>
      </c>
      <c r="I857" t="n">
        <v>0</v>
      </c>
      <c r="J857" t="n">
        <v>0</v>
      </c>
      <c r="K857" t="n">
        <v>0</v>
      </c>
      <c r="L857" t="n">
        <v>0</v>
      </c>
      <c r="M857" t="n">
        <v>0</v>
      </c>
      <c r="N857" t="n">
        <v>0</v>
      </c>
      <c r="O857" t="n">
        <v>0</v>
      </c>
      <c r="P857" t="n">
        <v>0</v>
      </c>
      <c r="Q857" t="n">
        <v>0</v>
      </c>
      <c r="R857" s="2" t="inlineStr"/>
    </row>
    <row r="858" ht="15" customHeight="1">
      <c r="A858" t="inlineStr">
        <is>
          <t>A 25515-2021</t>
        </is>
      </c>
      <c r="B858" s="1" t="n">
        <v>44343</v>
      </c>
      <c r="C858" s="1" t="n">
        <v>45633</v>
      </c>
      <c r="D858" t="inlineStr">
        <is>
          <t>VÄSTERBOTTENS LÄN</t>
        </is>
      </c>
      <c r="E858" t="inlineStr">
        <is>
          <t>SKELLEFTEÅ</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25520-2021</t>
        </is>
      </c>
      <c r="B859" s="1" t="n">
        <v>44343</v>
      </c>
      <c r="C859" s="1" t="n">
        <v>45633</v>
      </c>
      <c r="D859" t="inlineStr">
        <is>
          <t>VÄSTERBOTTENS LÄN</t>
        </is>
      </c>
      <c r="E859" t="inlineStr">
        <is>
          <t>SKELLEFTEÅ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25473-2021</t>
        </is>
      </c>
      <c r="B860" s="1" t="n">
        <v>44342</v>
      </c>
      <c r="C860" s="1" t="n">
        <v>45633</v>
      </c>
      <c r="D860" t="inlineStr">
        <is>
          <t>VÄSTERBOTTENS LÄN</t>
        </is>
      </c>
      <c r="E860" t="inlineStr">
        <is>
          <t>SKELLEFTEÅ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25491-2021</t>
        </is>
      </c>
      <c r="B861" s="1" t="n">
        <v>44342</v>
      </c>
      <c r="C861" s="1" t="n">
        <v>45633</v>
      </c>
      <c r="D861" t="inlineStr">
        <is>
          <t>VÄSTERBOTTENS LÄN</t>
        </is>
      </c>
      <c r="E861" t="inlineStr">
        <is>
          <t>SKELLEFTEÅ</t>
        </is>
      </c>
      <c r="G861" t="n">
        <v>2.9</v>
      </c>
      <c r="H861" t="n">
        <v>0</v>
      </c>
      <c r="I861" t="n">
        <v>0</v>
      </c>
      <c r="J861" t="n">
        <v>0</v>
      </c>
      <c r="K861" t="n">
        <v>0</v>
      </c>
      <c r="L861" t="n">
        <v>0</v>
      </c>
      <c r="M861" t="n">
        <v>0</v>
      </c>
      <c r="N861" t="n">
        <v>0</v>
      </c>
      <c r="O861" t="n">
        <v>0</v>
      </c>
      <c r="P861" t="n">
        <v>0</v>
      </c>
      <c r="Q861" t="n">
        <v>0</v>
      </c>
      <c r="R861" s="2" t="inlineStr"/>
    </row>
    <row r="862" ht="15" customHeight="1">
      <c r="A862" t="inlineStr">
        <is>
          <t>A 26129-2021</t>
        </is>
      </c>
      <c r="B862" s="1" t="n">
        <v>44346</v>
      </c>
      <c r="C862" s="1" t="n">
        <v>45633</v>
      </c>
      <c r="D862" t="inlineStr">
        <is>
          <t>VÄSTERBOTTENS LÄN</t>
        </is>
      </c>
      <c r="E862" t="inlineStr">
        <is>
          <t>SKELLEFTEÅ</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26130-2021</t>
        </is>
      </c>
      <c r="B863" s="1" t="n">
        <v>44346</v>
      </c>
      <c r="C863" s="1" t="n">
        <v>45633</v>
      </c>
      <c r="D863" t="inlineStr">
        <is>
          <t>VÄSTERBOTTENS LÄN</t>
        </is>
      </c>
      <c r="E863" t="inlineStr">
        <is>
          <t>SKELLEFTEÅ</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26473-2021</t>
        </is>
      </c>
      <c r="B864" s="1" t="n">
        <v>44348</v>
      </c>
      <c r="C864" s="1" t="n">
        <v>45633</v>
      </c>
      <c r="D864" t="inlineStr">
        <is>
          <t>VÄSTERBOTTENS LÄN</t>
        </is>
      </c>
      <c r="E864" t="inlineStr">
        <is>
          <t>SKELLEFTEÅ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26599-2021</t>
        </is>
      </c>
      <c r="B865" s="1" t="n">
        <v>44348</v>
      </c>
      <c r="C865" s="1" t="n">
        <v>45633</v>
      </c>
      <c r="D865" t="inlineStr">
        <is>
          <t>VÄSTERBOTTENS LÄN</t>
        </is>
      </c>
      <c r="E865" t="inlineStr">
        <is>
          <t>SKELLEFTEÅ</t>
        </is>
      </c>
      <c r="G865" t="n">
        <v>1.4</v>
      </c>
      <c r="H865" t="n">
        <v>0</v>
      </c>
      <c r="I865" t="n">
        <v>0</v>
      </c>
      <c r="J865" t="n">
        <v>0</v>
      </c>
      <c r="K865" t="n">
        <v>0</v>
      </c>
      <c r="L865" t="n">
        <v>0</v>
      </c>
      <c r="M865" t="n">
        <v>0</v>
      </c>
      <c r="N865" t="n">
        <v>0</v>
      </c>
      <c r="O865" t="n">
        <v>0</v>
      </c>
      <c r="P865" t="n">
        <v>0</v>
      </c>
      <c r="Q865" t="n">
        <v>0</v>
      </c>
      <c r="R865" s="2" t="inlineStr"/>
    </row>
    <row r="866" ht="15" customHeight="1">
      <c r="A866" t="inlineStr">
        <is>
          <t>A 26858-2021</t>
        </is>
      </c>
      <c r="B866" s="1" t="n">
        <v>44349</v>
      </c>
      <c r="C866" s="1" t="n">
        <v>45633</v>
      </c>
      <c r="D866" t="inlineStr">
        <is>
          <t>VÄSTERBOTTENS LÄN</t>
        </is>
      </c>
      <c r="E866" t="inlineStr">
        <is>
          <t>SKELLEFTEÅ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26957-2021</t>
        </is>
      </c>
      <c r="B867" s="1" t="n">
        <v>44350</v>
      </c>
      <c r="C867" s="1" t="n">
        <v>45633</v>
      </c>
      <c r="D867" t="inlineStr">
        <is>
          <t>VÄSTERBOTTENS LÄN</t>
        </is>
      </c>
      <c r="E867" t="inlineStr">
        <is>
          <t>SKELLEFTEÅ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26975-2021</t>
        </is>
      </c>
      <c r="B868" s="1" t="n">
        <v>44350</v>
      </c>
      <c r="C868" s="1" t="n">
        <v>45633</v>
      </c>
      <c r="D868" t="inlineStr">
        <is>
          <t>VÄSTERBOTTENS LÄN</t>
        </is>
      </c>
      <c r="E868" t="inlineStr">
        <is>
          <t>SKELLEFTEÅ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27444-2021</t>
        </is>
      </c>
      <c r="B869" s="1" t="n">
        <v>44351</v>
      </c>
      <c r="C869" s="1" t="n">
        <v>45633</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27698-2021</t>
        </is>
      </c>
      <c r="B870" s="1" t="n">
        <v>44354</v>
      </c>
      <c r="C870" s="1" t="n">
        <v>45633</v>
      </c>
      <c r="D870" t="inlineStr">
        <is>
          <t>VÄSTERBOTTENS LÄN</t>
        </is>
      </c>
      <c r="E870" t="inlineStr">
        <is>
          <t>SKELLEFTEÅ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27643-2021</t>
        </is>
      </c>
      <c r="B871" s="1" t="n">
        <v>44354</v>
      </c>
      <c r="C871" s="1" t="n">
        <v>45633</v>
      </c>
      <c r="D871" t="inlineStr">
        <is>
          <t>VÄSTERBOTTENS LÄN</t>
        </is>
      </c>
      <c r="E871" t="inlineStr">
        <is>
          <t>SKELLEFTEÅ</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27774-2021</t>
        </is>
      </c>
      <c r="B872" s="1" t="n">
        <v>44354</v>
      </c>
      <c r="C872" s="1" t="n">
        <v>45633</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28121-2021</t>
        </is>
      </c>
      <c r="B873" s="1" t="n">
        <v>44355</v>
      </c>
      <c r="C873" s="1" t="n">
        <v>45633</v>
      </c>
      <c r="D873" t="inlineStr">
        <is>
          <t>VÄSTERBOTTENS LÄN</t>
        </is>
      </c>
      <c r="E873" t="inlineStr">
        <is>
          <t>SKELLEFTEÅ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28191-2021</t>
        </is>
      </c>
      <c r="B874" s="1" t="n">
        <v>44355</v>
      </c>
      <c r="C874" s="1" t="n">
        <v>45633</v>
      </c>
      <c r="D874" t="inlineStr">
        <is>
          <t>VÄSTERBOTTENS LÄN</t>
        </is>
      </c>
      <c r="E874" t="inlineStr">
        <is>
          <t>SKELLEFTEÅ</t>
        </is>
      </c>
      <c r="G874" t="n">
        <v>7.6</v>
      </c>
      <c r="H874" t="n">
        <v>0</v>
      </c>
      <c r="I874" t="n">
        <v>0</v>
      </c>
      <c r="J874" t="n">
        <v>0</v>
      </c>
      <c r="K874" t="n">
        <v>0</v>
      </c>
      <c r="L874" t="n">
        <v>0</v>
      </c>
      <c r="M874" t="n">
        <v>0</v>
      </c>
      <c r="N874" t="n">
        <v>0</v>
      </c>
      <c r="O874" t="n">
        <v>0</v>
      </c>
      <c r="P874" t="n">
        <v>0</v>
      </c>
      <c r="Q874" t="n">
        <v>0</v>
      </c>
      <c r="R874" s="2" t="inlineStr"/>
    </row>
    <row r="875" ht="15" customHeight="1">
      <c r="A875" t="inlineStr">
        <is>
          <t>A 28196-2021</t>
        </is>
      </c>
      <c r="B875" s="1" t="n">
        <v>44355</v>
      </c>
      <c r="C875" s="1" t="n">
        <v>45633</v>
      </c>
      <c r="D875" t="inlineStr">
        <is>
          <t>VÄSTERBOTTENS LÄN</t>
        </is>
      </c>
      <c r="E875" t="inlineStr">
        <is>
          <t>SKELLEFTEÅ</t>
        </is>
      </c>
      <c r="F875" t="inlineStr">
        <is>
          <t>Holmen skog AB</t>
        </is>
      </c>
      <c r="G875" t="n">
        <v>7.5</v>
      </c>
      <c r="H875" t="n">
        <v>0</v>
      </c>
      <c r="I875" t="n">
        <v>0</v>
      </c>
      <c r="J875" t="n">
        <v>0</v>
      </c>
      <c r="K875" t="n">
        <v>0</v>
      </c>
      <c r="L875" t="n">
        <v>0</v>
      </c>
      <c r="M875" t="n">
        <v>0</v>
      </c>
      <c r="N875" t="n">
        <v>0</v>
      </c>
      <c r="O875" t="n">
        <v>0</v>
      </c>
      <c r="P875" t="n">
        <v>0</v>
      </c>
      <c r="Q875" t="n">
        <v>0</v>
      </c>
      <c r="R875" s="2" t="inlineStr"/>
    </row>
    <row r="876" ht="15" customHeight="1">
      <c r="A876" t="inlineStr">
        <is>
          <t>A 28244-2021</t>
        </is>
      </c>
      <c r="B876" s="1" t="n">
        <v>44355</v>
      </c>
      <c r="C876" s="1" t="n">
        <v>45633</v>
      </c>
      <c r="D876" t="inlineStr">
        <is>
          <t>VÄSTERBOTTENS LÄN</t>
        </is>
      </c>
      <c r="E876" t="inlineStr">
        <is>
          <t>SKELLEFTEÅ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28291-2021</t>
        </is>
      </c>
      <c r="B877" s="1" t="n">
        <v>44356</v>
      </c>
      <c r="C877" s="1" t="n">
        <v>45633</v>
      </c>
      <c r="D877" t="inlineStr">
        <is>
          <t>VÄSTERBOTTENS LÄN</t>
        </is>
      </c>
      <c r="E877" t="inlineStr">
        <is>
          <t>SKELLEFTEÅ</t>
        </is>
      </c>
      <c r="G877" t="n">
        <v>10.1</v>
      </c>
      <c r="H877" t="n">
        <v>0</v>
      </c>
      <c r="I877" t="n">
        <v>0</v>
      </c>
      <c r="J877" t="n">
        <v>0</v>
      </c>
      <c r="K877" t="n">
        <v>0</v>
      </c>
      <c r="L877" t="n">
        <v>0</v>
      </c>
      <c r="M877" t="n">
        <v>0</v>
      </c>
      <c r="N877" t="n">
        <v>0</v>
      </c>
      <c r="O877" t="n">
        <v>0</v>
      </c>
      <c r="P877" t="n">
        <v>0</v>
      </c>
      <c r="Q877" t="n">
        <v>0</v>
      </c>
      <c r="R877" s="2" t="inlineStr"/>
    </row>
    <row r="878" ht="15" customHeight="1">
      <c r="A878" t="inlineStr">
        <is>
          <t>A 28525-2021</t>
        </is>
      </c>
      <c r="B878" s="1" t="n">
        <v>44356</v>
      </c>
      <c r="C878" s="1" t="n">
        <v>45633</v>
      </c>
      <c r="D878" t="inlineStr">
        <is>
          <t>VÄSTERBOTTENS LÄN</t>
        </is>
      </c>
      <c r="E878" t="inlineStr">
        <is>
          <t>SKELLEFTEÅ</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28666-2021</t>
        </is>
      </c>
      <c r="B879" s="1" t="n">
        <v>44357</v>
      </c>
      <c r="C879" s="1" t="n">
        <v>45633</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28822-2021</t>
        </is>
      </c>
      <c r="B880" s="1" t="n">
        <v>44357</v>
      </c>
      <c r="C880" s="1" t="n">
        <v>45633</v>
      </c>
      <c r="D880" t="inlineStr">
        <is>
          <t>VÄSTERBOTTENS LÄN</t>
        </is>
      </c>
      <c r="E880" t="inlineStr">
        <is>
          <t>SKELLEFTEÅ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29115-2021</t>
        </is>
      </c>
      <c r="B881" s="1" t="n">
        <v>44358</v>
      </c>
      <c r="C881" s="1" t="n">
        <v>45633</v>
      </c>
      <c r="D881" t="inlineStr">
        <is>
          <t>VÄSTERBOTTENS LÄN</t>
        </is>
      </c>
      <c r="E881" t="inlineStr">
        <is>
          <t>SKELLEFTEÅ</t>
        </is>
      </c>
      <c r="G881" t="n">
        <v>4.4</v>
      </c>
      <c r="H881" t="n">
        <v>0</v>
      </c>
      <c r="I881" t="n">
        <v>0</v>
      </c>
      <c r="J881" t="n">
        <v>0</v>
      </c>
      <c r="K881" t="n">
        <v>0</v>
      </c>
      <c r="L881" t="n">
        <v>0</v>
      </c>
      <c r="M881" t="n">
        <v>0</v>
      </c>
      <c r="N881" t="n">
        <v>0</v>
      </c>
      <c r="O881" t="n">
        <v>0</v>
      </c>
      <c r="P881" t="n">
        <v>0</v>
      </c>
      <c r="Q881" t="n">
        <v>0</v>
      </c>
      <c r="R881" s="2" t="inlineStr"/>
    </row>
    <row r="882" ht="15" customHeight="1">
      <c r="A882" t="inlineStr">
        <is>
          <t>A 28959-2021</t>
        </is>
      </c>
      <c r="B882" s="1" t="n">
        <v>44358</v>
      </c>
      <c r="C882" s="1" t="n">
        <v>45633</v>
      </c>
      <c r="D882" t="inlineStr">
        <is>
          <t>VÄSTERBOTTENS LÄN</t>
        </is>
      </c>
      <c r="E882" t="inlineStr">
        <is>
          <t>SKELLEFTEÅ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29319-2021</t>
        </is>
      </c>
      <c r="B883" s="1" t="n">
        <v>44361</v>
      </c>
      <c r="C883" s="1" t="n">
        <v>45633</v>
      </c>
      <c r="D883" t="inlineStr">
        <is>
          <t>VÄSTERBOTTENS LÄN</t>
        </is>
      </c>
      <c r="E883" t="inlineStr">
        <is>
          <t>SKELLEFTEÅ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29276-2021</t>
        </is>
      </c>
      <c r="B884" s="1" t="n">
        <v>44361</v>
      </c>
      <c r="C884" s="1" t="n">
        <v>45633</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29407-2021</t>
        </is>
      </c>
      <c r="B885" s="1" t="n">
        <v>44361</v>
      </c>
      <c r="C885" s="1" t="n">
        <v>45633</v>
      </c>
      <c r="D885" t="inlineStr">
        <is>
          <t>VÄSTERBOTTENS LÄN</t>
        </is>
      </c>
      <c r="E885" t="inlineStr">
        <is>
          <t>SKELLEFTEÅ</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29687-2021</t>
        </is>
      </c>
      <c r="B886" s="1" t="n">
        <v>44362</v>
      </c>
      <c r="C886" s="1" t="n">
        <v>45633</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29649-2021</t>
        </is>
      </c>
      <c r="B887" s="1" t="n">
        <v>44362</v>
      </c>
      <c r="C887" s="1" t="n">
        <v>45633</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29731-2021</t>
        </is>
      </c>
      <c r="B888" s="1" t="n">
        <v>44362</v>
      </c>
      <c r="C888" s="1" t="n">
        <v>45633</v>
      </c>
      <c r="D888" t="inlineStr">
        <is>
          <t>VÄSTERBOTTENS LÄN</t>
        </is>
      </c>
      <c r="E888" t="inlineStr">
        <is>
          <t>SKELLEFTEÅ</t>
        </is>
      </c>
      <c r="F888" t="inlineStr">
        <is>
          <t>Holmen skog AB</t>
        </is>
      </c>
      <c r="G888" t="n">
        <v>15.1</v>
      </c>
      <c r="H888" t="n">
        <v>0</v>
      </c>
      <c r="I888" t="n">
        <v>0</v>
      </c>
      <c r="J888" t="n">
        <v>0</v>
      </c>
      <c r="K888" t="n">
        <v>0</v>
      </c>
      <c r="L888" t="n">
        <v>0</v>
      </c>
      <c r="M888" t="n">
        <v>0</v>
      </c>
      <c r="N888" t="n">
        <v>0</v>
      </c>
      <c r="O888" t="n">
        <v>0</v>
      </c>
      <c r="P888" t="n">
        <v>0</v>
      </c>
      <c r="Q888" t="n">
        <v>0</v>
      </c>
      <c r="R888" s="2" t="inlineStr"/>
    </row>
    <row r="889" ht="15" customHeight="1">
      <c r="A889" t="inlineStr">
        <is>
          <t>A 30086-2021</t>
        </is>
      </c>
      <c r="B889" s="1" t="n">
        <v>44363</v>
      </c>
      <c r="C889" s="1" t="n">
        <v>45633</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30194-2021</t>
        </is>
      </c>
      <c r="B890" s="1" t="n">
        <v>44363</v>
      </c>
      <c r="C890" s="1" t="n">
        <v>45633</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30449-2021</t>
        </is>
      </c>
      <c r="B891" s="1" t="n">
        <v>44364</v>
      </c>
      <c r="C891" s="1" t="n">
        <v>45633</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30332-2021</t>
        </is>
      </c>
      <c r="B892" s="1" t="n">
        <v>44364</v>
      </c>
      <c r="C892" s="1" t="n">
        <v>45633</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30744-2021</t>
        </is>
      </c>
      <c r="B893" s="1" t="n">
        <v>44365</v>
      </c>
      <c r="C893" s="1" t="n">
        <v>45633</v>
      </c>
      <c r="D893" t="inlineStr">
        <is>
          <t>VÄSTERBOTTENS LÄN</t>
        </is>
      </c>
      <c r="E893" t="inlineStr">
        <is>
          <t>SKELLEFTEÅ</t>
        </is>
      </c>
      <c r="G893" t="n">
        <v>38.3</v>
      </c>
      <c r="H893" t="n">
        <v>0</v>
      </c>
      <c r="I893" t="n">
        <v>0</v>
      </c>
      <c r="J893" t="n">
        <v>0</v>
      </c>
      <c r="K893" t="n">
        <v>0</v>
      </c>
      <c r="L893" t="n">
        <v>0</v>
      </c>
      <c r="M893" t="n">
        <v>0</v>
      </c>
      <c r="N893" t="n">
        <v>0</v>
      </c>
      <c r="O893" t="n">
        <v>0</v>
      </c>
      <c r="P893" t="n">
        <v>0</v>
      </c>
      <c r="Q893" t="n">
        <v>0</v>
      </c>
      <c r="R893" s="2" t="inlineStr"/>
    </row>
    <row r="894" ht="15" customHeight="1">
      <c r="A894" t="inlineStr">
        <is>
          <t>A 30719-2021</t>
        </is>
      </c>
      <c r="B894" s="1" t="n">
        <v>44365</v>
      </c>
      <c r="C894" s="1" t="n">
        <v>45633</v>
      </c>
      <c r="D894" t="inlineStr">
        <is>
          <t>VÄSTERBOTTENS LÄN</t>
        </is>
      </c>
      <c r="E894" t="inlineStr">
        <is>
          <t>SKELLEFTEÅ</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30704-2021</t>
        </is>
      </c>
      <c r="B895" s="1" t="n">
        <v>44365</v>
      </c>
      <c r="C895" s="1" t="n">
        <v>45633</v>
      </c>
      <c r="D895" t="inlineStr">
        <is>
          <t>VÄSTERBOTTENS LÄN</t>
        </is>
      </c>
      <c r="E895" t="inlineStr">
        <is>
          <t>SKELLEFTEÅ</t>
        </is>
      </c>
      <c r="G895" t="n">
        <v>20.2</v>
      </c>
      <c r="H895" t="n">
        <v>0</v>
      </c>
      <c r="I895" t="n">
        <v>0</v>
      </c>
      <c r="J895" t="n">
        <v>0</v>
      </c>
      <c r="K895" t="n">
        <v>0</v>
      </c>
      <c r="L895" t="n">
        <v>0</v>
      </c>
      <c r="M895" t="n">
        <v>0</v>
      </c>
      <c r="N895" t="n">
        <v>0</v>
      </c>
      <c r="O895" t="n">
        <v>0</v>
      </c>
      <c r="P895" t="n">
        <v>0</v>
      </c>
      <c r="Q895" t="n">
        <v>0</v>
      </c>
      <c r="R895" s="2" t="inlineStr"/>
    </row>
    <row r="896" ht="15" customHeight="1">
      <c r="A896" t="inlineStr">
        <is>
          <t>A 30754-2021</t>
        </is>
      </c>
      <c r="B896" s="1" t="n">
        <v>44365</v>
      </c>
      <c r="C896" s="1" t="n">
        <v>45633</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30870-2021</t>
        </is>
      </c>
      <c r="B897" s="1" t="n">
        <v>44365</v>
      </c>
      <c r="C897" s="1" t="n">
        <v>45633</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30959-2021</t>
        </is>
      </c>
      <c r="B898" s="1" t="n">
        <v>44365</v>
      </c>
      <c r="C898" s="1" t="n">
        <v>45633</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31185-2021</t>
        </is>
      </c>
      <c r="B899" s="1" t="n">
        <v>44367</v>
      </c>
      <c r="C899" s="1" t="n">
        <v>45633</v>
      </c>
      <c r="D899" t="inlineStr">
        <is>
          <t>VÄSTERBOTTENS LÄN</t>
        </is>
      </c>
      <c r="E899" t="inlineStr">
        <is>
          <t>SKELLEFTEÅ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31186-2021</t>
        </is>
      </c>
      <c r="B900" s="1" t="n">
        <v>44368</v>
      </c>
      <c r="C900" s="1" t="n">
        <v>45633</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31181-2021</t>
        </is>
      </c>
      <c r="B901" s="1" t="n">
        <v>44368</v>
      </c>
      <c r="C901" s="1" t="n">
        <v>45633</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31197-2021</t>
        </is>
      </c>
      <c r="B902" s="1" t="n">
        <v>44368</v>
      </c>
      <c r="C902" s="1" t="n">
        <v>45633</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31251-2021</t>
        </is>
      </c>
      <c r="B903" s="1" t="n">
        <v>44368</v>
      </c>
      <c r="C903" s="1" t="n">
        <v>45633</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31419-2021</t>
        </is>
      </c>
      <c r="B904" s="1" t="n">
        <v>44368</v>
      </c>
      <c r="C904" s="1" t="n">
        <v>45633</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31395-2021</t>
        </is>
      </c>
      <c r="B905" s="1" t="n">
        <v>44369</v>
      </c>
      <c r="C905" s="1" t="n">
        <v>45633</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31766-2021</t>
        </is>
      </c>
      <c r="B906" s="1" t="n">
        <v>44369</v>
      </c>
      <c r="C906" s="1" t="n">
        <v>45633</v>
      </c>
      <c r="D906" t="inlineStr">
        <is>
          <t>VÄSTERBOTTENS LÄN</t>
        </is>
      </c>
      <c r="E906" t="inlineStr">
        <is>
          <t>SKELLEFTEÅ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32114-2021</t>
        </is>
      </c>
      <c r="B907" s="1" t="n">
        <v>44371</v>
      </c>
      <c r="C907" s="1" t="n">
        <v>45633</v>
      </c>
      <c r="D907" t="inlineStr">
        <is>
          <t>VÄSTERBOTTENS LÄN</t>
        </is>
      </c>
      <c r="E907" t="inlineStr">
        <is>
          <t>SKELLEFTEÅ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32439-2021</t>
        </is>
      </c>
      <c r="B908" s="1" t="n">
        <v>44371</v>
      </c>
      <c r="C908" s="1" t="n">
        <v>45633</v>
      </c>
      <c r="D908" t="inlineStr">
        <is>
          <t>VÄSTERBOTTENS LÄN</t>
        </is>
      </c>
      <c r="E908" t="inlineStr">
        <is>
          <t>SKELLEFTEÅ</t>
        </is>
      </c>
      <c r="G908" t="n">
        <v>2.5</v>
      </c>
      <c r="H908" t="n">
        <v>0</v>
      </c>
      <c r="I908" t="n">
        <v>0</v>
      </c>
      <c r="J908" t="n">
        <v>0</v>
      </c>
      <c r="K908" t="n">
        <v>0</v>
      </c>
      <c r="L908" t="n">
        <v>0</v>
      </c>
      <c r="M908" t="n">
        <v>0</v>
      </c>
      <c r="N908" t="n">
        <v>0</v>
      </c>
      <c r="O908" t="n">
        <v>0</v>
      </c>
      <c r="P908" t="n">
        <v>0</v>
      </c>
      <c r="Q908" t="n">
        <v>0</v>
      </c>
      <c r="R908" s="2" t="inlineStr"/>
    </row>
    <row r="909" ht="15" customHeight="1">
      <c r="A909" t="inlineStr">
        <is>
          <t>A 32438-2021</t>
        </is>
      </c>
      <c r="B909" s="1" t="n">
        <v>44371</v>
      </c>
      <c r="C909" s="1" t="n">
        <v>45633</v>
      </c>
      <c r="D909" t="inlineStr">
        <is>
          <t>VÄSTERBOTTENS LÄN</t>
        </is>
      </c>
      <c r="E909" t="inlineStr">
        <is>
          <t>SKELLEFTEÅ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32616-2021</t>
        </is>
      </c>
      <c r="B910" s="1" t="n">
        <v>44371</v>
      </c>
      <c r="C910" s="1" t="n">
        <v>45633</v>
      </c>
      <c r="D910" t="inlineStr">
        <is>
          <t>VÄSTERBOTTENS LÄN</t>
        </is>
      </c>
      <c r="E910" t="inlineStr">
        <is>
          <t>SKELLEFTEÅ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32585-2021</t>
        </is>
      </c>
      <c r="B911" s="1" t="n">
        <v>44375</v>
      </c>
      <c r="C911" s="1" t="n">
        <v>45633</v>
      </c>
      <c r="D911" t="inlineStr">
        <is>
          <t>VÄSTERBOTTENS LÄN</t>
        </is>
      </c>
      <c r="E911" t="inlineStr">
        <is>
          <t>SKELLEFTEÅ</t>
        </is>
      </c>
      <c r="F911" t="inlineStr">
        <is>
          <t>Holmen skog AB</t>
        </is>
      </c>
      <c r="G911" t="n">
        <v>4.6</v>
      </c>
      <c r="H911" t="n">
        <v>0</v>
      </c>
      <c r="I911" t="n">
        <v>0</v>
      </c>
      <c r="J911" t="n">
        <v>0</v>
      </c>
      <c r="K911" t="n">
        <v>0</v>
      </c>
      <c r="L911" t="n">
        <v>0</v>
      </c>
      <c r="M911" t="n">
        <v>0</v>
      </c>
      <c r="N911" t="n">
        <v>0</v>
      </c>
      <c r="O911" t="n">
        <v>0</v>
      </c>
      <c r="P911" t="n">
        <v>0</v>
      </c>
      <c r="Q911" t="n">
        <v>0</v>
      </c>
      <c r="R911" s="2" t="inlineStr"/>
    </row>
    <row r="912" ht="15" customHeight="1">
      <c r="A912" t="inlineStr">
        <is>
          <t>A 32917-2021</t>
        </is>
      </c>
      <c r="B912" s="1" t="n">
        <v>44375</v>
      </c>
      <c r="C912" s="1" t="n">
        <v>45633</v>
      </c>
      <c r="D912" t="inlineStr">
        <is>
          <t>VÄSTERBOTTENS LÄN</t>
        </is>
      </c>
      <c r="E912" t="inlineStr">
        <is>
          <t>SKELLEFTEÅ</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33236-2021</t>
        </is>
      </c>
      <c r="B913" s="1" t="n">
        <v>44376</v>
      </c>
      <c r="C913" s="1" t="n">
        <v>45633</v>
      </c>
      <c r="D913" t="inlineStr">
        <is>
          <t>VÄSTERBOTTENS LÄN</t>
        </is>
      </c>
      <c r="E913" t="inlineStr">
        <is>
          <t>SKELLEFTEÅ</t>
        </is>
      </c>
      <c r="G913" t="n">
        <v>5.4</v>
      </c>
      <c r="H913" t="n">
        <v>0</v>
      </c>
      <c r="I913" t="n">
        <v>0</v>
      </c>
      <c r="J913" t="n">
        <v>0</v>
      </c>
      <c r="K913" t="n">
        <v>0</v>
      </c>
      <c r="L913" t="n">
        <v>0</v>
      </c>
      <c r="M913" t="n">
        <v>0</v>
      </c>
      <c r="N913" t="n">
        <v>0</v>
      </c>
      <c r="O913" t="n">
        <v>0</v>
      </c>
      <c r="P913" t="n">
        <v>0</v>
      </c>
      <c r="Q913" t="n">
        <v>0</v>
      </c>
      <c r="R913" s="2" t="inlineStr"/>
    </row>
    <row r="914" ht="15" customHeight="1">
      <c r="A914" t="inlineStr">
        <is>
          <t>A 33283-2021</t>
        </is>
      </c>
      <c r="B914" s="1" t="n">
        <v>44377</v>
      </c>
      <c r="C914" s="1" t="n">
        <v>45633</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33284-2021</t>
        </is>
      </c>
      <c r="B915" s="1" t="n">
        <v>44377</v>
      </c>
      <c r="C915" s="1" t="n">
        <v>45633</v>
      </c>
      <c r="D915" t="inlineStr">
        <is>
          <t>VÄSTERBOTTENS LÄN</t>
        </is>
      </c>
      <c r="E915" t="inlineStr">
        <is>
          <t>SKELLEFTEÅ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33373-2021</t>
        </is>
      </c>
      <c r="B916" s="1" t="n">
        <v>44377</v>
      </c>
      <c r="C916" s="1" t="n">
        <v>45633</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33473-2021</t>
        </is>
      </c>
      <c r="B917" s="1" t="n">
        <v>44377</v>
      </c>
      <c r="C917" s="1" t="n">
        <v>45633</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33520-2021</t>
        </is>
      </c>
      <c r="B918" s="1" t="n">
        <v>44377</v>
      </c>
      <c r="C918" s="1" t="n">
        <v>45633</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33576-2021</t>
        </is>
      </c>
      <c r="B919" s="1" t="n">
        <v>44378</v>
      </c>
      <c r="C919" s="1" t="n">
        <v>45633</v>
      </c>
      <c r="D919" t="inlineStr">
        <is>
          <t>VÄSTERBOTTENS LÄN</t>
        </is>
      </c>
      <c r="E919" t="inlineStr">
        <is>
          <t>SKELLEFTEÅ</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33519-2021</t>
        </is>
      </c>
      <c r="B920" s="1" t="n">
        <v>44377</v>
      </c>
      <c r="C920" s="1" t="n">
        <v>45633</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33680-2021</t>
        </is>
      </c>
      <c r="B921" s="1" t="n">
        <v>44378</v>
      </c>
      <c r="C921" s="1" t="n">
        <v>45633</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33661-2021</t>
        </is>
      </c>
      <c r="B922" s="1" t="n">
        <v>44378</v>
      </c>
      <c r="C922" s="1" t="n">
        <v>45633</v>
      </c>
      <c r="D922" t="inlineStr">
        <is>
          <t>VÄSTERBOTTENS LÄN</t>
        </is>
      </c>
      <c r="E922" t="inlineStr">
        <is>
          <t>SKELLEFTEÅ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33687-2021</t>
        </is>
      </c>
      <c r="B923" s="1" t="n">
        <v>44378</v>
      </c>
      <c r="C923" s="1" t="n">
        <v>45633</v>
      </c>
      <c r="D923" t="inlineStr">
        <is>
          <t>VÄSTERBOTTENS LÄN</t>
        </is>
      </c>
      <c r="E923" t="inlineStr">
        <is>
          <t>SKELLEFTEÅ</t>
        </is>
      </c>
      <c r="G923" t="n">
        <v>0.1</v>
      </c>
      <c r="H923" t="n">
        <v>0</v>
      </c>
      <c r="I923" t="n">
        <v>0</v>
      </c>
      <c r="J923" t="n">
        <v>0</v>
      </c>
      <c r="K923" t="n">
        <v>0</v>
      </c>
      <c r="L923" t="n">
        <v>0</v>
      </c>
      <c r="M923" t="n">
        <v>0</v>
      </c>
      <c r="N923" t="n">
        <v>0</v>
      </c>
      <c r="O923" t="n">
        <v>0</v>
      </c>
      <c r="P923" t="n">
        <v>0</v>
      </c>
      <c r="Q923" t="n">
        <v>0</v>
      </c>
      <c r="R923" s="2" t="inlineStr"/>
    </row>
    <row r="924" ht="15" customHeight="1">
      <c r="A924" t="inlineStr">
        <is>
          <t>A 33841-2021</t>
        </is>
      </c>
      <c r="B924" s="1" t="n">
        <v>44378</v>
      </c>
      <c r="C924" s="1" t="n">
        <v>45633</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34111-2021</t>
        </is>
      </c>
      <c r="B925" s="1" t="n">
        <v>44379</v>
      </c>
      <c r="C925" s="1" t="n">
        <v>45633</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34633-2021</t>
        </is>
      </c>
      <c r="B926" s="1" t="n">
        <v>44382</v>
      </c>
      <c r="C926" s="1" t="n">
        <v>45633</v>
      </c>
      <c r="D926" t="inlineStr">
        <is>
          <t>VÄSTERBOTTENS LÄN</t>
        </is>
      </c>
      <c r="E926" t="inlineStr">
        <is>
          <t>SKELLEFTEÅ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34773-2021</t>
        </is>
      </c>
      <c r="B927" s="1" t="n">
        <v>44382</v>
      </c>
      <c r="C927" s="1" t="n">
        <v>45633</v>
      </c>
      <c r="D927" t="inlineStr">
        <is>
          <t>VÄSTERBOTTENS LÄN</t>
        </is>
      </c>
      <c r="E927" t="inlineStr">
        <is>
          <t>SKELLEFTEÅ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35049-2021</t>
        </is>
      </c>
      <c r="B928" s="1" t="n">
        <v>44384</v>
      </c>
      <c r="C928" s="1" t="n">
        <v>45633</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35087-2021</t>
        </is>
      </c>
      <c r="B929" s="1" t="n">
        <v>44383</v>
      </c>
      <c r="C929" s="1" t="n">
        <v>45633</v>
      </c>
      <c r="D929" t="inlineStr">
        <is>
          <t>VÄSTERBOTTENS LÄN</t>
        </is>
      </c>
      <c r="E929" t="inlineStr">
        <is>
          <t>SKELLEFTEÅ</t>
        </is>
      </c>
      <c r="G929" t="n">
        <v>7</v>
      </c>
      <c r="H929" t="n">
        <v>0</v>
      </c>
      <c r="I929" t="n">
        <v>0</v>
      </c>
      <c r="J929" t="n">
        <v>0</v>
      </c>
      <c r="K929" t="n">
        <v>0</v>
      </c>
      <c r="L929" t="n">
        <v>0</v>
      </c>
      <c r="M929" t="n">
        <v>0</v>
      </c>
      <c r="N929" t="n">
        <v>0</v>
      </c>
      <c r="O929" t="n">
        <v>0</v>
      </c>
      <c r="P929" t="n">
        <v>0</v>
      </c>
      <c r="Q929" t="n">
        <v>0</v>
      </c>
      <c r="R929" s="2" t="inlineStr"/>
    </row>
    <row r="930" ht="15" customHeight="1">
      <c r="A930" t="inlineStr">
        <is>
          <t>A 35078-2021</t>
        </is>
      </c>
      <c r="B930" s="1" t="n">
        <v>44384</v>
      </c>
      <c r="C930" s="1" t="n">
        <v>45633</v>
      </c>
      <c r="D930" t="inlineStr">
        <is>
          <t>VÄSTERBOTTENS LÄN</t>
        </is>
      </c>
      <c r="E930" t="inlineStr">
        <is>
          <t>SKELLEFTEÅ</t>
        </is>
      </c>
      <c r="G930" t="n">
        <v>3.2</v>
      </c>
      <c r="H930" t="n">
        <v>0</v>
      </c>
      <c r="I930" t="n">
        <v>0</v>
      </c>
      <c r="J930" t="n">
        <v>0</v>
      </c>
      <c r="K930" t="n">
        <v>0</v>
      </c>
      <c r="L930" t="n">
        <v>0</v>
      </c>
      <c r="M930" t="n">
        <v>0</v>
      </c>
      <c r="N930" t="n">
        <v>0</v>
      </c>
      <c r="O930" t="n">
        <v>0</v>
      </c>
      <c r="P930" t="n">
        <v>0</v>
      </c>
      <c r="Q930" t="n">
        <v>0</v>
      </c>
      <c r="R930" s="2" t="inlineStr"/>
    </row>
    <row r="931" ht="15" customHeight="1">
      <c r="A931" t="inlineStr">
        <is>
          <t>A 35442-2021</t>
        </is>
      </c>
      <c r="B931" s="1" t="n">
        <v>44384</v>
      </c>
      <c r="C931" s="1" t="n">
        <v>45633</v>
      </c>
      <c r="D931" t="inlineStr">
        <is>
          <t>VÄSTERBOTTENS LÄN</t>
        </is>
      </c>
      <c r="E931" t="inlineStr">
        <is>
          <t>SKELLEFTEÅ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35435-2021</t>
        </is>
      </c>
      <c r="B932" s="1" t="n">
        <v>44385</v>
      </c>
      <c r="C932" s="1" t="n">
        <v>45633</v>
      </c>
      <c r="D932" t="inlineStr">
        <is>
          <t>VÄSTERBOTTENS LÄN</t>
        </is>
      </c>
      <c r="E932" t="inlineStr">
        <is>
          <t>SKELLEFTEÅ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35578-2021</t>
        </is>
      </c>
      <c r="B933" s="1" t="n">
        <v>44386</v>
      </c>
      <c r="C933" s="1" t="n">
        <v>45633</v>
      </c>
      <c r="D933" t="inlineStr">
        <is>
          <t>VÄSTERBOTTENS LÄN</t>
        </is>
      </c>
      <c r="E933" t="inlineStr">
        <is>
          <t>SKELLEFTEÅ</t>
        </is>
      </c>
      <c r="F933" t="inlineStr">
        <is>
          <t>Sveaskog</t>
        </is>
      </c>
      <c r="G933" t="n">
        <v>15.5</v>
      </c>
      <c r="H933" t="n">
        <v>0</v>
      </c>
      <c r="I933" t="n">
        <v>0</v>
      </c>
      <c r="J933" t="n">
        <v>0</v>
      </c>
      <c r="K933" t="n">
        <v>0</v>
      </c>
      <c r="L933" t="n">
        <v>0</v>
      </c>
      <c r="M933" t="n">
        <v>0</v>
      </c>
      <c r="N933" t="n">
        <v>0</v>
      </c>
      <c r="O933" t="n">
        <v>0</v>
      </c>
      <c r="P933" t="n">
        <v>0</v>
      </c>
      <c r="Q933" t="n">
        <v>0</v>
      </c>
      <c r="R933" s="2" t="inlineStr"/>
    </row>
    <row r="934" ht="15" customHeight="1">
      <c r="A934" t="inlineStr">
        <is>
          <t>A 35650-2021</t>
        </is>
      </c>
      <c r="B934" s="1" t="n">
        <v>44386</v>
      </c>
      <c r="C934" s="1" t="n">
        <v>45633</v>
      </c>
      <c r="D934" t="inlineStr">
        <is>
          <t>VÄSTERBOTTENS LÄN</t>
        </is>
      </c>
      <c r="E934" t="inlineStr">
        <is>
          <t>SKELLEFTEÅ</t>
        </is>
      </c>
      <c r="F934" t="inlineStr">
        <is>
          <t>Holmen skog AB</t>
        </is>
      </c>
      <c r="G934" t="n">
        <v>5.5</v>
      </c>
      <c r="H934" t="n">
        <v>0</v>
      </c>
      <c r="I934" t="n">
        <v>0</v>
      </c>
      <c r="J934" t="n">
        <v>0</v>
      </c>
      <c r="K934" t="n">
        <v>0</v>
      </c>
      <c r="L934" t="n">
        <v>0</v>
      </c>
      <c r="M934" t="n">
        <v>0</v>
      </c>
      <c r="N934" t="n">
        <v>0</v>
      </c>
      <c r="O934" t="n">
        <v>0</v>
      </c>
      <c r="P934" t="n">
        <v>0</v>
      </c>
      <c r="Q934" t="n">
        <v>0</v>
      </c>
      <c r="R934" s="2" t="inlineStr"/>
    </row>
    <row r="935" ht="15" customHeight="1">
      <c r="A935" t="inlineStr">
        <is>
          <t>A 36086-2021</t>
        </is>
      </c>
      <c r="B935" s="1" t="n">
        <v>44386</v>
      </c>
      <c r="C935" s="1" t="n">
        <v>45633</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36564-2021</t>
        </is>
      </c>
      <c r="B936" s="1" t="n">
        <v>44391</v>
      </c>
      <c r="C936" s="1" t="n">
        <v>45633</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36588-2021</t>
        </is>
      </c>
      <c r="B937" s="1" t="n">
        <v>44391</v>
      </c>
      <c r="C937" s="1" t="n">
        <v>45633</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36603-2021</t>
        </is>
      </c>
      <c r="B938" s="1" t="n">
        <v>44391</v>
      </c>
      <c r="C938" s="1" t="n">
        <v>45633</v>
      </c>
      <c r="D938" t="inlineStr">
        <is>
          <t>VÄSTERBOTTENS LÄN</t>
        </is>
      </c>
      <c r="E938" t="inlineStr">
        <is>
          <t>SKELLEFTEÅ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36609-2021</t>
        </is>
      </c>
      <c r="B939" s="1" t="n">
        <v>44391</v>
      </c>
      <c r="C939" s="1" t="n">
        <v>45633</v>
      </c>
      <c r="D939" t="inlineStr">
        <is>
          <t>VÄSTERBOTTENS LÄN</t>
        </is>
      </c>
      <c r="E939" t="inlineStr">
        <is>
          <t>SKELLEFTEÅ</t>
        </is>
      </c>
      <c r="G939" t="n">
        <v>10.6</v>
      </c>
      <c r="H939" t="n">
        <v>0</v>
      </c>
      <c r="I939" t="n">
        <v>0</v>
      </c>
      <c r="J939" t="n">
        <v>0</v>
      </c>
      <c r="K939" t="n">
        <v>0</v>
      </c>
      <c r="L939" t="n">
        <v>0</v>
      </c>
      <c r="M939" t="n">
        <v>0</v>
      </c>
      <c r="N939" t="n">
        <v>0</v>
      </c>
      <c r="O939" t="n">
        <v>0</v>
      </c>
      <c r="P939" t="n">
        <v>0</v>
      </c>
      <c r="Q939" t="n">
        <v>0</v>
      </c>
      <c r="R939" s="2" t="inlineStr"/>
    </row>
    <row r="940" ht="15" customHeight="1">
      <c r="A940" t="inlineStr">
        <is>
          <t>A 37210-2021</t>
        </is>
      </c>
      <c r="B940" s="1" t="n">
        <v>44396</v>
      </c>
      <c r="C940" s="1" t="n">
        <v>45633</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37211-2021</t>
        </is>
      </c>
      <c r="B941" s="1" t="n">
        <v>44396</v>
      </c>
      <c r="C941" s="1" t="n">
        <v>45633</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37208-2021</t>
        </is>
      </c>
      <c r="B942" s="1" t="n">
        <v>44396</v>
      </c>
      <c r="C942" s="1" t="n">
        <v>45633</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37498-2021</t>
        </is>
      </c>
      <c r="B943" s="1" t="n">
        <v>44399</v>
      </c>
      <c r="C943" s="1" t="n">
        <v>45633</v>
      </c>
      <c r="D943" t="inlineStr">
        <is>
          <t>VÄSTERBOTTENS LÄN</t>
        </is>
      </c>
      <c r="E943" t="inlineStr">
        <is>
          <t>SKELLEFTEÅ</t>
        </is>
      </c>
      <c r="G943" t="n">
        <v>12.8</v>
      </c>
      <c r="H943" t="n">
        <v>0</v>
      </c>
      <c r="I943" t="n">
        <v>0</v>
      </c>
      <c r="J943" t="n">
        <v>0</v>
      </c>
      <c r="K943" t="n">
        <v>0</v>
      </c>
      <c r="L943" t="n">
        <v>0</v>
      </c>
      <c r="M943" t="n">
        <v>0</v>
      </c>
      <c r="N943" t="n">
        <v>0</v>
      </c>
      <c r="O943" t="n">
        <v>0</v>
      </c>
      <c r="P943" t="n">
        <v>0</v>
      </c>
      <c r="Q943" t="n">
        <v>0</v>
      </c>
      <c r="R943" s="2" t="inlineStr"/>
    </row>
    <row r="944" ht="15" customHeight="1">
      <c r="A944" t="inlineStr">
        <is>
          <t>A 37792-2021</t>
        </is>
      </c>
      <c r="B944" s="1" t="n">
        <v>44401</v>
      </c>
      <c r="C944" s="1" t="n">
        <v>45633</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37937-2021</t>
        </is>
      </c>
      <c r="B945" s="1" t="n">
        <v>44403</v>
      </c>
      <c r="C945" s="1" t="n">
        <v>45633</v>
      </c>
      <c r="D945" t="inlineStr">
        <is>
          <t>VÄSTERBOTTENS LÄN</t>
        </is>
      </c>
      <c r="E945" t="inlineStr">
        <is>
          <t>SKELLEFTEÅ</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37938-2021</t>
        </is>
      </c>
      <c r="B946" s="1" t="n">
        <v>44403</v>
      </c>
      <c r="C946" s="1" t="n">
        <v>45633</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38026-2021</t>
        </is>
      </c>
      <c r="B947" s="1" t="n">
        <v>44404</v>
      </c>
      <c r="C947" s="1" t="n">
        <v>45633</v>
      </c>
      <c r="D947" t="inlineStr">
        <is>
          <t>VÄSTERBOTTENS LÄN</t>
        </is>
      </c>
      <c r="E947" t="inlineStr">
        <is>
          <t>SKELLEFTEÅ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38260-2021</t>
        </is>
      </c>
      <c r="B948" s="1" t="n">
        <v>44405</v>
      </c>
      <c r="C948" s="1" t="n">
        <v>45633</v>
      </c>
      <c r="D948" t="inlineStr">
        <is>
          <t>VÄSTERBOTTENS LÄN</t>
        </is>
      </c>
      <c r="E948" t="inlineStr">
        <is>
          <t>SKELLEFTEÅ</t>
        </is>
      </c>
      <c r="G948" t="n">
        <v>8.5</v>
      </c>
      <c r="H948" t="n">
        <v>0</v>
      </c>
      <c r="I948" t="n">
        <v>0</v>
      </c>
      <c r="J948" t="n">
        <v>0</v>
      </c>
      <c r="K948" t="n">
        <v>0</v>
      </c>
      <c r="L948" t="n">
        <v>0</v>
      </c>
      <c r="M948" t="n">
        <v>0</v>
      </c>
      <c r="N948" t="n">
        <v>0</v>
      </c>
      <c r="O948" t="n">
        <v>0</v>
      </c>
      <c r="P948" t="n">
        <v>0</v>
      </c>
      <c r="Q948" t="n">
        <v>0</v>
      </c>
      <c r="R948" s="2" t="inlineStr"/>
    </row>
    <row r="949" ht="15" customHeight="1">
      <c r="A949" t="inlineStr">
        <is>
          <t>A 38504-2021</t>
        </is>
      </c>
      <c r="B949" s="1" t="n">
        <v>44407</v>
      </c>
      <c r="C949" s="1" t="n">
        <v>45633</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38506-2021</t>
        </is>
      </c>
      <c r="B950" s="1" t="n">
        <v>44407</v>
      </c>
      <c r="C950" s="1" t="n">
        <v>45633</v>
      </c>
      <c r="D950" t="inlineStr">
        <is>
          <t>VÄSTERBOTTENS LÄN</t>
        </is>
      </c>
      <c r="E950" t="inlineStr">
        <is>
          <t>SKELLEFTEÅ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38505-2021</t>
        </is>
      </c>
      <c r="B951" s="1" t="n">
        <v>44407</v>
      </c>
      <c r="C951" s="1" t="n">
        <v>45633</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39035-2021</t>
        </is>
      </c>
      <c r="B952" s="1" t="n">
        <v>44411</v>
      </c>
      <c r="C952" s="1" t="n">
        <v>45633</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39623-2021</t>
        </is>
      </c>
      <c r="B953" s="1" t="n">
        <v>44413</v>
      </c>
      <c r="C953" s="1" t="n">
        <v>45633</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39185-2021</t>
        </is>
      </c>
      <c r="B954" s="1" t="n">
        <v>44413</v>
      </c>
      <c r="C954" s="1" t="n">
        <v>45633</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39277-2021</t>
        </is>
      </c>
      <c r="B955" s="1" t="n">
        <v>44413</v>
      </c>
      <c r="C955" s="1" t="n">
        <v>45633</v>
      </c>
      <c r="D955" t="inlineStr">
        <is>
          <t>VÄSTERBOTTENS LÄN</t>
        </is>
      </c>
      <c r="E955" t="inlineStr">
        <is>
          <t>SKELLEFTEÅ</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39192-2021</t>
        </is>
      </c>
      <c r="B956" s="1" t="n">
        <v>44413</v>
      </c>
      <c r="C956" s="1" t="n">
        <v>45633</v>
      </c>
      <c r="D956" t="inlineStr">
        <is>
          <t>VÄSTERBOTTENS LÄN</t>
        </is>
      </c>
      <c r="E956" t="inlineStr">
        <is>
          <t>SKELLEFTEÅ</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39226-2021</t>
        </is>
      </c>
      <c r="B957" s="1" t="n">
        <v>44413</v>
      </c>
      <c r="C957" s="1" t="n">
        <v>45633</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39589-2021</t>
        </is>
      </c>
      <c r="B958" s="1" t="n">
        <v>44413</v>
      </c>
      <c r="C958" s="1" t="n">
        <v>45633</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39590-2021</t>
        </is>
      </c>
      <c r="B959" s="1" t="n">
        <v>44413</v>
      </c>
      <c r="C959" s="1" t="n">
        <v>45633</v>
      </c>
      <c r="D959" t="inlineStr">
        <is>
          <t>VÄSTERBOTTENS LÄN</t>
        </is>
      </c>
      <c r="E959" t="inlineStr">
        <is>
          <t>SKELLEFTEÅ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39553-2021</t>
        </is>
      </c>
      <c r="B960" s="1" t="n">
        <v>44416</v>
      </c>
      <c r="C960" s="1" t="n">
        <v>45633</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39827-2021</t>
        </is>
      </c>
      <c r="B961" s="1" t="n">
        <v>44417</v>
      </c>
      <c r="C961" s="1" t="n">
        <v>45633</v>
      </c>
      <c r="D961" t="inlineStr">
        <is>
          <t>VÄSTERBOTTENS LÄN</t>
        </is>
      </c>
      <c r="E961" t="inlineStr">
        <is>
          <t>SKELLEFTEÅ</t>
        </is>
      </c>
      <c r="G961" t="n">
        <v>3.8</v>
      </c>
      <c r="H961" t="n">
        <v>0</v>
      </c>
      <c r="I961" t="n">
        <v>0</v>
      </c>
      <c r="J961" t="n">
        <v>0</v>
      </c>
      <c r="K961" t="n">
        <v>0</v>
      </c>
      <c r="L961" t="n">
        <v>0</v>
      </c>
      <c r="M961" t="n">
        <v>0</v>
      </c>
      <c r="N961" t="n">
        <v>0</v>
      </c>
      <c r="O961" t="n">
        <v>0</v>
      </c>
      <c r="P961" t="n">
        <v>0</v>
      </c>
      <c r="Q961" t="n">
        <v>0</v>
      </c>
      <c r="R961" s="2" t="inlineStr"/>
    </row>
    <row r="962" ht="15" customHeight="1">
      <c r="A962" t="inlineStr">
        <is>
          <t>A 40683-2021</t>
        </is>
      </c>
      <c r="B962" s="1" t="n">
        <v>44420</v>
      </c>
      <c r="C962" s="1" t="n">
        <v>45633</v>
      </c>
      <c r="D962" t="inlineStr">
        <is>
          <t>VÄSTERBOTTENS LÄN</t>
        </is>
      </c>
      <c r="E962" t="inlineStr">
        <is>
          <t>SKELLEFTEÅ</t>
        </is>
      </c>
      <c r="G962" t="n">
        <v>37</v>
      </c>
      <c r="H962" t="n">
        <v>0</v>
      </c>
      <c r="I962" t="n">
        <v>0</v>
      </c>
      <c r="J962" t="n">
        <v>0</v>
      </c>
      <c r="K962" t="n">
        <v>0</v>
      </c>
      <c r="L962" t="n">
        <v>0</v>
      </c>
      <c r="M962" t="n">
        <v>0</v>
      </c>
      <c r="N962" t="n">
        <v>0</v>
      </c>
      <c r="O962" t="n">
        <v>0</v>
      </c>
      <c r="P962" t="n">
        <v>0</v>
      </c>
      <c r="Q962" t="n">
        <v>0</v>
      </c>
      <c r="R962" s="2" t="inlineStr"/>
    </row>
    <row r="963" ht="15" customHeight="1">
      <c r="A963" t="inlineStr">
        <is>
          <t>A 40828-2021</t>
        </is>
      </c>
      <c r="B963" s="1" t="n">
        <v>44421</v>
      </c>
      <c r="C963" s="1" t="n">
        <v>45633</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40906-2021</t>
        </is>
      </c>
      <c r="B964" s="1" t="n">
        <v>44421</v>
      </c>
      <c r="C964" s="1" t="n">
        <v>45633</v>
      </c>
      <c r="D964" t="inlineStr">
        <is>
          <t>VÄSTERBOTTENS LÄN</t>
        </is>
      </c>
      <c r="E964" t="inlineStr">
        <is>
          <t>SKELLEFTEÅ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40929-2021</t>
        </is>
      </c>
      <c r="B965" s="1" t="n">
        <v>44421</v>
      </c>
      <c r="C965" s="1" t="n">
        <v>45633</v>
      </c>
      <c r="D965" t="inlineStr">
        <is>
          <t>VÄSTERBOTTENS LÄN</t>
        </is>
      </c>
      <c r="E965" t="inlineStr">
        <is>
          <t>SKELLEFTEÅ</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40898-2021</t>
        </is>
      </c>
      <c r="B966" s="1" t="n">
        <v>44421</v>
      </c>
      <c r="C966" s="1" t="n">
        <v>45633</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41464-2021</t>
        </is>
      </c>
      <c r="B967" s="1" t="n">
        <v>44424</v>
      </c>
      <c r="C967" s="1" t="n">
        <v>45633</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41507-2021</t>
        </is>
      </c>
      <c r="B968" s="1" t="n">
        <v>44425</v>
      </c>
      <c r="C968" s="1" t="n">
        <v>45633</v>
      </c>
      <c r="D968" t="inlineStr">
        <is>
          <t>VÄSTERBOTTENS LÄN</t>
        </is>
      </c>
      <c r="E968" t="inlineStr">
        <is>
          <t>SKELLEFTEÅ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42057-2021</t>
        </is>
      </c>
      <c r="B969" s="1" t="n">
        <v>44426</v>
      </c>
      <c r="C969" s="1" t="n">
        <v>45633</v>
      </c>
      <c r="D969" t="inlineStr">
        <is>
          <t>VÄSTERBOTTENS LÄN</t>
        </is>
      </c>
      <c r="E969" t="inlineStr">
        <is>
          <t>SKELLEFTEÅ</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41993-2021</t>
        </is>
      </c>
      <c r="B970" s="1" t="n">
        <v>44426</v>
      </c>
      <c r="C970" s="1" t="n">
        <v>45633</v>
      </c>
      <c r="D970" t="inlineStr">
        <is>
          <t>VÄSTERBOTTENS LÄN</t>
        </is>
      </c>
      <c r="E970" t="inlineStr">
        <is>
          <t>SKELLEFTEÅ</t>
        </is>
      </c>
      <c r="F970" t="inlineStr">
        <is>
          <t>Sveaskog</t>
        </is>
      </c>
      <c r="G970" t="n">
        <v>14.3</v>
      </c>
      <c r="H970" t="n">
        <v>0</v>
      </c>
      <c r="I970" t="n">
        <v>0</v>
      </c>
      <c r="J970" t="n">
        <v>0</v>
      </c>
      <c r="K970" t="n">
        <v>0</v>
      </c>
      <c r="L970" t="n">
        <v>0</v>
      </c>
      <c r="M970" t="n">
        <v>0</v>
      </c>
      <c r="N970" t="n">
        <v>0</v>
      </c>
      <c r="O970" t="n">
        <v>0</v>
      </c>
      <c r="P970" t="n">
        <v>0</v>
      </c>
      <c r="Q970" t="n">
        <v>0</v>
      </c>
      <c r="R970" s="2" t="inlineStr"/>
    </row>
    <row r="971" ht="15" customHeight="1">
      <c r="A971" t="inlineStr">
        <is>
          <t>A 42026-2021</t>
        </is>
      </c>
      <c r="B971" s="1" t="n">
        <v>44426</v>
      </c>
      <c r="C971" s="1" t="n">
        <v>45633</v>
      </c>
      <c r="D971" t="inlineStr">
        <is>
          <t>VÄSTERBOTTENS LÄN</t>
        </is>
      </c>
      <c r="E971" t="inlineStr">
        <is>
          <t>SKELLEFTEÅ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42323-2021</t>
        </is>
      </c>
      <c r="B972" s="1" t="n">
        <v>44426</v>
      </c>
      <c r="C972" s="1" t="n">
        <v>45633</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42367-2021</t>
        </is>
      </c>
      <c r="B973" s="1" t="n">
        <v>44427</v>
      </c>
      <c r="C973" s="1" t="n">
        <v>45633</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42557-2021</t>
        </is>
      </c>
      <c r="B974" s="1" t="n">
        <v>44428</v>
      </c>
      <c r="C974" s="1" t="n">
        <v>45633</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42609-2021</t>
        </is>
      </c>
      <c r="B975" s="1" t="n">
        <v>44428</v>
      </c>
      <c r="C975" s="1" t="n">
        <v>45633</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43228-2021</t>
        </is>
      </c>
      <c r="B976" s="1" t="n">
        <v>44432</v>
      </c>
      <c r="C976" s="1" t="n">
        <v>45633</v>
      </c>
      <c r="D976" t="inlineStr">
        <is>
          <t>VÄSTERBOTTENS LÄN</t>
        </is>
      </c>
      <c r="E976" t="inlineStr">
        <is>
          <t>SKELLEFTEÅ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43252-2021</t>
        </is>
      </c>
      <c r="B977" s="1" t="n">
        <v>44432</v>
      </c>
      <c r="C977" s="1" t="n">
        <v>45633</v>
      </c>
      <c r="D977" t="inlineStr">
        <is>
          <t>VÄSTERBOTTENS LÄN</t>
        </is>
      </c>
      <c r="E977" t="inlineStr">
        <is>
          <t>SKELLEFTEÅ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43863-2021</t>
        </is>
      </c>
      <c r="B978" s="1" t="n">
        <v>44433</v>
      </c>
      <c r="C978" s="1" t="n">
        <v>45633</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44090-2021</t>
        </is>
      </c>
      <c r="B979" s="1" t="n">
        <v>44434</v>
      </c>
      <c r="C979" s="1" t="n">
        <v>45633</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44570-2021</t>
        </is>
      </c>
      <c r="B980" s="1" t="n">
        <v>44435</v>
      </c>
      <c r="C980" s="1" t="n">
        <v>45633</v>
      </c>
      <c r="D980" t="inlineStr">
        <is>
          <t>VÄSTERBOTTENS LÄN</t>
        </is>
      </c>
      <c r="E980" t="inlineStr">
        <is>
          <t>SKELLEFTEÅ</t>
        </is>
      </c>
      <c r="F980" t="inlineStr">
        <is>
          <t>Sveaskog</t>
        </is>
      </c>
      <c r="G980" t="n">
        <v>11.4</v>
      </c>
      <c r="H980" t="n">
        <v>0</v>
      </c>
      <c r="I980" t="n">
        <v>0</v>
      </c>
      <c r="J980" t="n">
        <v>0</v>
      </c>
      <c r="K980" t="n">
        <v>0</v>
      </c>
      <c r="L980" t="n">
        <v>0</v>
      </c>
      <c r="M980" t="n">
        <v>0</v>
      </c>
      <c r="N980" t="n">
        <v>0</v>
      </c>
      <c r="O980" t="n">
        <v>0</v>
      </c>
      <c r="P980" t="n">
        <v>0</v>
      </c>
      <c r="Q980" t="n">
        <v>0</v>
      </c>
      <c r="R980" s="2" t="inlineStr"/>
    </row>
    <row r="981" ht="15" customHeight="1">
      <c r="A981" t="inlineStr">
        <is>
          <t>A 45043-2021</t>
        </is>
      </c>
      <c r="B981" s="1" t="n">
        <v>44438</v>
      </c>
      <c r="C981" s="1" t="n">
        <v>45633</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45036-2021</t>
        </is>
      </c>
      <c r="B982" s="1" t="n">
        <v>44438</v>
      </c>
      <c r="C982" s="1" t="n">
        <v>45633</v>
      </c>
      <c r="D982" t="inlineStr">
        <is>
          <t>VÄSTERBOTTENS LÄN</t>
        </is>
      </c>
      <c r="E982" t="inlineStr">
        <is>
          <t>SKELLEFTEÅ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45384-2021</t>
        </is>
      </c>
      <c r="B983" s="1" t="n">
        <v>44440</v>
      </c>
      <c r="C983" s="1" t="n">
        <v>45633</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45406-2021</t>
        </is>
      </c>
      <c r="B984" s="1" t="n">
        <v>44440</v>
      </c>
      <c r="C984" s="1" t="n">
        <v>45633</v>
      </c>
      <c r="D984" t="inlineStr">
        <is>
          <t>VÄSTERBOTTENS LÄN</t>
        </is>
      </c>
      <c r="E984" t="inlineStr">
        <is>
          <t>SKELLEFTEÅ</t>
        </is>
      </c>
      <c r="G984" t="n">
        <v>3.3</v>
      </c>
      <c r="H984" t="n">
        <v>0</v>
      </c>
      <c r="I984" t="n">
        <v>0</v>
      </c>
      <c r="J984" t="n">
        <v>0</v>
      </c>
      <c r="K984" t="n">
        <v>0</v>
      </c>
      <c r="L984" t="n">
        <v>0</v>
      </c>
      <c r="M984" t="n">
        <v>0</v>
      </c>
      <c r="N984" t="n">
        <v>0</v>
      </c>
      <c r="O984" t="n">
        <v>0</v>
      </c>
      <c r="P984" t="n">
        <v>0</v>
      </c>
      <c r="Q984" t="n">
        <v>0</v>
      </c>
      <c r="R984" s="2" t="inlineStr"/>
    </row>
    <row r="985" ht="15" customHeight="1">
      <c r="A985" t="inlineStr">
        <is>
          <t>A 45389-2021</t>
        </is>
      </c>
      <c r="B985" s="1" t="n">
        <v>44440</v>
      </c>
      <c r="C985" s="1" t="n">
        <v>45633</v>
      </c>
      <c r="D985" t="inlineStr">
        <is>
          <t>VÄSTERBOTTENS LÄN</t>
        </is>
      </c>
      <c r="E985" t="inlineStr">
        <is>
          <t>SKELLEFTEÅ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46005-2021</t>
        </is>
      </c>
      <c r="B986" s="1" t="n">
        <v>44441</v>
      </c>
      <c r="C986" s="1" t="n">
        <v>45633</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46006-2021</t>
        </is>
      </c>
      <c r="B987" s="1" t="n">
        <v>44441</v>
      </c>
      <c r="C987" s="1" t="n">
        <v>45633</v>
      </c>
      <c r="D987" t="inlineStr">
        <is>
          <t>VÄSTERBOTTENS LÄN</t>
        </is>
      </c>
      <c r="E987" t="inlineStr">
        <is>
          <t>SKELLEFTEÅ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46178-2021</t>
        </is>
      </c>
      <c r="B988" s="1" t="n">
        <v>44441</v>
      </c>
      <c r="C988" s="1" t="n">
        <v>45633</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46619-2021</t>
        </is>
      </c>
      <c r="B989" s="1" t="n">
        <v>44442</v>
      </c>
      <c r="C989" s="1" t="n">
        <v>45633</v>
      </c>
      <c r="D989" t="inlineStr">
        <is>
          <t>VÄSTERBOTTENS LÄN</t>
        </is>
      </c>
      <c r="E989" t="inlineStr">
        <is>
          <t>SKELLEFTEÅ</t>
        </is>
      </c>
      <c r="G989" t="n">
        <v>0</v>
      </c>
      <c r="H989" t="n">
        <v>0</v>
      </c>
      <c r="I989" t="n">
        <v>0</v>
      </c>
      <c r="J989" t="n">
        <v>0</v>
      </c>
      <c r="K989" t="n">
        <v>0</v>
      </c>
      <c r="L989" t="n">
        <v>0</v>
      </c>
      <c r="M989" t="n">
        <v>0</v>
      </c>
      <c r="N989" t="n">
        <v>0</v>
      </c>
      <c r="O989" t="n">
        <v>0</v>
      </c>
      <c r="P989" t="n">
        <v>0</v>
      </c>
      <c r="Q989" t="n">
        <v>0</v>
      </c>
      <c r="R989" s="2" t="inlineStr"/>
    </row>
    <row r="990" ht="15" customHeight="1">
      <c r="A990" t="inlineStr">
        <is>
          <t>A 46628-2021</t>
        </is>
      </c>
      <c r="B990" s="1" t="n">
        <v>44445</v>
      </c>
      <c r="C990" s="1" t="n">
        <v>45633</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47039-2021</t>
        </is>
      </c>
      <c r="B991" s="1" t="n">
        <v>44446</v>
      </c>
      <c r="C991" s="1" t="n">
        <v>45633</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47610-2021</t>
        </is>
      </c>
      <c r="B992" s="1" t="n">
        <v>44448</v>
      </c>
      <c r="C992" s="1" t="n">
        <v>45633</v>
      </c>
      <c r="D992" t="inlineStr">
        <is>
          <t>VÄSTERBOTTENS LÄN</t>
        </is>
      </c>
      <c r="E992" t="inlineStr">
        <is>
          <t>SKELLEFTEÅ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47974-2021</t>
        </is>
      </c>
      <c r="B993" s="1" t="n">
        <v>44448</v>
      </c>
      <c r="C993" s="1" t="n">
        <v>45633</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48015-2021</t>
        </is>
      </c>
      <c r="B994" s="1" t="n">
        <v>44449</v>
      </c>
      <c r="C994" s="1" t="n">
        <v>45633</v>
      </c>
      <c r="D994" t="inlineStr">
        <is>
          <t>VÄSTERBOTTENS LÄN</t>
        </is>
      </c>
      <c r="E994" t="inlineStr">
        <is>
          <t>SKELLEFTEÅ</t>
        </is>
      </c>
      <c r="G994" t="n">
        <v>7</v>
      </c>
      <c r="H994" t="n">
        <v>0</v>
      </c>
      <c r="I994" t="n">
        <v>0</v>
      </c>
      <c r="J994" t="n">
        <v>0</v>
      </c>
      <c r="K994" t="n">
        <v>0</v>
      </c>
      <c r="L994" t="n">
        <v>0</v>
      </c>
      <c r="M994" t="n">
        <v>0</v>
      </c>
      <c r="N994" t="n">
        <v>0</v>
      </c>
      <c r="O994" t="n">
        <v>0</v>
      </c>
      <c r="P994" t="n">
        <v>0</v>
      </c>
      <c r="Q994" t="n">
        <v>0</v>
      </c>
      <c r="R994" s="2" t="inlineStr"/>
    </row>
    <row r="995" ht="15" customHeight="1">
      <c r="A995" t="inlineStr">
        <is>
          <t>A 48538-2021</t>
        </is>
      </c>
      <c r="B995" s="1" t="n">
        <v>44451</v>
      </c>
      <c r="C995" s="1" t="n">
        <v>45633</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50603-2021</t>
        </is>
      </c>
      <c r="B996" s="1" t="n">
        <v>44459</v>
      </c>
      <c r="C996" s="1" t="n">
        <v>45633</v>
      </c>
      <c r="D996" t="inlineStr">
        <is>
          <t>VÄSTERBOTTENS LÄN</t>
        </is>
      </c>
      <c r="E996" t="inlineStr">
        <is>
          <t>SKELLEFTEÅ</t>
        </is>
      </c>
      <c r="G996" t="n">
        <v>7.2</v>
      </c>
      <c r="H996" t="n">
        <v>0</v>
      </c>
      <c r="I996" t="n">
        <v>0</v>
      </c>
      <c r="J996" t="n">
        <v>0</v>
      </c>
      <c r="K996" t="n">
        <v>0</v>
      </c>
      <c r="L996" t="n">
        <v>0</v>
      </c>
      <c r="M996" t="n">
        <v>0</v>
      </c>
      <c r="N996" t="n">
        <v>0</v>
      </c>
      <c r="O996" t="n">
        <v>0</v>
      </c>
      <c r="P996" t="n">
        <v>0</v>
      </c>
      <c r="Q996" t="n">
        <v>0</v>
      </c>
      <c r="R996" s="2" t="inlineStr"/>
    </row>
    <row r="997" ht="15" customHeight="1">
      <c r="A997" t="inlineStr">
        <is>
          <t>A 50772-2021</t>
        </is>
      </c>
      <c r="B997" s="1" t="n">
        <v>44460</v>
      </c>
      <c r="C997" s="1" t="n">
        <v>45633</v>
      </c>
      <c r="D997" t="inlineStr">
        <is>
          <t>VÄSTERBOTTENS LÄN</t>
        </is>
      </c>
      <c r="E997" t="inlineStr">
        <is>
          <t>SKELLEFTEÅ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51789-2021</t>
        </is>
      </c>
      <c r="B998" s="1" t="n">
        <v>44461</v>
      </c>
      <c r="C998" s="1" t="n">
        <v>45633</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51734-2021</t>
        </is>
      </c>
      <c r="B999" s="1" t="n">
        <v>44461</v>
      </c>
      <c r="C999" s="1" t="n">
        <v>45633</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51476-2021</t>
        </is>
      </c>
      <c r="B1000" s="1" t="n">
        <v>44462</v>
      </c>
      <c r="C1000" s="1" t="n">
        <v>45633</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51587-2021</t>
        </is>
      </c>
      <c r="B1001" s="1" t="n">
        <v>44462</v>
      </c>
      <c r="C1001" s="1" t="n">
        <v>45633</v>
      </c>
      <c r="D1001" t="inlineStr">
        <is>
          <t>VÄSTERBOTTENS LÄN</t>
        </is>
      </c>
      <c r="E1001" t="inlineStr">
        <is>
          <t>SKELLEFTEÅ</t>
        </is>
      </c>
      <c r="F1001" t="inlineStr">
        <is>
          <t>Holmen skog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51544-2021</t>
        </is>
      </c>
      <c r="B1002" s="1" t="n">
        <v>44462</v>
      </c>
      <c r="C1002" s="1" t="n">
        <v>45633</v>
      </c>
      <c r="D1002" t="inlineStr">
        <is>
          <t>VÄSTERBOTTENS LÄN</t>
        </is>
      </c>
      <c r="E1002" t="inlineStr">
        <is>
          <t>SKELLEFTEÅ</t>
        </is>
      </c>
      <c r="F1002" t="inlineStr">
        <is>
          <t>Holmen skog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52069-2021</t>
        </is>
      </c>
      <c r="B1003" s="1" t="n">
        <v>44462</v>
      </c>
      <c r="C1003" s="1" t="n">
        <v>45633</v>
      </c>
      <c r="D1003" t="inlineStr">
        <is>
          <t>VÄSTERBOTTENS LÄN</t>
        </is>
      </c>
      <c r="E1003" t="inlineStr">
        <is>
          <t>SKELLEFTEÅ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52080-2021</t>
        </is>
      </c>
      <c r="B1004" s="1" t="n">
        <v>44463</v>
      </c>
      <c r="C1004" s="1" t="n">
        <v>45633</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52086-2021</t>
        </is>
      </c>
      <c r="B1005" s="1" t="n">
        <v>44463</v>
      </c>
      <c r="C1005" s="1" t="n">
        <v>45633</v>
      </c>
      <c r="D1005" t="inlineStr">
        <is>
          <t>VÄSTERBOTTENS LÄN</t>
        </is>
      </c>
      <c r="E1005" t="inlineStr">
        <is>
          <t>SKELLEFTEÅ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52453-2021</t>
        </is>
      </c>
      <c r="B1006" s="1" t="n">
        <v>44463</v>
      </c>
      <c r="C1006" s="1" t="n">
        <v>45633</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52462-2021</t>
        </is>
      </c>
      <c r="B1007" s="1" t="n">
        <v>44463</v>
      </c>
      <c r="C1007" s="1" t="n">
        <v>45633</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52746-2021</t>
        </is>
      </c>
      <c r="B1008" s="1" t="n">
        <v>44467</v>
      </c>
      <c r="C1008" s="1" t="n">
        <v>45633</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53152-2021</t>
        </is>
      </c>
      <c r="B1009" s="1" t="n">
        <v>44468</v>
      </c>
      <c r="C1009" s="1" t="n">
        <v>45633</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54193-2021</t>
        </is>
      </c>
      <c r="B1010" s="1" t="n">
        <v>44470</v>
      </c>
      <c r="C1010" s="1" t="n">
        <v>45633</v>
      </c>
      <c r="D1010" t="inlineStr">
        <is>
          <t>VÄSTERBOTTENS LÄN</t>
        </is>
      </c>
      <c r="E1010" t="inlineStr">
        <is>
          <t>SKELLEFTEÅ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54280-2021</t>
        </is>
      </c>
      <c r="B1011" s="1" t="n">
        <v>44470</v>
      </c>
      <c r="C1011" s="1" t="n">
        <v>45633</v>
      </c>
      <c r="D1011" t="inlineStr">
        <is>
          <t>VÄSTERBOTTENS LÄN</t>
        </is>
      </c>
      <c r="E1011" t="inlineStr">
        <is>
          <t>SKELLEFTEÅ</t>
        </is>
      </c>
      <c r="F1011" t="inlineStr">
        <is>
          <t>Sveaskog</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54288-2021</t>
        </is>
      </c>
      <c r="B1012" s="1" t="n">
        <v>44471</v>
      </c>
      <c r="C1012" s="1" t="n">
        <v>45633</v>
      </c>
      <c r="D1012" t="inlineStr">
        <is>
          <t>VÄSTERBOTTENS LÄN</t>
        </is>
      </c>
      <c r="E1012" t="inlineStr">
        <is>
          <t>SKELLEFTEÅ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54287-2021</t>
        </is>
      </c>
      <c r="B1013" s="1" t="n">
        <v>44471</v>
      </c>
      <c r="C1013" s="1" t="n">
        <v>45633</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54384-2021</t>
        </is>
      </c>
      <c r="B1014" s="1" t="n">
        <v>44473</v>
      </c>
      <c r="C1014" s="1" t="n">
        <v>45633</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54863-2021</t>
        </is>
      </c>
      <c r="B1015" s="1" t="n">
        <v>44473</v>
      </c>
      <c r="C1015" s="1" t="n">
        <v>45633</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54850-2021</t>
        </is>
      </c>
      <c r="B1016" s="1" t="n">
        <v>44473</v>
      </c>
      <c r="C1016" s="1" t="n">
        <v>45633</v>
      </c>
      <c r="D1016" t="inlineStr">
        <is>
          <t>VÄSTERBOTTENS LÄN</t>
        </is>
      </c>
      <c r="E1016" t="inlineStr">
        <is>
          <t>SKELLEFTEÅ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55067-2021</t>
        </is>
      </c>
      <c r="B1017" s="1" t="n">
        <v>44474</v>
      </c>
      <c r="C1017" s="1" t="n">
        <v>45633</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55032-2021</t>
        </is>
      </c>
      <c r="B1018" s="1" t="n">
        <v>44474</v>
      </c>
      <c r="C1018" s="1" t="n">
        <v>45633</v>
      </c>
      <c r="D1018" t="inlineStr">
        <is>
          <t>VÄSTERBOTTENS LÄN</t>
        </is>
      </c>
      <c r="E1018" t="inlineStr">
        <is>
          <t>SKELLEFTEÅ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55168-2021</t>
        </is>
      </c>
      <c r="B1019" s="1" t="n">
        <v>44475</v>
      </c>
      <c r="C1019" s="1" t="n">
        <v>45633</v>
      </c>
      <c r="D1019" t="inlineStr">
        <is>
          <t>VÄSTERBOTTENS LÄN</t>
        </is>
      </c>
      <c r="E1019" t="inlineStr">
        <is>
          <t>SKELLEFTEÅ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55206-2021</t>
        </is>
      </c>
      <c r="B1020" s="1" t="n">
        <v>44475</v>
      </c>
      <c r="C1020" s="1" t="n">
        <v>45633</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55182-2021</t>
        </is>
      </c>
      <c r="B1021" s="1" t="n">
        <v>44475</v>
      </c>
      <c r="C1021" s="1" t="n">
        <v>45633</v>
      </c>
      <c r="D1021" t="inlineStr">
        <is>
          <t>VÄSTERBOTTENS LÄN</t>
        </is>
      </c>
      <c r="E1021" t="inlineStr">
        <is>
          <t>SKELLEFTEÅ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55471-2021</t>
        </is>
      </c>
      <c r="B1022" s="1" t="n">
        <v>44475</v>
      </c>
      <c r="C1022" s="1" t="n">
        <v>45633</v>
      </c>
      <c r="D1022" t="inlineStr">
        <is>
          <t>VÄSTERBOTTENS LÄN</t>
        </is>
      </c>
      <c r="E1022" t="inlineStr">
        <is>
          <t>SKELLEFTEÅ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55568-2021</t>
        </is>
      </c>
      <c r="B1023" s="1" t="n">
        <v>44475</v>
      </c>
      <c r="C1023" s="1" t="n">
        <v>45633</v>
      </c>
      <c r="D1023" t="inlineStr">
        <is>
          <t>VÄSTERBOTTENS LÄN</t>
        </is>
      </c>
      <c r="E1023" t="inlineStr">
        <is>
          <t>SKELLEFTEÅ</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55814-2021</t>
        </is>
      </c>
      <c r="B1024" s="1" t="n">
        <v>44476</v>
      </c>
      <c r="C1024" s="1" t="n">
        <v>45633</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56084-2021</t>
        </is>
      </c>
      <c r="B1025" s="1" t="n">
        <v>44477</v>
      </c>
      <c r="C1025" s="1" t="n">
        <v>45633</v>
      </c>
      <c r="D1025" t="inlineStr">
        <is>
          <t>VÄSTERBOTTENS LÄN</t>
        </is>
      </c>
      <c r="E1025" t="inlineStr">
        <is>
          <t>SKELLEFTEÅ</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56134-2021</t>
        </is>
      </c>
      <c r="B1026" s="1" t="n">
        <v>44477</v>
      </c>
      <c r="C1026" s="1" t="n">
        <v>45633</v>
      </c>
      <c r="D1026" t="inlineStr">
        <is>
          <t>VÄSTERBOTTENS LÄN</t>
        </is>
      </c>
      <c r="E1026" t="inlineStr">
        <is>
          <t>SKELLEFTEÅ</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56001-2021</t>
        </is>
      </c>
      <c r="B1027" s="1" t="n">
        <v>44477</v>
      </c>
      <c r="C1027" s="1" t="n">
        <v>45633</v>
      </c>
      <c r="D1027" t="inlineStr">
        <is>
          <t>VÄSTERBOTTENS LÄN</t>
        </is>
      </c>
      <c r="E1027" t="inlineStr">
        <is>
          <t>SKELLEFTEÅ</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56536-2021</t>
        </is>
      </c>
      <c r="B1028" s="1" t="n">
        <v>44480</v>
      </c>
      <c r="C1028" s="1" t="n">
        <v>45633</v>
      </c>
      <c r="D1028" t="inlineStr">
        <is>
          <t>VÄSTERBOTTENS LÄN</t>
        </is>
      </c>
      <c r="E1028" t="inlineStr">
        <is>
          <t>SKELLEFTEÅ</t>
        </is>
      </c>
      <c r="F1028" t="inlineStr">
        <is>
          <t>Holmen skog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56540-2021</t>
        </is>
      </c>
      <c r="B1029" s="1" t="n">
        <v>44480</v>
      </c>
      <c r="C1029" s="1" t="n">
        <v>45633</v>
      </c>
      <c r="D1029" t="inlineStr">
        <is>
          <t>VÄSTERBOTTENS LÄN</t>
        </is>
      </c>
      <c r="E1029" t="inlineStr">
        <is>
          <t>SKELLEFTEÅ</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56627-2021</t>
        </is>
      </c>
      <c r="B1030" s="1" t="n">
        <v>44480</v>
      </c>
      <c r="C1030" s="1" t="n">
        <v>45633</v>
      </c>
      <c r="D1030" t="inlineStr">
        <is>
          <t>VÄSTERBOTTENS LÄN</t>
        </is>
      </c>
      <c r="E1030" t="inlineStr">
        <is>
          <t>SKELLEFTEÅ</t>
        </is>
      </c>
      <c r="F1030" t="inlineStr">
        <is>
          <t>Sveaskog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57197-2021</t>
        </is>
      </c>
      <c r="B1031" s="1" t="n">
        <v>44483</v>
      </c>
      <c r="C1031" s="1" t="n">
        <v>45633</v>
      </c>
      <c r="D1031" t="inlineStr">
        <is>
          <t>VÄSTERBOTTENS LÄN</t>
        </is>
      </c>
      <c r="E1031" t="inlineStr">
        <is>
          <t>SKELLEFTEÅ</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57370-2021</t>
        </is>
      </c>
      <c r="B1032" s="1" t="n">
        <v>44483</v>
      </c>
      <c r="C1032" s="1" t="n">
        <v>45633</v>
      </c>
      <c r="D1032" t="inlineStr">
        <is>
          <t>VÄSTERBOTTENS LÄN</t>
        </is>
      </c>
      <c r="E1032" t="inlineStr">
        <is>
          <t>SKELLEFTEÅ</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57530-2021</t>
        </is>
      </c>
      <c r="B1033" s="1" t="n">
        <v>44483</v>
      </c>
      <c r="C1033" s="1" t="n">
        <v>45633</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57978-2021</t>
        </is>
      </c>
      <c r="B1034" s="1" t="n">
        <v>44484</v>
      </c>
      <c r="C1034" s="1" t="n">
        <v>45633</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57714-2021</t>
        </is>
      </c>
      <c r="B1035" s="1" t="n">
        <v>44484</v>
      </c>
      <c r="C1035" s="1" t="n">
        <v>45633</v>
      </c>
      <c r="D1035" t="inlineStr">
        <is>
          <t>VÄSTERBOTTENS LÄN</t>
        </is>
      </c>
      <c r="E1035" t="inlineStr">
        <is>
          <t>SKELLEFTEÅ</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57966-2021</t>
        </is>
      </c>
      <c r="B1036" s="1" t="n">
        <v>44484</v>
      </c>
      <c r="C1036" s="1" t="n">
        <v>45633</v>
      </c>
      <c r="D1036" t="inlineStr">
        <is>
          <t>VÄSTERBOTTENS LÄN</t>
        </is>
      </c>
      <c r="E1036" t="inlineStr">
        <is>
          <t>SKELLEFTEÅ</t>
        </is>
      </c>
      <c r="F1036" t="inlineStr">
        <is>
          <t>Holmen skog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58303-2021</t>
        </is>
      </c>
      <c r="B1037" s="1" t="n">
        <v>44488</v>
      </c>
      <c r="C1037" s="1" t="n">
        <v>45633</v>
      </c>
      <c r="D1037" t="inlineStr">
        <is>
          <t>VÄSTERBOTTENS LÄN</t>
        </is>
      </c>
      <c r="E1037" t="inlineStr">
        <is>
          <t>SKELLEFTEÅ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58570-2021</t>
        </is>
      </c>
      <c r="B1038" s="1" t="n">
        <v>44489</v>
      </c>
      <c r="C1038" s="1" t="n">
        <v>45633</v>
      </c>
      <c r="D1038" t="inlineStr">
        <is>
          <t>VÄSTERBOTTENS LÄN</t>
        </is>
      </c>
      <c r="E1038" t="inlineStr">
        <is>
          <t>SKELLEFTEÅ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58808-2021</t>
        </is>
      </c>
      <c r="B1039" s="1" t="n">
        <v>44489</v>
      </c>
      <c r="C1039" s="1" t="n">
        <v>45633</v>
      </c>
      <c r="D1039" t="inlineStr">
        <is>
          <t>VÄSTERBOTTENS LÄN</t>
        </is>
      </c>
      <c r="E1039" t="inlineStr">
        <is>
          <t>SKELLEFTEÅ</t>
        </is>
      </c>
      <c r="F1039" t="inlineStr">
        <is>
          <t>Sveaskog</t>
        </is>
      </c>
      <c r="G1039" t="n">
        <v>15.5</v>
      </c>
      <c r="H1039" t="n">
        <v>0</v>
      </c>
      <c r="I1039" t="n">
        <v>0</v>
      </c>
      <c r="J1039" t="n">
        <v>0</v>
      </c>
      <c r="K1039" t="n">
        <v>0</v>
      </c>
      <c r="L1039" t="n">
        <v>0</v>
      </c>
      <c r="M1039" t="n">
        <v>0</v>
      </c>
      <c r="N1039" t="n">
        <v>0</v>
      </c>
      <c r="O1039" t="n">
        <v>0</v>
      </c>
      <c r="P1039" t="n">
        <v>0</v>
      </c>
      <c r="Q1039" t="n">
        <v>0</v>
      </c>
      <c r="R1039" s="2" t="inlineStr"/>
    </row>
    <row r="1040" ht="15" customHeight="1">
      <c r="A1040" t="inlineStr">
        <is>
          <t>A 58844-2021</t>
        </is>
      </c>
      <c r="B1040" s="1" t="n">
        <v>44489</v>
      </c>
      <c r="C1040" s="1" t="n">
        <v>45633</v>
      </c>
      <c r="D1040" t="inlineStr">
        <is>
          <t>VÄSTERBOTTENS LÄN</t>
        </is>
      </c>
      <c r="E1040" t="inlineStr">
        <is>
          <t>SKELLEFTEÅ</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58813-2021</t>
        </is>
      </c>
      <c r="B1041" s="1" t="n">
        <v>44489</v>
      </c>
      <c r="C1041" s="1" t="n">
        <v>45633</v>
      </c>
      <c r="D1041" t="inlineStr">
        <is>
          <t>VÄSTERBOTTENS LÄN</t>
        </is>
      </c>
      <c r="E1041" t="inlineStr">
        <is>
          <t>SKELLEFTEÅ</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58847-2021</t>
        </is>
      </c>
      <c r="B1042" s="1" t="n">
        <v>44489</v>
      </c>
      <c r="C1042" s="1" t="n">
        <v>45633</v>
      </c>
      <c r="D1042" t="inlineStr">
        <is>
          <t>VÄSTERBOTTENS LÄN</t>
        </is>
      </c>
      <c r="E1042" t="inlineStr">
        <is>
          <t>SKELLEFTEÅ</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58872-2021</t>
        </is>
      </c>
      <c r="B1043" s="1" t="n">
        <v>44489</v>
      </c>
      <c r="C1043" s="1" t="n">
        <v>45633</v>
      </c>
      <c r="D1043" t="inlineStr">
        <is>
          <t>VÄSTERBOTTENS LÄN</t>
        </is>
      </c>
      <c r="E1043" t="inlineStr">
        <is>
          <t>SKELLEFTEÅ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58811-2021</t>
        </is>
      </c>
      <c r="B1044" s="1" t="n">
        <v>44489</v>
      </c>
      <c r="C1044" s="1" t="n">
        <v>45633</v>
      </c>
      <c r="D1044" t="inlineStr">
        <is>
          <t>VÄSTERBOTTENS LÄN</t>
        </is>
      </c>
      <c r="E1044" t="inlineStr">
        <is>
          <t>SKELLEFTEÅ</t>
        </is>
      </c>
      <c r="F1044" t="inlineStr">
        <is>
          <t>Holmen skog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59180-2021</t>
        </is>
      </c>
      <c r="B1045" s="1" t="n">
        <v>44489</v>
      </c>
      <c r="C1045" s="1" t="n">
        <v>45633</v>
      </c>
      <c r="D1045" t="inlineStr">
        <is>
          <t>VÄSTERBOTTENS LÄN</t>
        </is>
      </c>
      <c r="E1045" t="inlineStr">
        <is>
          <t>SKELLEFTEÅ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59171-2021</t>
        </is>
      </c>
      <c r="B1046" s="1" t="n">
        <v>44489</v>
      </c>
      <c r="C1046" s="1" t="n">
        <v>45633</v>
      </c>
      <c r="D1046" t="inlineStr">
        <is>
          <t>VÄSTERBOTTENS LÄN</t>
        </is>
      </c>
      <c r="E1046" t="inlineStr">
        <is>
          <t>SKELLEFTEÅ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58892-2021</t>
        </is>
      </c>
      <c r="B1047" s="1" t="n">
        <v>44489</v>
      </c>
      <c r="C1047" s="1" t="n">
        <v>45633</v>
      </c>
      <c r="D1047" t="inlineStr">
        <is>
          <t>VÄSTERBOTTENS LÄN</t>
        </is>
      </c>
      <c r="E1047" t="inlineStr">
        <is>
          <t>SKELLEFTEÅ</t>
        </is>
      </c>
      <c r="F1047" t="inlineStr">
        <is>
          <t>Sveaskog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59457-2021</t>
        </is>
      </c>
      <c r="B1048" s="1" t="n">
        <v>44491</v>
      </c>
      <c r="C1048" s="1" t="n">
        <v>45633</v>
      </c>
      <c r="D1048" t="inlineStr">
        <is>
          <t>VÄSTERBOTTENS LÄN</t>
        </is>
      </c>
      <c r="E1048" t="inlineStr">
        <is>
          <t>SKELLEFTEÅ</t>
        </is>
      </c>
      <c r="F1048" t="inlineStr">
        <is>
          <t>Sveaskog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59372-2021</t>
        </is>
      </c>
      <c r="B1049" s="1" t="n">
        <v>44491</v>
      </c>
      <c r="C1049" s="1" t="n">
        <v>45633</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59851-2021</t>
        </is>
      </c>
      <c r="B1050" s="1" t="n">
        <v>44491</v>
      </c>
      <c r="C1050" s="1" t="n">
        <v>45633</v>
      </c>
      <c r="D1050" t="inlineStr">
        <is>
          <t>VÄSTERBOTTENS LÄN</t>
        </is>
      </c>
      <c r="E1050" t="inlineStr">
        <is>
          <t>SKELLEFTEÅ</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59522-2021</t>
        </is>
      </c>
      <c r="B1051" s="1" t="n">
        <v>44491</v>
      </c>
      <c r="C1051" s="1" t="n">
        <v>45633</v>
      </c>
      <c r="D1051" t="inlineStr">
        <is>
          <t>VÄSTERBOTTENS LÄN</t>
        </is>
      </c>
      <c r="E1051" t="inlineStr">
        <is>
          <t>SKELLEFTEÅ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59659-2021</t>
        </is>
      </c>
      <c r="B1052" s="1" t="n">
        <v>44491</v>
      </c>
      <c r="C1052" s="1" t="n">
        <v>45633</v>
      </c>
      <c r="D1052" t="inlineStr">
        <is>
          <t>VÄSTERBOTTENS LÄN</t>
        </is>
      </c>
      <c r="E1052" t="inlineStr">
        <is>
          <t>SKELLEFTEÅ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59647-2021</t>
        </is>
      </c>
      <c r="B1053" s="1" t="n">
        <v>44493</v>
      </c>
      <c r="C1053" s="1" t="n">
        <v>45633</v>
      </c>
      <c r="D1053" t="inlineStr">
        <is>
          <t>VÄSTERBOTTENS LÄN</t>
        </is>
      </c>
      <c r="E1053" t="inlineStr">
        <is>
          <t>SKELLEFTEÅ</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59711-2021</t>
        </is>
      </c>
      <c r="B1054" s="1" t="n">
        <v>44494</v>
      </c>
      <c r="C1054" s="1" t="n">
        <v>45633</v>
      </c>
      <c r="D1054" t="inlineStr">
        <is>
          <t>VÄSTERBOTTENS LÄN</t>
        </is>
      </c>
      <c r="E1054" t="inlineStr">
        <is>
          <t>SKELLEFTEÅ</t>
        </is>
      </c>
      <c r="F1054" t="inlineStr">
        <is>
          <t>Sveaskog</t>
        </is>
      </c>
      <c r="G1054" t="n">
        <v>33.9</v>
      </c>
      <c r="H1054" t="n">
        <v>0</v>
      </c>
      <c r="I1054" t="n">
        <v>0</v>
      </c>
      <c r="J1054" t="n">
        <v>0</v>
      </c>
      <c r="K1054" t="n">
        <v>0</v>
      </c>
      <c r="L1054" t="n">
        <v>0</v>
      </c>
      <c r="M1054" t="n">
        <v>0</v>
      </c>
      <c r="N1054" t="n">
        <v>0</v>
      </c>
      <c r="O1054" t="n">
        <v>0</v>
      </c>
      <c r="P1054" t="n">
        <v>0</v>
      </c>
      <c r="Q1054" t="n">
        <v>0</v>
      </c>
      <c r="R1054" s="2" t="inlineStr"/>
    </row>
    <row r="1055" ht="15" customHeight="1">
      <c r="A1055" t="inlineStr">
        <is>
          <t>A 59748-2021</t>
        </is>
      </c>
      <c r="B1055" s="1" t="n">
        <v>44494</v>
      </c>
      <c r="C1055" s="1" t="n">
        <v>45633</v>
      </c>
      <c r="D1055" t="inlineStr">
        <is>
          <t>VÄSTERBOTTENS LÄN</t>
        </is>
      </c>
      <c r="E1055" t="inlineStr">
        <is>
          <t>SKELLEFTEÅ</t>
        </is>
      </c>
      <c r="F1055" t="inlineStr">
        <is>
          <t>Sveaskog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59717-2021</t>
        </is>
      </c>
      <c r="B1056" s="1" t="n">
        <v>44494</v>
      </c>
      <c r="C1056" s="1" t="n">
        <v>45633</v>
      </c>
      <c r="D1056" t="inlineStr">
        <is>
          <t>VÄSTERBOTTENS LÄN</t>
        </is>
      </c>
      <c r="E1056" t="inlineStr">
        <is>
          <t>SKELLEFTEÅ</t>
        </is>
      </c>
      <c r="F1056" t="inlineStr">
        <is>
          <t>Sveaskog</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v>
      </c>
      <c r="C1057" s="1" t="n">
        <v>45633</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59859-2021</t>
        </is>
      </c>
      <c r="B1058" s="1" t="n">
        <v>44494</v>
      </c>
      <c r="C1058" s="1" t="n">
        <v>45633</v>
      </c>
      <c r="D1058" t="inlineStr">
        <is>
          <t>VÄSTERBOTTENS LÄN</t>
        </is>
      </c>
      <c r="E1058" t="inlineStr">
        <is>
          <t>SKELLEFTEÅ</t>
        </is>
      </c>
      <c r="F1058" t="inlineStr">
        <is>
          <t>Holmen skog AB</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60066-2021</t>
        </is>
      </c>
      <c r="B1059" s="1" t="n">
        <v>44494</v>
      </c>
      <c r="C1059" s="1" t="n">
        <v>45633</v>
      </c>
      <c r="D1059" t="inlineStr">
        <is>
          <t>VÄSTERBOTTENS LÄN</t>
        </is>
      </c>
      <c r="E1059" t="inlineStr">
        <is>
          <t>SKELLEFTEÅ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60107-2021</t>
        </is>
      </c>
      <c r="B1060" s="1" t="n">
        <v>44495</v>
      </c>
      <c r="C1060" s="1" t="n">
        <v>45633</v>
      </c>
      <c r="D1060" t="inlineStr">
        <is>
          <t>VÄSTERBOTTENS LÄN</t>
        </is>
      </c>
      <c r="E1060" t="inlineStr">
        <is>
          <t>SKELLEFTEÅ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60539-2021</t>
        </is>
      </c>
      <c r="B1061" s="1" t="n">
        <v>44495</v>
      </c>
      <c r="C1061" s="1" t="n">
        <v>45633</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61656-2021</t>
        </is>
      </c>
      <c r="B1062" s="1" t="n">
        <v>44501</v>
      </c>
      <c r="C1062" s="1" t="n">
        <v>45633</v>
      </c>
      <c r="D1062" t="inlineStr">
        <is>
          <t>VÄSTERBOTTENS LÄN</t>
        </is>
      </c>
      <c r="E1062" t="inlineStr">
        <is>
          <t>SKELLEFTEÅ</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61811-2021</t>
        </is>
      </c>
      <c r="B1063" s="1" t="n">
        <v>44501</v>
      </c>
      <c r="C1063" s="1" t="n">
        <v>45633</v>
      </c>
      <c r="D1063" t="inlineStr">
        <is>
          <t>VÄSTERBOTTENS LÄN</t>
        </is>
      </c>
      <c r="E1063" t="inlineStr">
        <is>
          <t>SKELLEFTEÅ</t>
        </is>
      </c>
      <c r="F1063" t="inlineStr">
        <is>
          <t>Sveaskog</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61844-2021</t>
        </is>
      </c>
      <c r="B1064" s="1" t="n">
        <v>44501</v>
      </c>
      <c r="C1064" s="1" t="n">
        <v>45633</v>
      </c>
      <c r="D1064" t="inlineStr">
        <is>
          <t>VÄSTERBOTTENS LÄN</t>
        </is>
      </c>
      <c r="E1064" t="inlineStr">
        <is>
          <t>SKELLEFTEÅ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62227-2021</t>
        </is>
      </c>
      <c r="B1065" s="1" t="n">
        <v>44501</v>
      </c>
      <c r="C1065" s="1" t="n">
        <v>45633</v>
      </c>
      <c r="D1065" t="inlineStr">
        <is>
          <t>VÄSTERBOTTENS LÄN</t>
        </is>
      </c>
      <c r="E1065" t="inlineStr">
        <is>
          <t>SKELLEFTEÅ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62345-2021</t>
        </is>
      </c>
      <c r="B1066" s="1" t="n">
        <v>44503</v>
      </c>
      <c r="C1066" s="1" t="n">
        <v>45633</v>
      </c>
      <c r="D1066" t="inlineStr">
        <is>
          <t>VÄSTERBOTTENS LÄN</t>
        </is>
      </c>
      <c r="E1066" t="inlineStr">
        <is>
          <t>SKELLEFTEÅ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62486-2021</t>
        </is>
      </c>
      <c r="B1067" s="1" t="n">
        <v>44503</v>
      </c>
      <c r="C1067" s="1" t="n">
        <v>45633</v>
      </c>
      <c r="D1067" t="inlineStr">
        <is>
          <t>VÄSTERBOTTENS LÄN</t>
        </is>
      </c>
      <c r="E1067" t="inlineStr">
        <is>
          <t>SKELLEFTEÅ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62651-2021</t>
        </is>
      </c>
      <c r="B1068" s="1" t="n">
        <v>44503</v>
      </c>
      <c r="C1068" s="1" t="n">
        <v>45633</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63145-2021</t>
        </is>
      </c>
      <c r="B1069" s="1" t="n">
        <v>44505</v>
      </c>
      <c r="C1069" s="1" t="n">
        <v>45633</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63171-2021</t>
        </is>
      </c>
      <c r="B1070" s="1" t="n">
        <v>44506</v>
      </c>
      <c r="C1070" s="1" t="n">
        <v>45633</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63502-2021</t>
        </is>
      </c>
      <c r="B1071" s="1" t="n">
        <v>44508</v>
      </c>
      <c r="C1071" s="1" t="n">
        <v>45633</v>
      </c>
      <c r="D1071" t="inlineStr">
        <is>
          <t>VÄSTERBOTTENS LÄN</t>
        </is>
      </c>
      <c r="E1071" t="inlineStr">
        <is>
          <t>SKELLEFTEÅ</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63801-2021</t>
        </is>
      </c>
      <c r="B1072" s="1" t="n">
        <v>44508</v>
      </c>
      <c r="C1072" s="1" t="n">
        <v>45633</v>
      </c>
      <c r="D1072" t="inlineStr">
        <is>
          <t>VÄSTERBOTTENS LÄN</t>
        </is>
      </c>
      <c r="E1072" t="inlineStr">
        <is>
          <t>SKELLEFTEÅ</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63620-2021</t>
        </is>
      </c>
      <c r="B1073" s="1" t="n">
        <v>44509</v>
      </c>
      <c r="C1073" s="1" t="n">
        <v>45633</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64087-2021</t>
        </is>
      </c>
      <c r="B1074" s="1" t="n">
        <v>44509</v>
      </c>
      <c r="C1074" s="1" t="n">
        <v>45633</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64409-2021</t>
        </is>
      </c>
      <c r="B1075" s="1" t="n">
        <v>44510</v>
      </c>
      <c r="C1075" s="1" t="n">
        <v>45633</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64316-2021</t>
        </is>
      </c>
      <c r="B1076" s="1" t="n">
        <v>44510</v>
      </c>
      <c r="C1076" s="1" t="n">
        <v>45633</v>
      </c>
      <c r="D1076" t="inlineStr">
        <is>
          <t>VÄSTERBOTTENS LÄN</t>
        </is>
      </c>
      <c r="E1076" t="inlineStr">
        <is>
          <t>SKELLEFTEÅ</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64391-2021</t>
        </is>
      </c>
      <c r="B1077" s="1" t="n">
        <v>44511</v>
      </c>
      <c r="C1077" s="1" t="n">
        <v>45633</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64399-2021</t>
        </is>
      </c>
      <c r="B1078" s="1" t="n">
        <v>44511</v>
      </c>
      <c r="C1078" s="1" t="n">
        <v>45633</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64593-2021</t>
        </is>
      </c>
      <c r="B1079" s="1" t="n">
        <v>44511</v>
      </c>
      <c r="C1079" s="1" t="n">
        <v>45633</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64580-2021</t>
        </is>
      </c>
      <c r="B1080" s="1" t="n">
        <v>44511</v>
      </c>
      <c r="C1080" s="1" t="n">
        <v>45633</v>
      </c>
      <c r="D1080" t="inlineStr">
        <is>
          <t>VÄSTERBOTTENS LÄN</t>
        </is>
      </c>
      <c r="E1080" t="inlineStr">
        <is>
          <t>SKELLEFTEÅ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64761-2021</t>
        </is>
      </c>
      <c r="B1081" s="1" t="n">
        <v>44511</v>
      </c>
      <c r="C1081" s="1" t="n">
        <v>45633</v>
      </c>
      <c r="D1081" t="inlineStr">
        <is>
          <t>VÄSTERBOTTENS LÄN</t>
        </is>
      </c>
      <c r="E1081" t="inlineStr">
        <is>
          <t>SKELLEFTEÅ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64765-2021</t>
        </is>
      </c>
      <c r="B1082" s="1" t="n">
        <v>44511</v>
      </c>
      <c r="C1082" s="1" t="n">
        <v>45633</v>
      </c>
      <c r="D1082" t="inlineStr">
        <is>
          <t>VÄSTERBOTTENS LÄN</t>
        </is>
      </c>
      <c r="E1082" t="inlineStr">
        <is>
          <t>SKELLEFTEÅ</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65455-2021</t>
        </is>
      </c>
      <c r="B1083" s="1" t="n">
        <v>44516</v>
      </c>
      <c r="C1083" s="1" t="n">
        <v>45633</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66250-2021</t>
        </is>
      </c>
      <c r="B1084" s="1" t="n">
        <v>44518</v>
      </c>
      <c r="C1084" s="1" t="n">
        <v>45633</v>
      </c>
      <c r="D1084" t="inlineStr">
        <is>
          <t>VÄSTERBOTTENS LÄN</t>
        </is>
      </c>
      <c r="E1084" t="inlineStr">
        <is>
          <t>SKELLEFTEÅ</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66463-2021</t>
        </is>
      </c>
      <c r="B1085" s="1" t="n">
        <v>44518</v>
      </c>
      <c r="C1085" s="1" t="n">
        <v>45633</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66465-2021</t>
        </is>
      </c>
      <c r="B1086" s="1" t="n">
        <v>44518</v>
      </c>
      <c r="C1086" s="1" t="n">
        <v>45633</v>
      </c>
      <c r="D1086" t="inlineStr">
        <is>
          <t>VÄSTERBOTTENS LÄN</t>
        </is>
      </c>
      <c r="E1086" t="inlineStr">
        <is>
          <t>SKELLEFTEÅ</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66501-2021</t>
        </is>
      </c>
      <c r="B1087" s="1" t="n">
        <v>44519</v>
      </c>
      <c r="C1087" s="1" t="n">
        <v>45633</v>
      </c>
      <c r="D1087" t="inlineStr">
        <is>
          <t>VÄSTERBOTTENS LÄN</t>
        </is>
      </c>
      <c r="E1087" t="inlineStr">
        <is>
          <t>SKELLEFTEÅ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66500-2021</t>
        </is>
      </c>
      <c r="B1088" s="1" t="n">
        <v>44519</v>
      </c>
      <c r="C1088" s="1" t="n">
        <v>45633</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66499-2021</t>
        </is>
      </c>
      <c r="B1089" s="1" t="n">
        <v>44519</v>
      </c>
      <c r="C1089" s="1" t="n">
        <v>45633</v>
      </c>
      <c r="D1089" t="inlineStr">
        <is>
          <t>VÄSTERBOTTENS LÄN</t>
        </is>
      </c>
      <c r="E1089" t="inlineStr">
        <is>
          <t>SKELLEFTEÅ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66502-2021</t>
        </is>
      </c>
      <c r="B1090" s="1" t="n">
        <v>44519</v>
      </c>
      <c r="C1090" s="1" t="n">
        <v>45633</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66756-2021</t>
        </is>
      </c>
      <c r="B1091" s="1" t="n">
        <v>44521</v>
      </c>
      <c r="C1091" s="1" t="n">
        <v>45633</v>
      </c>
      <c r="D1091" t="inlineStr">
        <is>
          <t>VÄSTERBOTTENS LÄN</t>
        </is>
      </c>
      <c r="E1091" t="inlineStr">
        <is>
          <t>SKELLEFTEÅ</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66949-2021</t>
        </is>
      </c>
      <c r="B1092" s="1" t="n">
        <v>44522</v>
      </c>
      <c r="C1092" s="1" t="n">
        <v>45633</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c r="U1092">
        <f>HYPERLINK("https://klasma.github.io/Logging_2482/knärot/A 66949-2021 karta knärot.png", "A 66949-2021")</f>
        <v/>
      </c>
      <c r="V1092">
        <f>HYPERLINK("https://klasma.github.io/Logging_2482/klagomål/A 66949-2021 FSC-klagomål.docx", "A 66949-2021")</f>
        <v/>
      </c>
      <c r="W1092">
        <f>HYPERLINK("https://klasma.github.io/Logging_2482/klagomålsmail/A 66949-2021 FSC-klagomål mail.docx", "A 66949-2021")</f>
        <v/>
      </c>
      <c r="X1092">
        <f>HYPERLINK("https://klasma.github.io/Logging_2482/tillsyn/A 66949-2021 tillsynsbegäran.docx", "A 66949-2021")</f>
        <v/>
      </c>
      <c r="Y1092">
        <f>HYPERLINK("https://klasma.github.io/Logging_2482/tillsynsmail/A 66949-2021 tillsynsbegäran mail.docx", "A 66949-2021")</f>
        <v/>
      </c>
    </row>
    <row r="1093" ht="15" customHeight="1">
      <c r="A1093" t="inlineStr">
        <is>
          <t>A 67450-2021</t>
        </is>
      </c>
      <c r="B1093" s="1" t="n">
        <v>44524</v>
      </c>
      <c r="C1093" s="1" t="n">
        <v>45633</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67893-2021</t>
        </is>
      </c>
      <c r="B1094" s="1" t="n">
        <v>44525</v>
      </c>
      <c r="C1094" s="1" t="n">
        <v>45633</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68251-2021</t>
        </is>
      </c>
      <c r="B1095" s="1" t="n">
        <v>44525</v>
      </c>
      <c r="C1095" s="1" t="n">
        <v>45633</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68334-2021</t>
        </is>
      </c>
      <c r="B1096" s="1" t="n">
        <v>44527</v>
      </c>
      <c r="C1096" s="1" t="n">
        <v>45633</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69106-2021</t>
        </is>
      </c>
      <c r="B1097" s="1" t="n">
        <v>44530</v>
      </c>
      <c r="C1097" s="1" t="n">
        <v>45633</v>
      </c>
      <c r="D1097" t="inlineStr">
        <is>
          <t>VÄSTERBOTTENS LÄN</t>
        </is>
      </c>
      <c r="E1097" t="inlineStr">
        <is>
          <t>SKELLEFTEÅ</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69262-2021</t>
        </is>
      </c>
      <c r="B1098" s="1" t="n">
        <v>44531</v>
      </c>
      <c r="C1098" s="1" t="n">
        <v>45633</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69315-2021</t>
        </is>
      </c>
      <c r="B1099" s="1" t="n">
        <v>44531</v>
      </c>
      <c r="C1099" s="1" t="n">
        <v>45633</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70168-2021</t>
        </is>
      </c>
      <c r="B1100" s="1" t="n">
        <v>44533</v>
      </c>
      <c r="C1100" s="1" t="n">
        <v>45633</v>
      </c>
      <c r="D1100" t="inlineStr">
        <is>
          <t>VÄSTERBOTTENS LÄN</t>
        </is>
      </c>
      <c r="E1100" t="inlineStr">
        <is>
          <t>SKELLEFTEÅ</t>
        </is>
      </c>
      <c r="F1100" t="inlineStr">
        <is>
          <t>Sveaskog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70176-2021</t>
        </is>
      </c>
      <c r="B1101" s="1" t="n">
        <v>44533</v>
      </c>
      <c r="C1101" s="1" t="n">
        <v>45633</v>
      </c>
      <c r="D1101" t="inlineStr">
        <is>
          <t>VÄSTERBOTTENS LÄN</t>
        </is>
      </c>
      <c r="E1101" t="inlineStr">
        <is>
          <t>SKELLEFTEÅ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70029-2021</t>
        </is>
      </c>
      <c r="B1102" s="1" t="n">
        <v>44533</v>
      </c>
      <c r="C1102" s="1" t="n">
        <v>45633</v>
      </c>
      <c r="D1102" t="inlineStr">
        <is>
          <t>VÄSTERBOTTENS LÄN</t>
        </is>
      </c>
      <c r="E1102" t="inlineStr">
        <is>
          <t>SKELLEFTEÅ</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69992-2021</t>
        </is>
      </c>
      <c r="B1103" s="1" t="n">
        <v>44533</v>
      </c>
      <c r="C1103" s="1" t="n">
        <v>45633</v>
      </c>
      <c r="D1103" t="inlineStr">
        <is>
          <t>VÄSTERBOTTENS LÄN</t>
        </is>
      </c>
      <c r="E1103" t="inlineStr">
        <is>
          <t>SKELLEFTEÅ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69996-2021</t>
        </is>
      </c>
      <c r="B1104" s="1" t="n">
        <v>44533</v>
      </c>
      <c r="C1104" s="1" t="n">
        <v>45633</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69991-2021</t>
        </is>
      </c>
      <c r="B1105" s="1" t="n">
        <v>44533</v>
      </c>
      <c r="C1105" s="1" t="n">
        <v>45633</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69978-2021</t>
        </is>
      </c>
      <c r="B1106" s="1" t="n">
        <v>44533</v>
      </c>
      <c r="C1106" s="1" t="n">
        <v>45633</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70229-2021</t>
        </is>
      </c>
      <c r="B1107" s="1" t="n">
        <v>44533</v>
      </c>
      <c r="C1107" s="1" t="n">
        <v>45633</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70272-2021</t>
        </is>
      </c>
      <c r="B1108" s="1" t="n">
        <v>44536</v>
      </c>
      <c r="C1108" s="1" t="n">
        <v>45633</v>
      </c>
      <c r="D1108" t="inlineStr">
        <is>
          <t>VÄSTERBOTTENS LÄN</t>
        </is>
      </c>
      <c r="E1108" t="inlineStr">
        <is>
          <t>SKELLEFTEÅ</t>
        </is>
      </c>
      <c r="F1108" t="inlineStr">
        <is>
          <t>Kyrkan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70339-2021</t>
        </is>
      </c>
      <c r="B1109" s="1" t="n">
        <v>44536</v>
      </c>
      <c r="C1109" s="1" t="n">
        <v>45633</v>
      </c>
      <c r="D1109" t="inlineStr">
        <is>
          <t>VÄSTERBOTTENS LÄN</t>
        </is>
      </c>
      <c r="E1109" t="inlineStr">
        <is>
          <t>SKELLEFTEÅ</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70508-2021</t>
        </is>
      </c>
      <c r="B1110" s="1" t="n">
        <v>44536</v>
      </c>
      <c r="C1110" s="1" t="n">
        <v>45633</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70703-2021</t>
        </is>
      </c>
      <c r="B1111" s="1" t="n">
        <v>44536</v>
      </c>
      <c r="C1111" s="1" t="n">
        <v>45633</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70718-2021</t>
        </is>
      </c>
      <c r="B1112" s="1" t="n">
        <v>44536</v>
      </c>
      <c r="C1112" s="1" t="n">
        <v>45633</v>
      </c>
      <c r="D1112" t="inlineStr">
        <is>
          <t>VÄSTERBOTTENS LÄN</t>
        </is>
      </c>
      <c r="E1112" t="inlineStr">
        <is>
          <t>SKELLEFTEÅ</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70851-2021</t>
        </is>
      </c>
      <c r="B1113" s="1" t="n">
        <v>44536</v>
      </c>
      <c r="C1113" s="1" t="n">
        <v>45633</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70558-2021</t>
        </is>
      </c>
      <c r="B1114" s="1" t="n">
        <v>44537</v>
      </c>
      <c r="C1114" s="1" t="n">
        <v>45633</v>
      </c>
      <c r="D1114" t="inlineStr">
        <is>
          <t>VÄSTERBOTTENS LÄN</t>
        </is>
      </c>
      <c r="E1114" t="inlineStr">
        <is>
          <t>SKELLEFTEÅ</t>
        </is>
      </c>
      <c r="F1114" t="inlineStr">
        <is>
          <t>Sveaskog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70748-2021</t>
        </is>
      </c>
      <c r="B1115" s="1" t="n">
        <v>44537</v>
      </c>
      <c r="C1115" s="1" t="n">
        <v>45633</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71019-2021</t>
        </is>
      </c>
      <c r="B1116" s="1" t="n">
        <v>44538</v>
      </c>
      <c r="C1116" s="1" t="n">
        <v>45633</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71410-2021</t>
        </is>
      </c>
      <c r="B1117" s="1" t="n">
        <v>44540</v>
      </c>
      <c r="C1117" s="1" t="n">
        <v>45633</v>
      </c>
      <c r="D1117" t="inlineStr">
        <is>
          <t>VÄSTERBOTTENS LÄN</t>
        </is>
      </c>
      <c r="E1117" t="inlineStr">
        <is>
          <t>SKELLEFTEÅ</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71422-2021</t>
        </is>
      </c>
      <c r="B1118" s="1" t="n">
        <v>44540</v>
      </c>
      <c r="C1118" s="1" t="n">
        <v>45633</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71445-2021</t>
        </is>
      </c>
      <c r="B1119" s="1" t="n">
        <v>44540</v>
      </c>
      <c r="C1119" s="1" t="n">
        <v>45633</v>
      </c>
      <c r="D1119" t="inlineStr">
        <is>
          <t>VÄSTERBOTTENS LÄN</t>
        </is>
      </c>
      <c r="E1119" t="inlineStr">
        <is>
          <t>SKELLEFTEÅ</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71464-2021</t>
        </is>
      </c>
      <c r="B1120" s="1" t="n">
        <v>44540</v>
      </c>
      <c r="C1120" s="1" t="n">
        <v>45633</v>
      </c>
      <c r="D1120" t="inlineStr">
        <is>
          <t>VÄSTERBOTTENS LÄN</t>
        </is>
      </c>
      <c r="E1120" t="inlineStr">
        <is>
          <t>SKELLEFTEÅ</t>
        </is>
      </c>
      <c r="F1120" t="inlineStr">
        <is>
          <t>Sveaskog</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71434-2021</t>
        </is>
      </c>
      <c r="B1121" s="1" t="n">
        <v>44540</v>
      </c>
      <c r="C1121" s="1" t="n">
        <v>45633</v>
      </c>
      <c r="D1121" t="inlineStr">
        <is>
          <t>VÄSTERBOTTENS LÄN</t>
        </is>
      </c>
      <c r="E1121" t="inlineStr">
        <is>
          <t>SKELLEFTEÅ</t>
        </is>
      </c>
      <c r="F1121" t="inlineStr">
        <is>
          <t>Sveaskog</t>
        </is>
      </c>
      <c r="G1121" t="n">
        <v>13.2</v>
      </c>
      <c r="H1121" t="n">
        <v>0</v>
      </c>
      <c r="I1121" t="n">
        <v>0</v>
      </c>
      <c r="J1121" t="n">
        <v>0</v>
      </c>
      <c r="K1121" t="n">
        <v>0</v>
      </c>
      <c r="L1121" t="n">
        <v>0</v>
      </c>
      <c r="M1121" t="n">
        <v>0</v>
      </c>
      <c r="N1121" t="n">
        <v>0</v>
      </c>
      <c r="O1121" t="n">
        <v>0</v>
      </c>
      <c r="P1121" t="n">
        <v>0</v>
      </c>
      <c r="Q1121" t="n">
        <v>0</v>
      </c>
      <c r="R1121" s="2" t="inlineStr"/>
    </row>
    <row r="1122" ht="15" customHeight="1">
      <c r="A1122" t="inlineStr">
        <is>
          <t>A 71565-2021</t>
        </is>
      </c>
      <c r="B1122" s="1" t="n">
        <v>44540</v>
      </c>
      <c r="C1122" s="1" t="n">
        <v>45633</v>
      </c>
      <c r="D1122" t="inlineStr">
        <is>
          <t>VÄSTERBOTTENS LÄN</t>
        </is>
      </c>
      <c r="E1122" t="inlineStr">
        <is>
          <t>SKELLEFTEÅ</t>
        </is>
      </c>
      <c r="F1122" t="inlineStr">
        <is>
          <t>Sveaskog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71400-2021</t>
        </is>
      </c>
      <c r="B1123" s="1" t="n">
        <v>44540</v>
      </c>
      <c r="C1123" s="1" t="n">
        <v>45633</v>
      </c>
      <c r="D1123" t="inlineStr">
        <is>
          <t>VÄSTERBOTTENS LÄN</t>
        </is>
      </c>
      <c r="E1123" t="inlineStr">
        <is>
          <t>SKELLEFTEÅ</t>
        </is>
      </c>
      <c r="F1123" t="inlineStr">
        <is>
          <t>Sveaskog</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71460-2021</t>
        </is>
      </c>
      <c r="B1124" s="1" t="n">
        <v>44540</v>
      </c>
      <c r="C1124" s="1" t="n">
        <v>45633</v>
      </c>
      <c r="D1124" t="inlineStr">
        <is>
          <t>VÄSTERBOTTENS LÄN</t>
        </is>
      </c>
      <c r="E1124" t="inlineStr">
        <is>
          <t>SKELLEFTEÅ</t>
        </is>
      </c>
      <c r="F1124" t="inlineStr">
        <is>
          <t>Sveaskog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71459-2021</t>
        </is>
      </c>
      <c r="B1125" s="1" t="n">
        <v>44540</v>
      </c>
      <c r="C1125" s="1" t="n">
        <v>45633</v>
      </c>
      <c r="D1125" t="inlineStr">
        <is>
          <t>VÄSTERBOTTENS LÄN</t>
        </is>
      </c>
      <c r="E1125" t="inlineStr">
        <is>
          <t>SKELLEFTEÅ</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71798-2021</t>
        </is>
      </c>
      <c r="B1126" s="1" t="n">
        <v>44543</v>
      </c>
      <c r="C1126" s="1" t="n">
        <v>45633</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71924-2021</t>
        </is>
      </c>
      <c r="B1127" s="1" t="n">
        <v>44543</v>
      </c>
      <c r="C1127" s="1" t="n">
        <v>45633</v>
      </c>
      <c r="D1127" t="inlineStr">
        <is>
          <t>VÄSTERBOTTENS LÄN</t>
        </is>
      </c>
      <c r="E1127" t="inlineStr">
        <is>
          <t>SKELLEFTEÅ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71943-2021</t>
        </is>
      </c>
      <c r="B1128" s="1" t="n">
        <v>44543</v>
      </c>
      <c r="C1128" s="1" t="n">
        <v>45633</v>
      </c>
      <c r="D1128" t="inlineStr">
        <is>
          <t>VÄSTERBOTTENS LÄN</t>
        </is>
      </c>
      <c r="E1128" t="inlineStr">
        <is>
          <t>SKELLEFTEÅ</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71931-2021</t>
        </is>
      </c>
      <c r="B1129" s="1" t="n">
        <v>44543</v>
      </c>
      <c r="C1129" s="1" t="n">
        <v>45633</v>
      </c>
      <c r="D1129" t="inlineStr">
        <is>
          <t>VÄSTERBOTTENS LÄN</t>
        </is>
      </c>
      <c r="E1129" t="inlineStr">
        <is>
          <t>SKELLEFTEÅ</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72203-2021</t>
        </is>
      </c>
      <c r="B1130" s="1" t="n">
        <v>44543</v>
      </c>
      <c r="C1130" s="1" t="n">
        <v>45633</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71934-2021</t>
        </is>
      </c>
      <c r="B1131" s="1" t="n">
        <v>44543</v>
      </c>
      <c r="C1131" s="1" t="n">
        <v>45633</v>
      </c>
      <c r="D1131" t="inlineStr">
        <is>
          <t>VÄSTERBOTTENS LÄN</t>
        </is>
      </c>
      <c r="E1131" t="inlineStr">
        <is>
          <t>SKELLEFTEÅ</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72033-2021</t>
        </is>
      </c>
      <c r="B1132" s="1" t="n">
        <v>44544</v>
      </c>
      <c r="C1132" s="1" t="n">
        <v>45633</v>
      </c>
      <c r="D1132" t="inlineStr">
        <is>
          <t>VÄSTERBOTTENS LÄN</t>
        </is>
      </c>
      <c r="E1132" t="inlineStr">
        <is>
          <t>SKELLEFTEÅ</t>
        </is>
      </c>
      <c r="F1132" t="inlineStr">
        <is>
          <t>Sveaskog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72183-2021</t>
        </is>
      </c>
      <c r="B1133" s="1" t="n">
        <v>44544</v>
      </c>
      <c r="C1133" s="1" t="n">
        <v>45633</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72692-2021</t>
        </is>
      </c>
      <c r="B1134" s="1" t="n">
        <v>44545</v>
      </c>
      <c r="C1134" s="1" t="n">
        <v>45633</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72545-2021</t>
        </is>
      </c>
      <c r="B1135" s="1" t="n">
        <v>44546</v>
      </c>
      <c r="C1135" s="1" t="n">
        <v>45633</v>
      </c>
      <c r="D1135" t="inlineStr">
        <is>
          <t>VÄSTERBOTTENS LÄN</t>
        </is>
      </c>
      <c r="E1135" t="inlineStr">
        <is>
          <t>SKELLEFTEÅ</t>
        </is>
      </c>
      <c r="F1135" t="inlineStr">
        <is>
          <t>Holmen skog AB</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73159-2021</t>
        </is>
      </c>
      <c r="B1136" s="1" t="n">
        <v>44550</v>
      </c>
      <c r="C1136" s="1" t="n">
        <v>45633</v>
      </c>
      <c r="D1136" t="inlineStr">
        <is>
          <t>VÄSTERBOTTENS LÄN</t>
        </is>
      </c>
      <c r="E1136" t="inlineStr">
        <is>
          <t>SKELLEFTEÅ</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73556-2021</t>
        </is>
      </c>
      <c r="B1137" s="1" t="n">
        <v>44551</v>
      </c>
      <c r="C1137" s="1" t="n">
        <v>45633</v>
      </c>
      <c r="D1137" t="inlineStr">
        <is>
          <t>VÄSTERBOTTENS LÄN</t>
        </is>
      </c>
      <c r="E1137" t="inlineStr">
        <is>
          <t>SKELLEFTEÅ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73614-2021</t>
        </is>
      </c>
      <c r="B1138" s="1" t="n">
        <v>44551</v>
      </c>
      <c r="C1138" s="1" t="n">
        <v>45633</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73684-2021</t>
        </is>
      </c>
      <c r="B1139" s="1" t="n">
        <v>44551</v>
      </c>
      <c r="C1139" s="1" t="n">
        <v>45633</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73833-2021</t>
        </is>
      </c>
      <c r="B1140" s="1" t="n">
        <v>44552</v>
      </c>
      <c r="C1140" s="1" t="n">
        <v>45633</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73956-2021</t>
        </is>
      </c>
      <c r="B1141" s="1" t="n">
        <v>44553</v>
      </c>
      <c r="C1141" s="1" t="n">
        <v>45633</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73957-2021</t>
        </is>
      </c>
      <c r="B1142" s="1" t="n">
        <v>44553</v>
      </c>
      <c r="C1142" s="1" t="n">
        <v>45633</v>
      </c>
      <c r="D1142" t="inlineStr">
        <is>
          <t>VÄSTERBOTTENS LÄN</t>
        </is>
      </c>
      <c r="E1142" t="inlineStr">
        <is>
          <t>SKELLEFTEÅ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73950-2021</t>
        </is>
      </c>
      <c r="B1143" s="1" t="n">
        <v>44553</v>
      </c>
      <c r="C1143" s="1" t="n">
        <v>45633</v>
      </c>
      <c r="D1143" t="inlineStr">
        <is>
          <t>VÄSTERBOTTENS LÄN</t>
        </is>
      </c>
      <c r="E1143" t="inlineStr">
        <is>
          <t>SKELLEFTEÅ</t>
        </is>
      </c>
      <c r="F1143" t="inlineStr">
        <is>
          <t>Sveaskog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73985-2021</t>
        </is>
      </c>
      <c r="B1144" s="1" t="n">
        <v>44555</v>
      </c>
      <c r="C1144" s="1" t="n">
        <v>45633</v>
      </c>
      <c r="D1144" t="inlineStr">
        <is>
          <t>VÄSTERBOTTENS LÄN</t>
        </is>
      </c>
      <c r="E1144" t="inlineStr">
        <is>
          <t>SKELLEFTEÅ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74077-2021</t>
        </is>
      </c>
      <c r="B1145" s="1" t="n">
        <v>44557</v>
      </c>
      <c r="C1145" s="1" t="n">
        <v>45633</v>
      </c>
      <c r="D1145" t="inlineStr">
        <is>
          <t>VÄSTERBOTTENS LÄN</t>
        </is>
      </c>
      <c r="E1145" t="inlineStr">
        <is>
          <t>SKELLEFTEÅ</t>
        </is>
      </c>
      <c r="F1145" t="inlineStr">
        <is>
          <t>Holmen skog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74205-2021</t>
        </is>
      </c>
      <c r="B1146" s="1" t="n">
        <v>44558</v>
      </c>
      <c r="C1146" s="1" t="n">
        <v>45633</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528-2022</t>
        </is>
      </c>
      <c r="B1147" s="1" t="n">
        <v>44566</v>
      </c>
      <c r="C1147" s="1" t="n">
        <v>45633</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808-2022</t>
        </is>
      </c>
      <c r="B1148" s="1" t="n">
        <v>44568</v>
      </c>
      <c r="C1148" s="1" t="n">
        <v>45633</v>
      </c>
      <c r="D1148" t="inlineStr">
        <is>
          <t>VÄSTERBOTTENS LÄN</t>
        </is>
      </c>
      <c r="E1148" t="inlineStr">
        <is>
          <t>SKELLEFTEÅ</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1626-2022</t>
        </is>
      </c>
      <c r="B1149" s="1" t="n">
        <v>44573</v>
      </c>
      <c r="C1149" s="1" t="n">
        <v>45633</v>
      </c>
      <c r="D1149" t="inlineStr">
        <is>
          <t>VÄSTERBOTTENS LÄN</t>
        </is>
      </c>
      <c r="E1149" t="inlineStr">
        <is>
          <t>SKELLEFTEÅ</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1750-2022</t>
        </is>
      </c>
      <c r="B1150" s="1" t="n">
        <v>44574</v>
      </c>
      <c r="C1150" s="1" t="n">
        <v>45633</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1834-2022</t>
        </is>
      </c>
      <c r="B1151" s="1" t="n">
        <v>44574</v>
      </c>
      <c r="C1151" s="1" t="n">
        <v>45633</v>
      </c>
      <c r="D1151" t="inlineStr">
        <is>
          <t>VÄSTERBOTTENS LÄN</t>
        </is>
      </c>
      <c r="E1151" t="inlineStr">
        <is>
          <t>SKELLEFTEÅ</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2486-2022</t>
        </is>
      </c>
      <c r="B1152" s="1" t="n">
        <v>44579</v>
      </c>
      <c r="C1152" s="1" t="n">
        <v>45633</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2607-2022</t>
        </is>
      </c>
      <c r="B1153" s="1" t="n">
        <v>44580</v>
      </c>
      <c r="C1153" s="1" t="n">
        <v>45633</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2813-2022</t>
        </is>
      </c>
      <c r="B1154" s="1" t="n">
        <v>44580</v>
      </c>
      <c r="C1154" s="1" t="n">
        <v>45633</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3006-2022</t>
        </is>
      </c>
      <c r="B1155" s="1" t="n">
        <v>44581</v>
      </c>
      <c r="C1155" s="1" t="n">
        <v>45633</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3009-2022</t>
        </is>
      </c>
      <c r="B1156" s="1" t="n">
        <v>44581</v>
      </c>
      <c r="C1156" s="1" t="n">
        <v>45633</v>
      </c>
      <c r="D1156" t="inlineStr">
        <is>
          <t>VÄSTERBOTTENS LÄN</t>
        </is>
      </c>
      <c r="E1156" t="inlineStr">
        <is>
          <t>SKELLEFTEÅ</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3268-2022</t>
        </is>
      </c>
      <c r="B1157" s="1" t="n">
        <v>44583</v>
      </c>
      <c r="C1157" s="1" t="n">
        <v>45633</v>
      </c>
      <c r="D1157" t="inlineStr">
        <is>
          <t>VÄSTERBOTTENS LÄN</t>
        </is>
      </c>
      <c r="E1157" t="inlineStr">
        <is>
          <t>SKELLEFTEÅ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3265-2022</t>
        </is>
      </c>
      <c r="B1158" s="1" t="n">
        <v>44583</v>
      </c>
      <c r="C1158" s="1" t="n">
        <v>45633</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3266-2022</t>
        </is>
      </c>
      <c r="B1159" s="1" t="n">
        <v>44583</v>
      </c>
      <c r="C1159" s="1" t="n">
        <v>45633</v>
      </c>
      <c r="D1159" t="inlineStr">
        <is>
          <t>VÄSTERBOTTENS LÄN</t>
        </is>
      </c>
      <c r="E1159" t="inlineStr">
        <is>
          <t>SKELLEFTEÅ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3362-2022</t>
        </is>
      </c>
      <c r="B1160" s="1" t="n">
        <v>44585</v>
      </c>
      <c r="C1160" s="1" t="n">
        <v>45633</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3616-2022</t>
        </is>
      </c>
      <c r="B1161" s="1" t="n">
        <v>44586</v>
      </c>
      <c r="C1161" s="1" t="n">
        <v>45633</v>
      </c>
      <c r="D1161" t="inlineStr">
        <is>
          <t>VÄSTERBOTTENS LÄN</t>
        </is>
      </c>
      <c r="E1161" t="inlineStr">
        <is>
          <t>SKELLEFTEÅ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3600-2022</t>
        </is>
      </c>
      <c r="B1162" s="1" t="n">
        <v>44586</v>
      </c>
      <c r="C1162" s="1" t="n">
        <v>45633</v>
      </c>
      <c r="D1162" t="inlineStr">
        <is>
          <t>VÄSTERBOTTENS LÄN</t>
        </is>
      </c>
      <c r="E1162" t="inlineStr">
        <is>
          <t>SKELLEFTEÅ</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3876-2022</t>
        </is>
      </c>
      <c r="B1163" s="1" t="n">
        <v>44587</v>
      </c>
      <c r="C1163" s="1" t="n">
        <v>45633</v>
      </c>
      <c r="D1163" t="inlineStr">
        <is>
          <t>VÄSTERBOTTENS LÄN</t>
        </is>
      </c>
      <c r="E1163" t="inlineStr">
        <is>
          <t>SKELLEFTEÅ</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3924-2022</t>
        </is>
      </c>
      <c r="B1164" s="1" t="n">
        <v>44587</v>
      </c>
      <c r="C1164" s="1" t="n">
        <v>45633</v>
      </c>
      <c r="D1164" t="inlineStr">
        <is>
          <t>VÄSTERBOTTENS LÄN</t>
        </is>
      </c>
      <c r="E1164" t="inlineStr">
        <is>
          <t>SKELLEFTEÅ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3882-2022</t>
        </is>
      </c>
      <c r="B1165" s="1" t="n">
        <v>44587</v>
      </c>
      <c r="C1165" s="1" t="n">
        <v>45633</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3944-2022</t>
        </is>
      </c>
      <c r="B1166" s="1" t="n">
        <v>44587</v>
      </c>
      <c r="C1166" s="1" t="n">
        <v>45633</v>
      </c>
      <c r="D1166" t="inlineStr">
        <is>
          <t>VÄSTERBOTTENS LÄN</t>
        </is>
      </c>
      <c r="E1166" t="inlineStr">
        <is>
          <t>SKELLEFTEÅ</t>
        </is>
      </c>
      <c r="F1166" t="inlineStr">
        <is>
          <t>Kommuner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3987-2022</t>
        </is>
      </c>
      <c r="B1167" s="1" t="n">
        <v>44587</v>
      </c>
      <c r="C1167" s="1" t="n">
        <v>45633</v>
      </c>
      <c r="D1167" t="inlineStr">
        <is>
          <t>VÄSTERBOTTENS LÄN</t>
        </is>
      </c>
      <c r="E1167" t="inlineStr">
        <is>
          <t>SKELLEFTEÅ</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4008-2022</t>
        </is>
      </c>
      <c r="B1168" s="1" t="n">
        <v>44587</v>
      </c>
      <c r="C1168" s="1" t="n">
        <v>45633</v>
      </c>
      <c r="D1168" t="inlineStr">
        <is>
          <t>VÄSTERBOTTENS LÄN</t>
        </is>
      </c>
      <c r="E1168" t="inlineStr">
        <is>
          <t>SKELLEFTEÅ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3963-2022</t>
        </is>
      </c>
      <c r="B1169" s="1" t="n">
        <v>44587</v>
      </c>
      <c r="C1169" s="1" t="n">
        <v>45633</v>
      </c>
      <c r="D1169" t="inlineStr">
        <is>
          <t>VÄSTERBOTTENS LÄN</t>
        </is>
      </c>
      <c r="E1169" t="inlineStr">
        <is>
          <t>SKELLEFTEÅ</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4005-2022</t>
        </is>
      </c>
      <c r="B1170" s="1" t="n">
        <v>44587</v>
      </c>
      <c r="C1170" s="1" t="n">
        <v>45633</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4603-2022</t>
        </is>
      </c>
      <c r="B1171" s="1" t="n">
        <v>44592</v>
      </c>
      <c r="C1171" s="1" t="n">
        <v>45633</v>
      </c>
      <c r="D1171" t="inlineStr">
        <is>
          <t>VÄSTERBOTTENS LÄN</t>
        </is>
      </c>
      <c r="E1171" t="inlineStr">
        <is>
          <t>SKELLEFTEÅ</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4653-2022</t>
        </is>
      </c>
      <c r="B1172" s="1" t="n">
        <v>44592</v>
      </c>
      <c r="C1172" s="1" t="n">
        <v>45633</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4762-2022</t>
        </is>
      </c>
      <c r="B1173" s="1" t="n">
        <v>44592</v>
      </c>
      <c r="C1173" s="1" t="n">
        <v>45633</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4844-2022</t>
        </is>
      </c>
      <c r="B1174" s="1" t="n">
        <v>44592</v>
      </c>
      <c r="C1174" s="1" t="n">
        <v>45633</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4791-2022</t>
        </is>
      </c>
      <c r="B1175" s="1" t="n">
        <v>44592</v>
      </c>
      <c r="C1175" s="1" t="n">
        <v>45633</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5817-2022</t>
        </is>
      </c>
      <c r="B1176" s="1" t="n">
        <v>44596</v>
      </c>
      <c r="C1176" s="1" t="n">
        <v>45633</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5826-2022</t>
        </is>
      </c>
      <c r="B1177" s="1" t="n">
        <v>44596</v>
      </c>
      <c r="C1177" s="1" t="n">
        <v>45633</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5828-2022</t>
        </is>
      </c>
      <c r="B1178" s="1" t="n">
        <v>44596</v>
      </c>
      <c r="C1178" s="1" t="n">
        <v>45633</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5972-2022</t>
        </is>
      </c>
      <c r="B1179" s="1" t="n">
        <v>44599</v>
      </c>
      <c r="C1179" s="1" t="n">
        <v>45633</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6635-2022</t>
        </is>
      </c>
      <c r="B1180" s="1" t="n">
        <v>44601</v>
      </c>
      <c r="C1180" s="1" t="n">
        <v>45633</v>
      </c>
      <c r="D1180" t="inlineStr">
        <is>
          <t>VÄSTERBOTTENS LÄN</t>
        </is>
      </c>
      <c r="E1180" t="inlineStr">
        <is>
          <t>SKELLEFTEÅ</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6666-2022</t>
        </is>
      </c>
      <c r="B1181" s="1" t="n">
        <v>44602</v>
      </c>
      <c r="C1181" s="1" t="n">
        <v>45633</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6837-2022</t>
        </is>
      </c>
      <c r="B1182" s="1" t="n">
        <v>44602</v>
      </c>
      <c r="C1182" s="1" t="n">
        <v>45633</v>
      </c>
      <c r="D1182" t="inlineStr">
        <is>
          <t>VÄSTERBOTTENS LÄN</t>
        </is>
      </c>
      <c r="E1182" t="inlineStr">
        <is>
          <t>SKELLEFTEÅ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6834-2022</t>
        </is>
      </c>
      <c r="B1183" s="1" t="n">
        <v>44602</v>
      </c>
      <c r="C1183" s="1" t="n">
        <v>45633</v>
      </c>
      <c r="D1183" t="inlineStr">
        <is>
          <t>VÄSTERBOTTENS LÄN</t>
        </is>
      </c>
      <c r="E1183" t="inlineStr">
        <is>
          <t>SKELLEFTEÅ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7006-2022</t>
        </is>
      </c>
      <c r="B1184" s="1" t="n">
        <v>44602</v>
      </c>
      <c r="C1184" s="1" t="n">
        <v>45633</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7052-2022</t>
        </is>
      </c>
      <c r="B1185" s="1" t="n">
        <v>44603</v>
      </c>
      <c r="C1185" s="1" t="n">
        <v>45633</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7127-2022</t>
        </is>
      </c>
      <c r="B1186" s="1" t="n">
        <v>44603</v>
      </c>
      <c r="C1186" s="1" t="n">
        <v>45633</v>
      </c>
      <c r="D1186" t="inlineStr">
        <is>
          <t>VÄSTERBOTTENS LÄN</t>
        </is>
      </c>
      <c r="E1186" t="inlineStr">
        <is>
          <t>SKELLEFTEÅ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7462-2022</t>
        </is>
      </c>
      <c r="B1187" s="1" t="n">
        <v>44606</v>
      </c>
      <c r="C1187" s="1" t="n">
        <v>45633</v>
      </c>
      <c r="D1187" t="inlineStr">
        <is>
          <t>VÄSTERBOTTENS LÄN</t>
        </is>
      </c>
      <c r="E1187" t="inlineStr">
        <is>
          <t>SKELLEFTEÅ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7495-2022</t>
        </is>
      </c>
      <c r="B1188" s="1" t="n">
        <v>44607</v>
      </c>
      <c r="C1188" s="1" t="n">
        <v>45633</v>
      </c>
      <c r="D1188" t="inlineStr">
        <is>
          <t>VÄSTERBOTTENS LÄN</t>
        </is>
      </c>
      <c r="E1188" t="inlineStr">
        <is>
          <t>SKELLEFTEÅ</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7518-2022</t>
        </is>
      </c>
      <c r="B1189" s="1" t="n">
        <v>44607</v>
      </c>
      <c r="C1189" s="1" t="n">
        <v>45633</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7579-2022</t>
        </is>
      </c>
      <c r="B1190" s="1" t="n">
        <v>44607</v>
      </c>
      <c r="C1190" s="1" t="n">
        <v>45633</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8023-2022</t>
        </is>
      </c>
      <c r="B1191" s="1" t="n">
        <v>44609</v>
      </c>
      <c r="C1191" s="1" t="n">
        <v>45633</v>
      </c>
      <c r="D1191" t="inlineStr">
        <is>
          <t>VÄSTERBOTTENS LÄN</t>
        </is>
      </c>
      <c r="E1191" t="inlineStr">
        <is>
          <t>SKELLEFTEÅ</t>
        </is>
      </c>
      <c r="F1191" t="inlineStr">
        <is>
          <t>Kyrkan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8203-2022</t>
        </is>
      </c>
      <c r="B1192" s="1" t="n">
        <v>44609</v>
      </c>
      <c r="C1192" s="1" t="n">
        <v>45633</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8456-2022</t>
        </is>
      </c>
      <c r="B1193" s="1" t="n">
        <v>44612</v>
      </c>
      <c r="C1193" s="1" t="n">
        <v>45633</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8436-2022</t>
        </is>
      </c>
      <c r="B1194" s="1" t="n">
        <v>44612</v>
      </c>
      <c r="C1194" s="1" t="n">
        <v>45633</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8600-2022</t>
        </is>
      </c>
      <c r="B1195" s="1" t="n">
        <v>44613</v>
      </c>
      <c r="C1195" s="1" t="n">
        <v>45633</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8603-2022</t>
        </is>
      </c>
      <c r="B1196" s="1" t="n">
        <v>44613</v>
      </c>
      <c r="C1196" s="1" t="n">
        <v>45633</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8598-2022</t>
        </is>
      </c>
      <c r="B1197" s="1" t="n">
        <v>44613</v>
      </c>
      <c r="C1197" s="1" t="n">
        <v>45633</v>
      </c>
      <c r="D1197" t="inlineStr">
        <is>
          <t>VÄSTERBOTTENS LÄN</t>
        </is>
      </c>
      <c r="E1197" t="inlineStr">
        <is>
          <t>SKELLEFTEÅ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8595-2022</t>
        </is>
      </c>
      <c r="B1198" s="1" t="n">
        <v>44613</v>
      </c>
      <c r="C1198" s="1" t="n">
        <v>45633</v>
      </c>
      <c r="D1198" t="inlineStr">
        <is>
          <t>VÄSTERBOTTENS LÄN</t>
        </is>
      </c>
      <c r="E1198" t="inlineStr">
        <is>
          <t>SKELLEFTEÅ</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8539-2022</t>
        </is>
      </c>
      <c r="B1199" s="1" t="n">
        <v>44613</v>
      </c>
      <c r="C1199" s="1" t="n">
        <v>45633</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9053-2022</t>
        </is>
      </c>
      <c r="B1200" s="1" t="n">
        <v>44615</v>
      </c>
      <c r="C1200" s="1" t="n">
        <v>45633</v>
      </c>
      <c r="D1200" t="inlineStr">
        <is>
          <t>VÄSTERBOTTENS LÄN</t>
        </is>
      </c>
      <c r="E1200" t="inlineStr">
        <is>
          <t>SKELLEFTEÅ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9500-2022</t>
        </is>
      </c>
      <c r="B1201" s="1" t="n">
        <v>44616</v>
      </c>
      <c r="C1201" s="1" t="n">
        <v>45633</v>
      </c>
      <c r="D1201" t="inlineStr">
        <is>
          <t>VÄSTERBOTTENS LÄN</t>
        </is>
      </c>
      <c r="E1201" t="inlineStr">
        <is>
          <t>SKELLEFTEÅ</t>
        </is>
      </c>
      <c r="F1201" t="inlineStr">
        <is>
          <t>SCA</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9579-2022</t>
        </is>
      </c>
      <c r="B1202" s="1" t="n">
        <v>44617</v>
      </c>
      <c r="C1202" s="1" t="n">
        <v>45633</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9925-2022</t>
        </is>
      </c>
      <c r="B1203" s="1" t="n">
        <v>44620</v>
      </c>
      <c r="C1203" s="1" t="n">
        <v>45633</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9950-2022</t>
        </is>
      </c>
      <c r="B1204" s="1" t="n">
        <v>44620</v>
      </c>
      <c r="C1204" s="1" t="n">
        <v>45633</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10132-2022</t>
        </is>
      </c>
      <c r="B1205" s="1" t="n">
        <v>44621</v>
      </c>
      <c r="C1205" s="1" t="n">
        <v>45633</v>
      </c>
      <c r="D1205" t="inlineStr">
        <is>
          <t>VÄSTERBOTTENS LÄN</t>
        </is>
      </c>
      <c r="E1205" t="inlineStr">
        <is>
          <t>SKELLEFTEÅ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10578-2022</t>
        </is>
      </c>
      <c r="B1206" s="1" t="n">
        <v>44624</v>
      </c>
      <c r="C1206" s="1" t="n">
        <v>45633</v>
      </c>
      <c r="D1206" t="inlineStr">
        <is>
          <t>VÄSTERBOTTENS LÄN</t>
        </is>
      </c>
      <c r="E1206" t="inlineStr">
        <is>
          <t>SKELLEFTEÅ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10568-2022</t>
        </is>
      </c>
      <c r="B1207" s="1" t="n">
        <v>44624</v>
      </c>
      <c r="C1207" s="1" t="n">
        <v>45633</v>
      </c>
      <c r="D1207" t="inlineStr">
        <is>
          <t>VÄSTERBOTTENS LÄN</t>
        </is>
      </c>
      <c r="E1207" t="inlineStr">
        <is>
          <t>SKELLEFTEÅ</t>
        </is>
      </c>
      <c r="F1207" t="inlineStr">
        <is>
          <t>Holmen skog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10723-2022</t>
        </is>
      </c>
      <c r="B1208" s="1" t="n">
        <v>44624</v>
      </c>
      <c r="C1208" s="1" t="n">
        <v>45633</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45633</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11260-2022</t>
        </is>
      </c>
      <c r="B1210" s="1" t="n">
        <v>44629</v>
      </c>
      <c r="C1210" s="1" t="n">
        <v>45633</v>
      </c>
      <c r="D1210" t="inlineStr">
        <is>
          <t>VÄSTERBOTTENS LÄN</t>
        </is>
      </c>
      <c r="E1210" t="inlineStr">
        <is>
          <t>SKELLEFTEÅ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v>
      </c>
      <c r="C1211" s="1" t="n">
        <v>45633</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11685-2022</t>
        </is>
      </c>
      <c r="B1212" s="1" t="n">
        <v>44634</v>
      </c>
      <c r="C1212" s="1" t="n">
        <v>45633</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11790-2022</t>
        </is>
      </c>
      <c r="B1213" s="1" t="n">
        <v>44634</v>
      </c>
      <c r="C1213" s="1" t="n">
        <v>45633</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11879-2022</t>
        </is>
      </c>
      <c r="B1214" s="1" t="n">
        <v>44635</v>
      </c>
      <c r="C1214" s="1" t="n">
        <v>45633</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12009-2022</t>
        </is>
      </c>
      <c r="B1215" s="1" t="n">
        <v>44635</v>
      </c>
      <c r="C1215" s="1" t="n">
        <v>45633</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12326-2022</t>
        </is>
      </c>
      <c r="B1216" s="1" t="n">
        <v>44637</v>
      </c>
      <c r="C1216" s="1" t="n">
        <v>45633</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12512-2022</t>
        </is>
      </c>
      <c r="B1217" s="1" t="n">
        <v>44638</v>
      </c>
      <c r="C1217" s="1" t="n">
        <v>45633</v>
      </c>
      <c r="D1217" t="inlineStr">
        <is>
          <t>VÄSTERBOTTENS LÄN</t>
        </is>
      </c>
      <c r="E1217" t="inlineStr">
        <is>
          <t>SKELLEFTEÅ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12518-2022</t>
        </is>
      </c>
      <c r="B1218" s="1" t="n">
        <v>44638</v>
      </c>
      <c r="C1218" s="1" t="n">
        <v>45633</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12529-2022</t>
        </is>
      </c>
      <c r="B1219" s="1" t="n">
        <v>44638</v>
      </c>
      <c r="C1219" s="1" t="n">
        <v>45633</v>
      </c>
      <c r="D1219" t="inlineStr">
        <is>
          <t>VÄSTERBOTTENS LÄN</t>
        </is>
      </c>
      <c r="E1219" t="inlineStr">
        <is>
          <t>SKELLEFTEÅ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12516-2022</t>
        </is>
      </c>
      <c r="B1220" s="1" t="n">
        <v>44638</v>
      </c>
      <c r="C1220" s="1" t="n">
        <v>45633</v>
      </c>
      <c r="D1220" t="inlineStr">
        <is>
          <t>VÄSTERBOTTENS LÄN</t>
        </is>
      </c>
      <c r="E1220" t="inlineStr">
        <is>
          <t>SKELLEFTEÅ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12511-2022</t>
        </is>
      </c>
      <c r="B1221" s="1" t="n">
        <v>44638</v>
      </c>
      <c r="C1221" s="1" t="n">
        <v>45633</v>
      </c>
      <c r="D1221" t="inlineStr">
        <is>
          <t>VÄSTERBOTTENS LÄN</t>
        </is>
      </c>
      <c r="E1221" t="inlineStr">
        <is>
          <t>SKELLEFTEÅ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12509-2022</t>
        </is>
      </c>
      <c r="B1222" s="1" t="n">
        <v>44638</v>
      </c>
      <c r="C1222" s="1" t="n">
        <v>45633</v>
      </c>
      <c r="D1222" t="inlineStr">
        <is>
          <t>VÄSTERBOTTENS LÄN</t>
        </is>
      </c>
      <c r="E1222" t="inlineStr">
        <is>
          <t>SKELLEFTEÅ</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12715-2022</t>
        </is>
      </c>
      <c r="B1223" s="1" t="n">
        <v>44641</v>
      </c>
      <c r="C1223" s="1" t="n">
        <v>45633</v>
      </c>
      <c r="D1223" t="inlineStr">
        <is>
          <t>VÄSTERBOTTENS LÄN</t>
        </is>
      </c>
      <c r="E1223" t="inlineStr">
        <is>
          <t>SKELLEFTEÅ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13131-2022</t>
        </is>
      </c>
      <c r="B1224" s="1" t="n">
        <v>44644</v>
      </c>
      <c r="C1224" s="1" t="n">
        <v>45633</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13430-2022</t>
        </is>
      </c>
      <c r="B1225" s="1" t="n">
        <v>44645</v>
      </c>
      <c r="C1225" s="1" t="n">
        <v>45633</v>
      </c>
      <c r="D1225" t="inlineStr">
        <is>
          <t>VÄSTERBOTTENS LÄN</t>
        </is>
      </c>
      <c r="E1225" t="inlineStr">
        <is>
          <t>SKELLEFTEÅ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13391-2022</t>
        </is>
      </c>
      <c r="B1226" s="1" t="n">
        <v>44645</v>
      </c>
      <c r="C1226" s="1" t="n">
        <v>45633</v>
      </c>
      <c r="D1226" t="inlineStr">
        <is>
          <t>VÄSTERBOTTENS LÄN</t>
        </is>
      </c>
      <c r="E1226" t="inlineStr">
        <is>
          <t>SKELLEFTEÅ</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13530-2022</t>
        </is>
      </c>
      <c r="B1227" s="1" t="n">
        <v>44648</v>
      </c>
      <c r="C1227" s="1" t="n">
        <v>45633</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13693-2022</t>
        </is>
      </c>
      <c r="B1228" s="1" t="n">
        <v>44648</v>
      </c>
      <c r="C1228" s="1" t="n">
        <v>45633</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14088-2022</t>
        </is>
      </c>
      <c r="B1229" s="1" t="n">
        <v>44650</v>
      </c>
      <c r="C1229" s="1" t="n">
        <v>45633</v>
      </c>
      <c r="D1229" t="inlineStr">
        <is>
          <t>VÄSTERBOTTENS LÄN</t>
        </is>
      </c>
      <c r="E1229" t="inlineStr">
        <is>
          <t>SKELLEFTEÅ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14096-2022</t>
        </is>
      </c>
      <c r="B1230" s="1" t="n">
        <v>44651</v>
      </c>
      <c r="C1230" s="1" t="n">
        <v>45633</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14627-2022</t>
        </is>
      </c>
      <c r="B1231" s="1" t="n">
        <v>44655</v>
      </c>
      <c r="C1231" s="1" t="n">
        <v>45633</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14759-2022</t>
        </is>
      </c>
      <c r="B1232" s="1" t="n">
        <v>44656</v>
      </c>
      <c r="C1232" s="1" t="n">
        <v>45633</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14756-2022</t>
        </is>
      </c>
      <c r="B1233" s="1" t="n">
        <v>44656</v>
      </c>
      <c r="C1233" s="1" t="n">
        <v>45633</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14952-2022</t>
        </is>
      </c>
      <c r="B1234" s="1" t="n">
        <v>44657</v>
      </c>
      <c r="C1234" s="1" t="n">
        <v>45633</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15441-2022</t>
        </is>
      </c>
      <c r="B1235" s="1" t="n">
        <v>44659</v>
      </c>
      <c r="C1235" s="1" t="n">
        <v>45633</v>
      </c>
      <c r="D1235" t="inlineStr">
        <is>
          <t>VÄSTERBOTTENS LÄN</t>
        </is>
      </c>
      <c r="E1235" t="inlineStr">
        <is>
          <t>SKELLEFTEÅ</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15740-2022</t>
        </is>
      </c>
      <c r="B1236" s="1" t="n">
        <v>44663</v>
      </c>
      <c r="C1236" s="1" t="n">
        <v>45633</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16139-2022</t>
        </is>
      </c>
      <c r="B1237" s="1" t="n">
        <v>44665</v>
      </c>
      <c r="C1237" s="1" t="n">
        <v>45633</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16198-2022</t>
        </is>
      </c>
      <c r="B1238" s="1" t="n">
        <v>44665</v>
      </c>
      <c r="C1238" s="1" t="n">
        <v>45633</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16653-2022</t>
        </is>
      </c>
      <c r="B1239" s="1" t="n">
        <v>44672</v>
      </c>
      <c r="C1239" s="1" t="n">
        <v>45633</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16802-2022</t>
        </is>
      </c>
      <c r="B1240" s="1" t="n">
        <v>44673</v>
      </c>
      <c r="C1240" s="1" t="n">
        <v>45633</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16837-2022</t>
        </is>
      </c>
      <c r="B1241" s="1" t="n">
        <v>44674</v>
      </c>
      <c r="C1241" s="1" t="n">
        <v>45633</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16750-2022</t>
        </is>
      </c>
      <c r="B1242" s="1" t="n">
        <v>44673</v>
      </c>
      <c r="C1242" s="1" t="n">
        <v>45633</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16842-2022</t>
        </is>
      </c>
      <c r="B1243" s="1" t="n">
        <v>44674</v>
      </c>
      <c r="C1243" s="1" t="n">
        <v>45633</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17197-2022</t>
        </is>
      </c>
      <c r="B1244" s="1" t="n">
        <v>44677</v>
      </c>
      <c r="C1244" s="1" t="n">
        <v>45633</v>
      </c>
      <c r="D1244" t="inlineStr">
        <is>
          <t>VÄSTERBOTTENS LÄN</t>
        </is>
      </c>
      <c r="E1244" t="inlineStr">
        <is>
          <t>SKELLEFTEÅ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17257-2022</t>
        </is>
      </c>
      <c r="B1245" s="1" t="n">
        <v>44678</v>
      </c>
      <c r="C1245" s="1" t="n">
        <v>45633</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17251-2022</t>
        </is>
      </c>
      <c r="B1246" s="1" t="n">
        <v>44678</v>
      </c>
      <c r="C1246" s="1" t="n">
        <v>45633</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18056-2022</t>
        </is>
      </c>
      <c r="B1247" s="1" t="n">
        <v>44684</v>
      </c>
      <c r="C1247" s="1" t="n">
        <v>45633</v>
      </c>
      <c r="D1247" t="inlineStr">
        <is>
          <t>VÄSTERBOTTENS LÄN</t>
        </is>
      </c>
      <c r="E1247" t="inlineStr">
        <is>
          <t>SKELLEFTEÅ</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18070-2022</t>
        </is>
      </c>
      <c r="B1248" s="1" t="n">
        <v>44684</v>
      </c>
      <c r="C1248" s="1" t="n">
        <v>45633</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18046-2022</t>
        </is>
      </c>
      <c r="B1249" s="1" t="n">
        <v>44684</v>
      </c>
      <c r="C1249" s="1" t="n">
        <v>45633</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18081-2022</t>
        </is>
      </c>
      <c r="B1250" s="1" t="n">
        <v>44684</v>
      </c>
      <c r="C1250" s="1" t="n">
        <v>45633</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18255-2022</t>
        </is>
      </c>
      <c r="B1251" s="1" t="n">
        <v>44685</v>
      </c>
      <c r="C1251" s="1" t="n">
        <v>45633</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18584-2022</t>
        </is>
      </c>
      <c r="B1252" s="1" t="n">
        <v>44687</v>
      </c>
      <c r="C1252" s="1" t="n">
        <v>45633</v>
      </c>
      <c r="D1252" t="inlineStr">
        <is>
          <t>VÄSTERBOTTENS LÄN</t>
        </is>
      </c>
      <c r="E1252" t="inlineStr">
        <is>
          <t>SKELLEFTEÅ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18661-2022</t>
        </is>
      </c>
      <c r="B1253" s="1" t="n">
        <v>44687</v>
      </c>
      <c r="C1253" s="1" t="n">
        <v>45633</v>
      </c>
      <c r="D1253" t="inlineStr">
        <is>
          <t>VÄSTERBOTTENS LÄN</t>
        </is>
      </c>
      <c r="E1253" t="inlineStr">
        <is>
          <t>SKELLEFTEÅ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19804-2022</t>
        </is>
      </c>
      <c r="B1254" s="1" t="n">
        <v>44694</v>
      </c>
      <c r="C1254" s="1" t="n">
        <v>45633</v>
      </c>
      <c r="D1254" t="inlineStr">
        <is>
          <t>VÄSTERBOTTENS LÄN</t>
        </is>
      </c>
      <c r="E1254" t="inlineStr">
        <is>
          <t>SKELLEFTEÅ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19805-2022</t>
        </is>
      </c>
      <c r="B1255" s="1" t="n">
        <v>44694</v>
      </c>
      <c r="C1255" s="1" t="n">
        <v>45633</v>
      </c>
      <c r="D1255" t="inlineStr">
        <is>
          <t>VÄSTERBOTTENS LÄN</t>
        </is>
      </c>
      <c r="E1255" t="inlineStr">
        <is>
          <t>SKELLEFTEÅ</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19870-2022</t>
        </is>
      </c>
      <c r="B1256" s="1" t="n">
        <v>44694</v>
      </c>
      <c r="C1256" s="1" t="n">
        <v>45633</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20515-2022</t>
        </is>
      </c>
      <c r="B1257" s="1" t="n">
        <v>44699</v>
      </c>
      <c r="C1257" s="1" t="n">
        <v>45633</v>
      </c>
      <c r="D1257" t="inlineStr">
        <is>
          <t>VÄSTERBOTTENS LÄN</t>
        </is>
      </c>
      <c r="E1257" t="inlineStr">
        <is>
          <t>SKELLEFTEÅ</t>
        </is>
      </c>
      <c r="G1257" t="n">
        <v>21.5</v>
      </c>
      <c r="H1257" t="n">
        <v>0</v>
      </c>
      <c r="I1257" t="n">
        <v>0</v>
      </c>
      <c r="J1257" t="n">
        <v>0</v>
      </c>
      <c r="K1257" t="n">
        <v>0</v>
      </c>
      <c r="L1257" t="n">
        <v>0</v>
      </c>
      <c r="M1257" t="n">
        <v>0</v>
      </c>
      <c r="N1257" t="n">
        <v>0</v>
      </c>
      <c r="O1257" t="n">
        <v>0</v>
      </c>
      <c r="P1257" t="n">
        <v>0</v>
      </c>
      <c r="Q1257" t="n">
        <v>0</v>
      </c>
      <c r="R1257" s="2" t="inlineStr"/>
    </row>
    <row r="1258" ht="15" customHeight="1">
      <c r="A1258" t="inlineStr">
        <is>
          <t>A 20638-2022</t>
        </is>
      </c>
      <c r="B1258" s="1" t="n">
        <v>44700</v>
      </c>
      <c r="C1258" s="1" t="n">
        <v>45633</v>
      </c>
      <c r="D1258" t="inlineStr">
        <is>
          <t>VÄSTERBOTTENS LÄN</t>
        </is>
      </c>
      <c r="E1258" t="inlineStr">
        <is>
          <t>SKELLEFTEÅ</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20654-2022</t>
        </is>
      </c>
      <c r="B1259" s="1" t="n">
        <v>44700</v>
      </c>
      <c r="C1259" s="1" t="n">
        <v>45633</v>
      </c>
      <c r="D1259" t="inlineStr">
        <is>
          <t>VÄSTERBOTTENS LÄN</t>
        </is>
      </c>
      <c r="E1259" t="inlineStr">
        <is>
          <t>SKELLEFTEÅ</t>
        </is>
      </c>
      <c r="F1259" t="inlineStr">
        <is>
          <t>Holmen skog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20610-2022</t>
        </is>
      </c>
      <c r="B1260" s="1" t="n">
        <v>44700</v>
      </c>
      <c r="C1260" s="1" t="n">
        <v>45633</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21035-2022</t>
        </is>
      </c>
      <c r="B1261" s="1" t="n">
        <v>44704</v>
      </c>
      <c r="C1261" s="1" t="n">
        <v>45633</v>
      </c>
      <c r="D1261" t="inlineStr">
        <is>
          <t>VÄSTERBOTTENS LÄN</t>
        </is>
      </c>
      <c r="E1261" t="inlineStr">
        <is>
          <t>SKELLEFTEÅ</t>
        </is>
      </c>
      <c r="G1261" t="n">
        <v>26.9</v>
      </c>
      <c r="H1261" t="n">
        <v>0</v>
      </c>
      <c r="I1261" t="n">
        <v>0</v>
      </c>
      <c r="J1261" t="n">
        <v>0</v>
      </c>
      <c r="K1261" t="n">
        <v>0</v>
      </c>
      <c r="L1261" t="n">
        <v>0</v>
      </c>
      <c r="M1261" t="n">
        <v>0</v>
      </c>
      <c r="N1261" t="n">
        <v>0</v>
      </c>
      <c r="O1261" t="n">
        <v>0</v>
      </c>
      <c r="P1261" t="n">
        <v>0</v>
      </c>
      <c r="Q1261" t="n">
        <v>0</v>
      </c>
      <c r="R1261" s="2" t="inlineStr"/>
    </row>
    <row r="1262" ht="15" customHeight="1">
      <c r="A1262" t="inlineStr">
        <is>
          <t>A 21136-2022</t>
        </is>
      </c>
      <c r="B1262" s="1" t="n">
        <v>44704</v>
      </c>
      <c r="C1262" s="1" t="n">
        <v>45633</v>
      </c>
      <c r="D1262" t="inlineStr">
        <is>
          <t>VÄSTERBOTTENS LÄN</t>
        </is>
      </c>
      <c r="E1262" t="inlineStr">
        <is>
          <t>SKELLEFTEÅ</t>
        </is>
      </c>
      <c r="F1262" t="inlineStr">
        <is>
          <t>Holmen skog AB</t>
        </is>
      </c>
      <c r="G1262" t="n">
        <v>22.6</v>
      </c>
      <c r="H1262" t="n">
        <v>0</v>
      </c>
      <c r="I1262" t="n">
        <v>0</v>
      </c>
      <c r="J1262" t="n">
        <v>0</v>
      </c>
      <c r="K1262" t="n">
        <v>0</v>
      </c>
      <c r="L1262" t="n">
        <v>0</v>
      </c>
      <c r="M1262" t="n">
        <v>0</v>
      </c>
      <c r="N1262" t="n">
        <v>0</v>
      </c>
      <c r="O1262" t="n">
        <v>0</v>
      </c>
      <c r="P1262" t="n">
        <v>0</v>
      </c>
      <c r="Q1262" t="n">
        <v>0</v>
      </c>
      <c r="R1262" s="2" t="inlineStr"/>
    </row>
    <row r="1263" ht="15" customHeight="1">
      <c r="A1263" t="inlineStr">
        <is>
          <t>A 21395-2022</t>
        </is>
      </c>
      <c r="B1263" s="1" t="n">
        <v>44706</v>
      </c>
      <c r="C1263" s="1" t="n">
        <v>45633</v>
      </c>
      <c r="D1263" t="inlineStr">
        <is>
          <t>VÄSTERBOTTENS LÄN</t>
        </is>
      </c>
      <c r="E1263" t="inlineStr">
        <is>
          <t>SKELLEFTEÅ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45633</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21843-2022</t>
        </is>
      </c>
      <c r="B1265" s="1" t="n">
        <v>44711</v>
      </c>
      <c r="C1265" s="1" t="n">
        <v>45633</v>
      </c>
      <c r="D1265" t="inlineStr">
        <is>
          <t>VÄSTERBOTTENS LÄN</t>
        </is>
      </c>
      <c r="E1265" t="inlineStr">
        <is>
          <t>SKELLEFTEÅ</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21882-2022</t>
        </is>
      </c>
      <c r="B1266" s="1" t="n">
        <v>44711</v>
      </c>
      <c r="C1266" s="1" t="n">
        <v>45633</v>
      </c>
      <c r="D1266" t="inlineStr">
        <is>
          <t>VÄSTERBOTTENS LÄN</t>
        </is>
      </c>
      <c r="E1266" t="inlineStr">
        <is>
          <t>SKELLEFTEÅ</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21883-2022</t>
        </is>
      </c>
      <c r="B1267" s="1" t="n">
        <v>44711</v>
      </c>
      <c r="C1267" s="1" t="n">
        <v>45633</v>
      </c>
      <c r="D1267" t="inlineStr">
        <is>
          <t>VÄSTERBOTTENS LÄN</t>
        </is>
      </c>
      <c r="E1267" t="inlineStr">
        <is>
          <t>SKELLEFTEÅ</t>
        </is>
      </c>
      <c r="F1267" t="inlineStr">
        <is>
          <t>Holmen skog AB</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21842-2022</t>
        </is>
      </c>
      <c r="B1268" s="1" t="n">
        <v>44711</v>
      </c>
      <c r="C1268" s="1" t="n">
        <v>45633</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21996-2022</t>
        </is>
      </c>
      <c r="B1269" s="1" t="n">
        <v>44711</v>
      </c>
      <c r="C1269" s="1" t="n">
        <v>45633</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22373-2022</t>
        </is>
      </c>
      <c r="B1270" s="1" t="n">
        <v>44713</v>
      </c>
      <c r="C1270" s="1" t="n">
        <v>45633</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22364-2022</t>
        </is>
      </c>
      <c r="B1271" s="1" t="n">
        <v>44713</v>
      </c>
      <c r="C1271" s="1" t="n">
        <v>45633</v>
      </c>
      <c r="D1271" t="inlineStr">
        <is>
          <t>VÄSTERBOTTENS LÄN</t>
        </is>
      </c>
      <c r="E1271" t="inlineStr">
        <is>
          <t>SKELLEFTEÅ</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22661-2022</t>
        </is>
      </c>
      <c r="B1272" s="1" t="n">
        <v>44714</v>
      </c>
      <c r="C1272" s="1" t="n">
        <v>45633</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22618-2022</t>
        </is>
      </c>
      <c r="B1273" s="1" t="n">
        <v>44714</v>
      </c>
      <c r="C1273" s="1" t="n">
        <v>45633</v>
      </c>
      <c r="D1273" t="inlineStr">
        <is>
          <t>VÄSTERBOTTENS LÄN</t>
        </is>
      </c>
      <c r="E1273" t="inlineStr">
        <is>
          <t>SKELLEFTEÅ</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22758-2022</t>
        </is>
      </c>
      <c r="B1274" s="1" t="n">
        <v>44714</v>
      </c>
      <c r="C1274" s="1" t="n">
        <v>45633</v>
      </c>
      <c r="D1274" t="inlineStr">
        <is>
          <t>VÄSTERBOTTENS LÄN</t>
        </is>
      </c>
      <c r="E1274" t="inlineStr">
        <is>
          <t>SKELLEFTEÅ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22760-2022</t>
        </is>
      </c>
      <c r="B1275" s="1" t="n">
        <v>44714</v>
      </c>
      <c r="C1275" s="1" t="n">
        <v>45633</v>
      </c>
      <c r="D1275" t="inlineStr">
        <is>
          <t>VÄSTERBOTTENS LÄN</t>
        </is>
      </c>
      <c r="E1275" t="inlineStr">
        <is>
          <t>SKELLEFTEÅ</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22822-2022</t>
        </is>
      </c>
      <c r="B1276" s="1" t="n">
        <v>44714</v>
      </c>
      <c r="C1276" s="1" t="n">
        <v>45633</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22763-2022</t>
        </is>
      </c>
      <c r="B1277" s="1" t="n">
        <v>44715</v>
      </c>
      <c r="C1277" s="1" t="n">
        <v>45633</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22828-2022</t>
        </is>
      </c>
      <c r="B1278" s="1" t="n">
        <v>44714</v>
      </c>
      <c r="C1278" s="1" t="n">
        <v>45633</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22896-2022</t>
        </is>
      </c>
      <c r="B1279" s="1" t="n">
        <v>44715</v>
      </c>
      <c r="C1279" s="1" t="n">
        <v>45633</v>
      </c>
      <c r="D1279" t="inlineStr">
        <is>
          <t>VÄSTERBOTTENS LÄN</t>
        </is>
      </c>
      <c r="E1279" t="inlineStr">
        <is>
          <t>SKELLEFTEÅ</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23042-2022</t>
        </is>
      </c>
      <c r="B1280" s="1" t="n">
        <v>44719</v>
      </c>
      <c r="C1280" s="1" t="n">
        <v>45633</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23046-2022</t>
        </is>
      </c>
      <c r="B1281" s="1" t="n">
        <v>44719</v>
      </c>
      <c r="C1281" s="1" t="n">
        <v>45633</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23513-2022</t>
        </is>
      </c>
      <c r="B1282" s="1" t="n">
        <v>44721</v>
      </c>
      <c r="C1282" s="1" t="n">
        <v>45633</v>
      </c>
      <c r="D1282" t="inlineStr">
        <is>
          <t>VÄSTERBOTTENS LÄN</t>
        </is>
      </c>
      <c r="E1282" t="inlineStr">
        <is>
          <t>SKELLEFTEÅ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23715-2022</t>
        </is>
      </c>
      <c r="B1283" s="1" t="n">
        <v>44721</v>
      </c>
      <c r="C1283" s="1" t="n">
        <v>45633</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23729-2022</t>
        </is>
      </c>
      <c r="B1284" s="1" t="n">
        <v>44722</v>
      </c>
      <c r="C1284" s="1" t="n">
        <v>45633</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24238-2022</t>
        </is>
      </c>
      <c r="B1285" s="1" t="n">
        <v>44725</v>
      </c>
      <c r="C1285" s="1" t="n">
        <v>45633</v>
      </c>
      <c r="D1285" t="inlineStr">
        <is>
          <t>VÄSTERBOTTENS LÄN</t>
        </is>
      </c>
      <c r="E1285" t="inlineStr">
        <is>
          <t>SKELLEFTEÅ</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24323-2022</t>
        </is>
      </c>
      <c r="B1286" s="1" t="n">
        <v>44725</v>
      </c>
      <c r="C1286" s="1" t="n">
        <v>45633</v>
      </c>
      <c r="D1286" t="inlineStr">
        <is>
          <t>VÄSTERBOTTENS LÄN</t>
        </is>
      </c>
      <c r="E1286" t="inlineStr">
        <is>
          <t>SKELLEFTEÅ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24242-2022</t>
        </is>
      </c>
      <c r="B1287" s="1" t="n">
        <v>44725</v>
      </c>
      <c r="C1287" s="1" t="n">
        <v>45633</v>
      </c>
      <c r="D1287" t="inlineStr">
        <is>
          <t>VÄSTERBOTTENS LÄN</t>
        </is>
      </c>
      <c r="E1287" t="inlineStr">
        <is>
          <t>SKELLEFTEÅ</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24505-2022</t>
        </is>
      </c>
      <c r="B1288" s="1" t="n">
        <v>44727</v>
      </c>
      <c r="C1288" s="1" t="n">
        <v>45633</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24577-2022</t>
        </is>
      </c>
      <c r="B1289" s="1" t="n">
        <v>44727</v>
      </c>
      <c r="C1289" s="1" t="n">
        <v>45633</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24583-2022</t>
        </is>
      </c>
      <c r="B1290" s="1" t="n">
        <v>44727</v>
      </c>
      <c r="C1290" s="1" t="n">
        <v>45633</v>
      </c>
      <c r="D1290" t="inlineStr">
        <is>
          <t>VÄSTERBOTTENS LÄN</t>
        </is>
      </c>
      <c r="E1290" t="inlineStr">
        <is>
          <t>SKELLEFTEÅ</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24663-2022</t>
        </is>
      </c>
      <c r="B1291" s="1" t="n">
        <v>44728</v>
      </c>
      <c r="C1291" s="1" t="n">
        <v>45633</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24832-2022</t>
        </is>
      </c>
      <c r="B1292" s="1" t="n">
        <v>44728</v>
      </c>
      <c r="C1292" s="1" t="n">
        <v>45633</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24899-2022</t>
        </is>
      </c>
      <c r="B1293" s="1" t="n">
        <v>44728</v>
      </c>
      <c r="C1293" s="1" t="n">
        <v>45633</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24941-2022</t>
        </is>
      </c>
      <c r="B1294" s="1" t="n">
        <v>44728</v>
      </c>
      <c r="C1294" s="1" t="n">
        <v>45633</v>
      </c>
      <c r="D1294" t="inlineStr">
        <is>
          <t>VÄSTERBOTTENS LÄN</t>
        </is>
      </c>
      <c r="E1294" t="inlineStr">
        <is>
          <t>SKELLEFTEÅ</t>
        </is>
      </c>
      <c r="F1294" t="inlineStr">
        <is>
          <t>Holmen skog AB</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25009-2022</t>
        </is>
      </c>
      <c r="B1295" s="1" t="n">
        <v>44729</v>
      </c>
      <c r="C1295" s="1" t="n">
        <v>45633</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25182-2022</t>
        </is>
      </c>
      <c r="B1296" s="1" t="n">
        <v>44729</v>
      </c>
      <c r="C1296" s="1" t="n">
        <v>45633</v>
      </c>
      <c r="D1296" t="inlineStr">
        <is>
          <t>VÄSTERBOTTENS LÄN</t>
        </is>
      </c>
      <c r="E1296" t="inlineStr">
        <is>
          <t>SKELLEFTEÅ</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25207-2022</t>
        </is>
      </c>
      <c r="B1297" s="1" t="n">
        <v>44729</v>
      </c>
      <c r="C1297" s="1" t="n">
        <v>45633</v>
      </c>
      <c r="D1297" t="inlineStr">
        <is>
          <t>VÄSTERBOTTENS LÄN</t>
        </is>
      </c>
      <c r="E1297" t="inlineStr">
        <is>
          <t>SKELLEFTEÅ</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25336-2022</t>
        </is>
      </c>
      <c r="B1298" s="1" t="n">
        <v>44732</v>
      </c>
      <c r="C1298" s="1" t="n">
        <v>45633</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25404-2022</t>
        </is>
      </c>
      <c r="B1299" s="1" t="n">
        <v>44732</v>
      </c>
      <c r="C1299" s="1" t="n">
        <v>45633</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25568-2022</t>
        </is>
      </c>
      <c r="B1300" s="1" t="n">
        <v>44732</v>
      </c>
      <c r="C1300" s="1" t="n">
        <v>45633</v>
      </c>
      <c r="D1300" t="inlineStr">
        <is>
          <t>VÄSTERBOTTENS LÄN</t>
        </is>
      </c>
      <c r="E1300" t="inlineStr">
        <is>
          <t>SKELLEFTEÅ</t>
        </is>
      </c>
      <c r="F1300" t="inlineStr">
        <is>
          <t>Holmen skog AB</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25596-2022</t>
        </is>
      </c>
      <c r="B1301" s="1" t="n">
        <v>44732</v>
      </c>
      <c r="C1301" s="1" t="n">
        <v>45633</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25674-2022</t>
        </is>
      </c>
      <c r="B1302" s="1" t="n">
        <v>44732</v>
      </c>
      <c r="C1302" s="1" t="n">
        <v>45633</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26031-2022</t>
        </is>
      </c>
      <c r="B1303" s="1" t="n">
        <v>44734</v>
      </c>
      <c r="C1303" s="1" t="n">
        <v>45633</v>
      </c>
      <c r="D1303" t="inlineStr">
        <is>
          <t>VÄSTERBOTTENS LÄN</t>
        </is>
      </c>
      <c r="E1303" t="inlineStr">
        <is>
          <t>SKELLEFTEÅ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26203-2022</t>
        </is>
      </c>
      <c r="B1304" s="1" t="n">
        <v>44735</v>
      </c>
      <c r="C1304" s="1" t="n">
        <v>45633</v>
      </c>
      <c r="D1304" t="inlineStr">
        <is>
          <t>VÄSTERBOTTENS LÄN</t>
        </is>
      </c>
      <c r="E1304" t="inlineStr">
        <is>
          <t>SKELLEFTEÅ</t>
        </is>
      </c>
      <c r="F1304" t="inlineStr">
        <is>
          <t>Kommuner</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26166-2022</t>
        </is>
      </c>
      <c r="B1305" s="1" t="n">
        <v>44735</v>
      </c>
      <c r="C1305" s="1" t="n">
        <v>45633</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26545-2022</t>
        </is>
      </c>
      <c r="B1306" s="1" t="n">
        <v>44739</v>
      </c>
      <c r="C1306" s="1" t="n">
        <v>45633</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26483-2022</t>
        </is>
      </c>
      <c r="B1307" s="1" t="n">
        <v>44739</v>
      </c>
      <c r="C1307" s="1" t="n">
        <v>45633</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26798-2022</t>
        </is>
      </c>
      <c r="B1308" s="1" t="n">
        <v>44740</v>
      </c>
      <c r="C1308" s="1" t="n">
        <v>45633</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26807-2022</t>
        </is>
      </c>
      <c r="B1309" s="1" t="n">
        <v>44740</v>
      </c>
      <c r="C1309" s="1" t="n">
        <v>45633</v>
      </c>
      <c r="D1309" t="inlineStr">
        <is>
          <t>VÄSTERBOTTENS LÄN</t>
        </is>
      </c>
      <c r="E1309" t="inlineStr">
        <is>
          <t>SKELLEFTEÅ</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26803-2022</t>
        </is>
      </c>
      <c r="B1310" s="1" t="n">
        <v>44740</v>
      </c>
      <c r="C1310" s="1" t="n">
        <v>45633</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26881-2022</t>
        </is>
      </c>
      <c r="B1311" s="1" t="n">
        <v>44740</v>
      </c>
      <c r="C1311" s="1" t="n">
        <v>45633</v>
      </c>
      <c r="D1311" t="inlineStr">
        <is>
          <t>VÄSTERBOTTENS LÄN</t>
        </is>
      </c>
      <c r="E1311" t="inlineStr">
        <is>
          <t>SKELLEFTEÅ</t>
        </is>
      </c>
      <c r="F1311" t="inlineStr">
        <is>
          <t>Holmen skog AB</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26999-2022</t>
        </is>
      </c>
      <c r="B1312" s="1" t="n">
        <v>44740</v>
      </c>
      <c r="C1312" s="1" t="n">
        <v>45633</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27003-2022</t>
        </is>
      </c>
      <c r="B1313" s="1" t="n">
        <v>44741</v>
      </c>
      <c r="C1313" s="1" t="n">
        <v>45633</v>
      </c>
      <c r="D1313" t="inlineStr">
        <is>
          <t>VÄSTERBOTTENS LÄN</t>
        </is>
      </c>
      <c r="E1313" t="inlineStr">
        <is>
          <t>SKELLEFTEÅ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27028-2022</t>
        </is>
      </c>
      <c r="B1314" s="1" t="n">
        <v>44740</v>
      </c>
      <c r="C1314" s="1" t="n">
        <v>45633</v>
      </c>
      <c r="D1314" t="inlineStr">
        <is>
          <t>VÄSTERBOTTENS LÄN</t>
        </is>
      </c>
      <c r="E1314" t="inlineStr">
        <is>
          <t>SKELLEFTEÅ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27002-2022</t>
        </is>
      </c>
      <c r="B1315" s="1" t="n">
        <v>44740</v>
      </c>
      <c r="C1315" s="1" t="n">
        <v>45633</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27265-2022</t>
        </is>
      </c>
      <c r="B1316" s="1" t="n">
        <v>44741</v>
      </c>
      <c r="C1316" s="1" t="n">
        <v>45633</v>
      </c>
      <c r="D1316" t="inlineStr">
        <is>
          <t>VÄSTERBOTTENS LÄN</t>
        </is>
      </c>
      <c r="E1316" t="inlineStr">
        <is>
          <t>SKELLEFTEÅ</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27555-2022</t>
        </is>
      </c>
      <c r="B1317" s="1" t="n">
        <v>44743</v>
      </c>
      <c r="C1317" s="1" t="n">
        <v>45633</v>
      </c>
      <c r="D1317" t="inlineStr">
        <is>
          <t>VÄSTERBOTTENS LÄN</t>
        </is>
      </c>
      <c r="E1317" t="inlineStr">
        <is>
          <t>SKELLEFTEÅ</t>
        </is>
      </c>
      <c r="F1317" t="inlineStr">
        <is>
          <t>Kommuner</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27560-2022</t>
        </is>
      </c>
      <c r="B1318" s="1" t="n">
        <v>44743</v>
      </c>
      <c r="C1318" s="1" t="n">
        <v>45633</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27817-2022</t>
        </is>
      </c>
      <c r="B1319" s="1" t="n">
        <v>44743</v>
      </c>
      <c r="C1319" s="1" t="n">
        <v>45633</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27637-2022</t>
        </is>
      </c>
      <c r="B1320" s="1" t="n">
        <v>44743</v>
      </c>
      <c r="C1320" s="1" t="n">
        <v>45633</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27672-2022</t>
        </is>
      </c>
      <c r="B1321" s="1" t="n">
        <v>44743</v>
      </c>
      <c r="C1321" s="1" t="n">
        <v>45633</v>
      </c>
      <c r="D1321" t="inlineStr">
        <is>
          <t>VÄSTERBOTTENS LÄN</t>
        </is>
      </c>
      <c r="E1321" t="inlineStr">
        <is>
          <t>SKELLEFTEÅ</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27631-2022</t>
        </is>
      </c>
      <c r="B1322" s="1" t="n">
        <v>44743</v>
      </c>
      <c r="C1322" s="1" t="n">
        <v>45633</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27636-2022</t>
        </is>
      </c>
      <c r="B1323" s="1" t="n">
        <v>44743</v>
      </c>
      <c r="C1323" s="1" t="n">
        <v>45633</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27907-2022</t>
        </is>
      </c>
      <c r="B1324" s="1" t="n">
        <v>44743</v>
      </c>
      <c r="C1324" s="1" t="n">
        <v>45633</v>
      </c>
      <c r="D1324" t="inlineStr">
        <is>
          <t>VÄSTERBOTTENS LÄN</t>
        </is>
      </c>
      <c r="E1324" t="inlineStr">
        <is>
          <t>SKELLEFTEÅ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27901-2022</t>
        </is>
      </c>
      <c r="B1325" s="1" t="n">
        <v>44743</v>
      </c>
      <c r="C1325" s="1" t="n">
        <v>45633</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28352-2022</t>
        </is>
      </c>
      <c r="B1326" s="1" t="n">
        <v>44747</v>
      </c>
      <c r="C1326" s="1" t="n">
        <v>45633</v>
      </c>
      <c r="D1326" t="inlineStr">
        <is>
          <t>VÄSTERBOTTENS LÄN</t>
        </is>
      </c>
      <c r="E1326" t="inlineStr">
        <is>
          <t>SKELLEFTEÅ</t>
        </is>
      </c>
      <c r="F1326" t="inlineStr">
        <is>
          <t>Holmen skog AB</t>
        </is>
      </c>
      <c r="G1326" t="n">
        <v>21.1</v>
      </c>
      <c r="H1326" t="n">
        <v>0</v>
      </c>
      <c r="I1326" t="n">
        <v>0</v>
      </c>
      <c r="J1326" t="n">
        <v>0</v>
      </c>
      <c r="K1326" t="n">
        <v>0</v>
      </c>
      <c r="L1326" t="n">
        <v>0</v>
      </c>
      <c r="M1326" t="n">
        <v>0</v>
      </c>
      <c r="N1326" t="n">
        <v>0</v>
      </c>
      <c r="O1326" t="n">
        <v>0</v>
      </c>
      <c r="P1326" t="n">
        <v>0</v>
      </c>
      <c r="Q1326" t="n">
        <v>0</v>
      </c>
      <c r="R1326" s="2" t="inlineStr"/>
    </row>
    <row r="1327" ht="15" customHeight="1">
      <c r="A1327" t="inlineStr">
        <is>
          <t>A 29085-2022</t>
        </is>
      </c>
      <c r="B1327" s="1" t="n">
        <v>44749</v>
      </c>
      <c r="C1327" s="1" t="n">
        <v>45633</v>
      </c>
      <c r="D1327" t="inlineStr">
        <is>
          <t>VÄSTERBOTTENS LÄN</t>
        </is>
      </c>
      <c r="E1327" t="inlineStr">
        <is>
          <t>SKELLEFTEÅ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29030-2022</t>
        </is>
      </c>
      <c r="B1328" s="1" t="n">
        <v>44749</v>
      </c>
      <c r="C1328" s="1" t="n">
        <v>45633</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29028-2022</t>
        </is>
      </c>
      <c r="B1329" s="1" t="n">
        <v>44749</v>
      </c>
      <c r="C1329" s="1" t="n">
        <v>45633</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29029-2022</t>
        </is>
      </c>
      <c r="B1330" s="1" t="n">
        <v>44749</v>
      </c>
      <c r="C1330" s="1" t="n">
        <v>45633</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29092-2022</t>
        </is>
      </c>
      <c r="B1331" s="1" t="n">
        <v>44750</v>
      </c>
      <c r="C1331" s="1" t="n">
        <v>45633</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29164-2022</t>
        </is>
      </c>
      <c r="B1332" s="1" t="n">
        <v>44750</v>
      </c>
      <c r="C1332" s="1" t="n">
        <v>45633</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29161-2022</t>
        </is>
      </c>
      <c r="B1333" s="1" t="n">
        <v>44750</v>
      </c>
      <c r="C1333" s="1" t="n">
        <v>45633</v>
      </c>
      <c r="D1333" t="inlineStr">
        <is>
          <t>VÄSTERBOTTENS LÄN</t>
        </is>
      </c>
      <c r="E1333" t="inlineStr">
        <is>
          <t>SKELLEFTEÅ</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29802-2022</t>
        </is>
      </c>
      <c r="B1334" s="1" t="n">
        <v>44755</v>
      </c>
      <c r="C1334" s="1" t="n">
        <v>45633</v>
      </c>
      <c r="D1334" t="inlineStr">
        <is>
          <t>VÄSTERBOTTENS LÄN</t>
        </is>
      </c>
      <c r="E1334" t="inlineStr">
        <is>
          <t>SKELLEFTEÅ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30184-2022</t>
        </is>
      </c>
      <c r="B1335" s="1" t="n">
        <v>44757</v>
      </c>
      <c r="C1335" s="1" t="n">
        <v>45633</v>
      </c>
      <c r="D1335" t="inlineStr">
        <is>
          <t>VÄSTERBOTTENS LÄN</t>
        </is>
      </c>
      <c r="E1335" t="inlineStr">
        <is>
          <t>SKELLEFTEÅ</t>
        </is>
      </c>
      <c r="F1335" t="inlineStr">
        <is>
          <t>Holmen skog AB</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30278-2022</t>
        </is>
      </c>
      <c r="B1336" s="1" t="n">
        <v>44759</v>
      </c>
      <c r="C1336" s="1" t="n">
        <v>45633</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30905-2022</t>
        </is>
      </c>
      <c r="B1337" s="1" t="n">
        <v>44767</v>
      </c>
      <c r="C1337" s="1" t="n">
        <v>45633</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31124-2022</t>
        </is>
      </c>
      <c r="B1338" s="1" t="n">
        <v>44770</v>
      </c>
      <c r="C1338" s="1" t="n">
        <v>45633</v>
      </c>
      <c r="D1338" t="inlineStr">
        <is>
          <t>VÄSTERBOTTENS LÄN</t>
        </is>
      </c>
      <c r="E1338" t="inlineStr">
        <is>
          <t>SKELLEFTEÅ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31234-2022</t>
        </is>
      </c>
      <c r="B1339" s="1" t="n">
        <v>44771</v>
      </c>
      <c r="C1339" s="1" t="n">
        <v>45633</v>
      </c>
      <c r="D1339" t="inlineStr">
        <is>
          <t>VÄSTERBOTTENS LÄN</t>
        </is>
      </c>
      <c r="E1339" t="inlineStr">
        <is>
          <t>SKELLEFTEÅ</t>
        </is>
      </c>
      <c r="F1339" t="inlineStr">
        <is>
          <t>Holmen skog AB</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31955-2022</t>
        </is>
      </c>
      <c r="B1340" s="1" t="n">
        <v>44778</v>
      </c>
      <c r="C1340" s="1" t="n">
        <v>45633</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31960-2022</t>
        </is>
      </c>
      <c r="B1341" s="1" t="n">
        <v>44778</v>
      </c>
      <c r="C1341" s="1" t="n">
        <v>45633</v>
      </c>
      <c r="D1341" t="inlineStr">
        <is>
          <t>VÄSTERBOTTENS LÄN</t>
        </is>
      </c>
      <c r="E1341" t="inlineStr">
        <is>
          <t>SKELLEFTEÅ</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31954-2022</t>
        </is>
      </c>
      <c r="B1342" s="1" t="n">
        <v>44778</v>
      </c>
      <c r="C1342" s="1" t="n">
        <v>45633</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32173-2022</t>
        </is>
      </c>
      <c r="B1343" s="1" t="n">
        <v>44781</v>
      </c>
      <c r="C1343" s="1" t="n">
        <v>45633</v>
      </c>
      <c r="D1343" t="inlineStr">
        <is>
          <t>VÄSTERBOTTENS LÄN</t>
        </is>
      </c>
      <c r="E1343" t="inlineStr">
        <is>
          <t>SKELLEFTEÅ</t>
        </is>
      </c>
      <c r="F1343" t="inlineStr">
        <is>
          <t>Kommuner</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32244-2022</t>
        </is>
      </c>
      <c r="B1344" s="1" t="n">
        <v>44781</v>
      </c>
      <c r="C1344" s="1" t="n">
        <v>45633</v>
      </c>
      <c r="D1344" t="inlineStr">
        <is>
          <t>VÄSTERBOTTENS LÄN</t>
        </is>
      </c>
      <c r="E1344" t="inlineStr">
        <is>
          <t>SKELLEFTEÅ</t>
        </is>
      </c>
      <c r="F1344" t="inlineStr">
        <is>
          <t>Holmen skog AB</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32279-2022</t>
        </is>
      </c>
      <c r="B1345" s="1" t="n">
        <v>44781</v>
      </c>
      <c r="C1345" s="1" t="n">
        <v>45633</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32200-2022</t>
        </is>
      </c>
      <c r="B1346" s="1" t="n">
        <v>44781</v>
      </c>
      <c r="C1346" s="1" t="n">
        <v>45633</v>
      </c>
      <c r="D1346" t="inlineStr">
        <is>
          <t>VÄSTERBOTTENS LÄN</t>
        </is>
      </c>
      <c r="E1346" t="inlineStr">
        <is>
          <t>SKELLEFTEÅ</t>
        </is>
      </c>
      <c r="F1346" t="inlineStr">
        <is>
          <t>Kommuner</t>
        </is>
      </c>
      <c r="G1346" t="n">
        <v>20.6</v>
      </c>
      <c r="H1346" t="n">
        <v>0</v>
      </c>
      <c r="I1346" t="n">
        <v>0</v>
      </c>
      <c r="J1346" t="n">
        <v>0</v>
      </c>
      <c r="K1346" t="n">
        <v>0</v>
      </c>
      <c r="L1346" t="n">
        <v>0</v>
      </c>
      <c r="M1346" t="n">
        <v>0</v>
      </c>
      <c r="N1346" t="n">
        <v>0</v>
      </c>
      <c r="O1346" t="n">
        <v>0</v>
      </c>
      <c r="P1346" t="n">
        <v>0</v>
      </c>
      <c r="Q1346" t="n">
        <v>0</v>
      </c>
      <c r="R1346" s="2" t="inlineStr"/>
    </row>
    <row r="1347" ht="15" customHeight="1">
      <c r="A1347" t="inlineStr">
        <is>
          <t>A 32344-2022</t>
        </is>
      </c>
      <c r="B1347" s="1" t="n">
        <v>44781</v>
      </c>
      <c r="C1347" s="1" t="n">
        <v>45633</v>
      </c>
      <c r="D1347" t="inlineStr">
        <is>
          <t>VÄSTERBOTTENS LÄN</t>
        </is>
      </c>
      <c r="E1347" t="inlineStr">
        <is>
          <t>SKELLEFTEÅ</t>
        </is>
      </c>
      <c r="F1347" t="inlineStr">
        <is>
          <t>Sveaskog</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32427-2022</t>
        </is>
      </c>
      <c r="B1348" s="1" t="n">
        <v>44782</v>
      </c>
      <c r="C1348" s="1" t="n">
        <v>45633</v>
      </c>
      <c r="D1348" t="inlineStr">
        <is>
          <t>VÄSTERBOTTENS LÄN</t>
        </is>
      </c>
      <c r="E1348" t="inlineStr">
        <is>
          <t>SKELLEFTEÅ</t>
        </is>
      </c>
      <c r="F1348" t="inlineStr">
        <is>
          <t>Kommuner</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32434-2022</t>
        </is>
      </c>
      <c r="B1349" s="1" t="n">
        <v>44782</v>
      </c>
      <c r="C1349" s="1" t="n">
        <v>45633</v>
      </c>
      <c r="D1349" t="inlineStr">
        <is>
          <t>VÄSTERBOTTENS LÄN</t>
        </is>
      </c>
      <c r="E1349" t="inlineStr">
        <is>
          <t>SKELLEFTEÅ</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32415-2022</t>
        </is>
      </c>
      <c r="B1350" s="1" t="n">
        <v>44782</v>
      </c>
      <c r="C1350" s="1" t="n">
        <v>45633</v>
      </c>
      <c r="D1350" t="inlineStr">
        <is>
          <t>VÄSTERBOTTENS LÄN</t>
        </is>
      </c>
      <c r="E1350" t="inlineStr">
        <is>
          <t>SKELLEFTEÅ</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32436-2022</t>
        </is>
      </c>
      <c r="B1351" s="1" t="n">
        <v>44782</v>
      </c>
      <c r="C1351" s="1" t="n">
        <v>45633</v>
      </c>
      <c r="D1351" t="inlineStr">
        <is>
          <t>VÄSTERBOTTENS LÄN</t>
        </is>
      </c>
      <c r="E1351" t="inlineStr">
        <is>
          <t>SKELLEFTEÅ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32420-2022</t>
        </is>
      </c>
      <c r="B1352" s="1" t="n">
        <v>44782</v>
      </c>
      <c r="C1352" s="1" t="n">
        <v>45633</v>
      </c>
      <c r="D1352" t="inlineStr">
        <is>
          <t>VÄSTERBOTTENS LÄN</t>
        </is>
      </c>
      <c r="E1352" t="inlineStr">
        <is>
          <t>SKELLEFTEÅ</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32448-2022</t>
        </is>
      </c>
      <c r="B1353" s="1" t="n">
        <v>44782</v>
      </c>
      <c r="C1353" s="1" t="n">
        <v>45633</v>
      </c>
      <c r="D1353" t="inlineStr">
        <is>
          <t>VÄSTERBOTTENS LÄN</t>
        </is>
      </c>
      <c r="E1353" t="inlineStr">
        <is>
          <t>SKELLEFTEÅ</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32560-2022</t>
        </is>
      </c>
      <c r="B1354" s="1" t="n">
        <v>44783</v>
      </c>
      <c r="C1354" s="1" t="n">
        <v>45633</v>
      </c>
      <c r="D1354" t="inlineStr">
        <is>
          <t>VÄSTERBOTTENS LÄN</t>
        </is>
      </c>
      <c r="E1354" t="inlineStr">
        <is>
          <t>SKELLEFTEÅ</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32677-2022</t>
        </is>
      </c>
      <c r="B1355" s="1" t="n">
        <v>44783</v>
      </c>
      <c r="C1355" s="1" t="n">
        <v>45633</v>
      </c>
      <c r="D1355" t="inlineStr">
        <is>
          <t>VÄSTERBOTTENS LÄN</t>
        </is>
      </c>
      <c r="E1355" t="inlineStr">
        <is>
          <t>SKELLEFTEÅ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32539-2022</t>
        </is>
      </c>
      <c r="B1356" s="1" t="n">
        <v>44783</v>
      </c>
      <c r="C1356" s="1" t="n">
        <v>45633</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32657-2022</t>
        </is>
      </c>
      <c r="B1357" s="1" t="n">
        <v>44783</v>
      </c>
      <c r="C1357" s="1" t="n">
        <v>45633</v>
      </c>
      <c r="D1357" t="inlineStr">
        <is>
          <t>VÄSTERBOTTENS LÄN</t>
        </is>
      </c>
      <c r="E1357" t="inlineStr">
        <is>
          <t>SKELLEFTEÅ</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32985-2022</t>
        </is>
      </c>
      <c r="B1358" s="1" t="n">
        <v>44785</v>
      </c>
      <c r="C1358" s="1" t="n">
        <v>45633</v>
      </c>
      <c r="D1358" t="inlineStr">
        <is>
          <t>VÄSTERBOTTENS LÄN</t>
        </is>
      </c>
      <c r="E1358" t="inlineStr">
        <is>
          <t>SKELLEFTEÅ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32984-2022</t>
        </is>
      </c>
      <c r="B1359" s="1" t="n">
        <v>44784</v>
      </c>
      <c r="C1359" s="1" t="n">
        <v>45633</v>
      </c>
      <c r="D1359" t="inlineStr">
        <is>
          <t>VÄSTERBOTTENS LÄN</t>
        </is>
      </c>
      <c r="E1359" t="inlineStr">
        <is>
          <t>SKELLEFTEÅ</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33268-2022</t>
        </is>
      </c>
      <c r="B1360" s="1" t="n">
        <v>44788</v>
      </c>
      <c r="C1360" s="1" t="n">
        <v>45633</v>
      </c>
      <c r="D1360" t="inlineStr">
        <is>
          <t>VÄSTERBOTTENS LÄN</t>
        </is>
      </c>
      <c r="E1360" t="inlineStr">
        <is>
          <t>SKELLEFTEÅ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33324-2022</t>
        </is>
      </c>
      <c r="B1361" s="1" t="n">
        <v>44788</v>
      </c>
      <c r="C1361" s="1" t="n">
        <v>45633</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33629-2022</t>
        </is>
      </c>
      <c r="B1362" s="1" t="n">
        <v>44789</v>
      </c>
      <c r="C1362" s="1" t="n">
        <v>45633</v>
      </c>
      <c r="D1362" t="inlineStr">
        <is>
          <t>VÄSTERBOTTENS LÄN</t>
        </is>
      </c>
      <c r="E1362" t="inlineStr">
        <is>
          <t>SKELLEFTEÅ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33984-2022</t>
        </is>
      </c>
      <c r="B1363" s="1" t="n">
        <v>44791</v>
      </c>
      <c r="C1363" s="1" t="n">
        <v>45633</v>
      </c>
      <c r="D1363" t="inlineStr">
        <is>
          <t>VÄSTERBOTTENS LÄN</t>
        </is>
      </c>
      <c r="E1363" t="inlineStr">
        <is>
          <t>SKELLEFTEÅ</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34094-2022</t>
        </is>
      </c>
      <c r="B1364" s="1" t="n">
        <v>44791</v>
      </c>
      <c r="C1364" s="1" t="n">
        <v>45633</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34104-2022</t>
        </is>
      </c>
      <c r="B1365" s="1" t="n">
        <v>44791</v>
      </c>
      <c r="C1365" s="1" t="n">
        <v>45633</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34082-2022</t>
        </is>
      </c>
      <c r="B1366" s="1" t="n">
        <v>44791</v>
      </c>
      <c r="C1366" s="1" t="n">
        <v>45633</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34547-2022</t>
        </is>
      </c>
      <c r="B1367" s="1" t="n">
        <v>44794</v>
      </c>
      <c r="C1367" s="1" t="n">
        <v>45633</v>
      </c>
      <c r="D1367" t="inlineStr">
        <is>
          <t>VÄSTERBOTTENS LÄN</t>
        </is>
      </c>
      <c r="E1367" t="inlineStr">
        <is>
          <t>SKELLEFTEÅ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34639-2022</t>
        </is>
      </c>
      <c r="B1368" s="1" t="n">
        <v>44795</v>
      </c>
      <c r="C1368" s="1" t="n">
        <v>45633</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34895-2022</t>
        </is>
      </c>
      <c r="B1369" s="1" t="n">
        <v>44796</v>
      </c>
      <c r="C1369" s="1" t="n">
        <v>45633</v>
      </c>
      <c r="D1369" t="inlineStr">
        <is>
          <t>VÄSTERBOTTENS LÄN</t>
        </is>
      </c>
      <c r="E1369" t="inlineStr">
        <is>
          <t>SKELLEFTEÅ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35001-2022</t>
        </is>
      </c>
      <c r="B1370" s="1" t="n">
        <v>44797</v>
      </c>
      <c r="C1370" s="1" t="n">
        <v>45633</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35119-2022</t>
        </is>
      </c>
      <c r="B1371" s="1" t="n">
        <v>44797</v>
      </c>
      <c r="C1371" s="1" t="n">
        <v>45633</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35189-2022</t>
        </is>
      </c>
      <c r="B1372" s="1" t="n">
        <v>44797</v>
      </c>
      <c r="C1372" s="1" t="n">
        <v>45633</v>
      </c>
      <c r="D1372" t="inlineStr">
        <is>
          <t>VÄSTERBOTTENS LÄN</t>
        </is>
      </c>
      <c r="E1372" t="inlineStr">
        <is>
          <t>SKELLEFTEÅ</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35491-2022</t>
        </is>
      </c>
      <c r="B1373" s="1" t="n">
        <v>44798</v>
      </c>
      <c r="C1373" s="1" t="n">
        <v>45633</v>
      </c>
      <c r="D1373" t="inlineStr">
        <is>
          <t>VÄSTERBOTTENS LÄN</t>
        </is>
      </c>
      <c r="E1373" t="inlineStr">
        <is>
          <t>SKELLEFTEÅ</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35558-2022</t>
        </is>
      </c>
      <c r="B1374" s="1" t="n">
        <v>44799</v>
      </c>
      <c r="C1374" s="1" t="n">
        <v>45633</v>
      </c>
      <c r="D1374" t="inlineStr">
        <is>
          <t>VÄSTERBOTTENS LÄN</t>
        </is>
      </c>
      <c r="E1374" t="inlineStr">
        <is>
          <t>SKELLEFTEÅ</t>
        </is>
      </c>
      <c r="F1374" t="inlineStr">
        <is>
          <t>Sveaskog</t>
        </is>
      </c>
      <c r="G1374" t="n">
        <v>21.8</v>
      </c>
      <c r="H1374" t="n">
        <v>0</v>
      </c>
      <c r="I1374" t="n">
        <v>0</v>
      </c>
      <c r="J1374" t="n">
        <v>0</v>
      </c>
      <c r="K1374" t="n">
        <v>0</v>
      </c>
      <c r="L1374" t="n">
        <v>0</v>
      </c>
      <c r="M1374" t="n">
        <v>0</v>
      </c>
      <c r="N1374" t="n">
        <v>0</v>
      </c>
      <c r="O1374" t="n">
        <v>0</v>
      </c>
      <c r="P1374" t="n">
        <v>0</v>
      </c>
      <c r="Q1374" t="n">
        <v>0</v>
      </c>
      <c r="R1374" s="2" t="inlineStr"/>
    </row>
    <row r="1375" ht="15" customHeight="1">
      <c r="A1375" t="inlineStr">
        <is>
          <t>A 35609-2022</t>
        </is>
      </c>
      <c r="B1375" s="1" t="n">
        <v>44799</v>
      </c>
      <c r="C1375" s="1" t="n">
        <v>45633</v>
      </c>
      <c r="D1375" t="inlineStr">
        <is>
          <t>VÄSTERBOTTENS LÄN</t>
        </is>
      </c>
      <c r="E1375" t="inlineStr">
        <is>
          <t>SKELLEFTEÅ</t>
        </is>
      </c>
      <c r="F1375" t="inlineStr">
        <is>
          <t>Holmen skog AB</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35652-2022</t>
        </is>
      </c>
      <c r="B1376" s="1" t="n">
        <v>44799</v>
      </c>
      <c r="C1376" s="1" t="n">
        <v>45633</v>
      </c>
      <c r="D1376" t="inlineStr">
        <is>
          <t>VÄSTERBOTTENS LÄN</t>
        </is>
      </c>
      <c r="E1376" t="inlineStr">
        <is>
          <t>SKELLEFTEÅ</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35635-2022</t>
        </is>
      </c>
      <c r="B1377" s="1" t="n">
        <v>44799</v>
      </c>
      <c r="C1377" s="1" t="n">
        <v>45633</v>
      </c>
      <c r="D1377" t="inlineStr">
        <is>
          <t>VÄSTERBOTTENS LÄN</t>
        </is>
      </c>
      <c r="E1377" t="inlineStr">
        <is>
          <t>SKELLEFTEÅ</t>
        </is>
      </c>
      <c r="F1377" t="inlineStr">
        <is>
          <t>Holmen skog AB</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35608-2022</t>
        </is>
      </c>
      <c r="B1378" s="1" t="n">
        <v>44799</v>
      </c>
      <c r="C1378" s="1" t="n">
        <v>45633</v>
      </c>
      <c r="D1378" t="inlineStr">
        <is>
          <t>VÄSTERBOTTENS LÄN</t>
        </is>
      </c>
      <c r="E1378" t="inlineStr">
        <is>
          <t>SKELLEFTEÅ</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35794-2022</t>
        </is>
      </c>
      <c r="B1379" s="1" t="n">
        <v>44801</v>
      </c>
      <c r="C1379" s="1" t="n">
        <v>45633</v>
      </c>
      <c r="D1379" t="inlineStr">
        <is>
          <t>VÄSTERBOTTENS LÄN</t>
        </is>
      </c>
      <c r="E1379" t="inlineStr">
        <is>
          <t>SKELLEFTEÅ</t>
        </is>
      </c>
      <c r="F1379" t="inlineStr">
        <is>
          <t>Sveaskog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35771-2022</t>
        </is>
      </c>
      <c r="B1380" s="1" t="n">
        <v>44801</v>
      </c>
      <c r="C1380" s="1" t="n">
        <v>45633</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35809-2022</t>
        </is>
      </c>
      <c r="B1381" s="1" t="n">
        <v>44802</v>
      </c>
      <c r="C1381" s="1" t="n">
        <v>45633</v>
      </c>
      <c r="D1381" t="inlineStr">
        <is>
          <t>VÄSTERBOTTENS LÄN</t>
        </is>
      </c>
      <c r="E1381" t="inlineStr">
        <is>
          <t>SKELLEFTEÅ</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36208-2022</t>
        </is>
      </c>
      <c r="B1382" s="1" t="n">
        <v>44803</v>
      </c>
      <c r="C1382" s="1" t="n">
        <v>45633</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35888-2022</t>
        </is>
      </c>
      <c r="B1383" s="1" t="n">
        <v>44803</v>
      </c>
      <c r="C1383" s="1" t="n">
        <v>45633</v>
      </c>
      <c r="D1383" t="inlineStr">
        <is>
          <t>VÄSTERBOTTENS LÄN</t>
        </is>
      </c>
      <c r="E1383" t="inlineStr">
        <is>
          <t>SKELLEFTEÅ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36723-2022</t>
        </is>
      </c>
      <c r="B1384" s="1" t="n">
        <v>44804</v>
      </c>
      <c r="C1384" s="1" t="n">
        <v>45633</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36539-2022</t>
        </is>
      </c>
      <c r="B1385" s="1" t="n">
        <v>44804</v>
      </c>
      <c r="C1385" s="1" t="n">
        <v>45633</v>
      </c>
      <c r="D1385" t="inlineStr">
        <is>
          <t>VÄSTERBOTTENS LÄN</t>
        </is>
      </c>
      <c r="E1385" t="inlineStr">
        <is>
          <t>SKELLEFTEÅ</t>
        </is>
      </c>
      <c r="F1385" t="inlineStr">
        <is>
          <t>Kommuner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36728-2022</t>
        </is>
      </c>
      <c r="B1386" s="1" t="n">
        <v>44804</v>
      </c>
      <c r="C1386" s="1" t="n">
        <v>45633</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37669-2022</t>
        </is>
      </c>
      <c r="B1387" s="1" t="n">
        <v>44810</v>
      </c>
      <c r="C1387" s="1" t="n">
        <v>45633</v>
      </c>
      <c r="D1387" t="inlineStr">
        <is>
          <t>VÄSTERBOTTENS LÄN</t>
        </is>
      </c>
      <c r="E1387" t="inlineStr">
        <is>
          <t>SKELLEFTEÅ</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37823-2022</t>
        </is>
      </c>
      <c r="B1388" s="1" t="n">
        <v>44811</v>
      </c>
      <c r="C1388" s="1" t="n">
        <v>45633</v>
      </c>
      <c r="D1388" t="inlineStr">
        <is>
          <t>VÄSTERBOTTENS LÄN</t>
        </is>
      </c>
      <c r="E1388" t="inlineStr">
        <is>
          <t>SKELLEFTEÅ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37819-2022</t>
        </is>
      </c>
      <c r="B1389" s="1" t="n">
        <v>44810</v>
      </c>
      <c r="C1389" s="1" t="n">
        <v>45633</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37825-2022</t>
        </is>
      </c>
      <c r="B1390" s="1" t="n">
        <v>44811</v>
      </c>
      <c r="C1390" s="1" t="n">
        <v>45633</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37944-2022</t>
        </is>
      </c>
      <c r="B1391" s="1" t="n">
        <v>44811</v>
      </c>
      <c r="C1391" s="1" t="n">
        <v>45633</v>
      </c>
      <c r="D1391" t="inlineStr">
        <is>
          <t>VÄSTERBOTTENS LÄN</t>
        </is>
      </c>
      <c r="E1391" t="inlineStr">
        <is>
          <t>SKELLEFTEÅ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37940-2022</t>
        </is>
      </c>
      <c r="B1392" s="1" t="n">
        <v>44811</v>
      </c>
      <c r="C1392" s="1" t="n">
        <v>45633</v>
      </c>
      <c r="D1392" t="inlineStr">
        <is>
          <t>VÄSTERBOTTENS LÄN</t>
        </is>
      </c>
      <c r="E1392" t="inlineStr">
        <is>
          <t>SKELLEFTEÅ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37950-2022</t>
        </is>
      </c>
      <c r="B1393" s="1" t="n">
        <v>44811</v>
      </c>
      <c r="C1393" s="1" t="n">
        <v>45633</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38275-2022</t>
        </is>
      </c>
      <c r="B1394" s="1" t="n">
        <v>44812</v>
      </c>
      <c r="C1394" s="1" t="n">
        <v>45633</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38457-2022</t>
        </is>
      </c>
      <c r="B1395" s="1" t="n">
        <v>44813</v>
      </c>
      <c r="C1395" s="1" t="n">
        <v>45633</v>
      </c>
      <c r="D1395" t="inlineStr">
        <is>
          <t>VÄSTERBOTTENS LÄN</t>
        </is>
      </c>
      <c r="E1395" t="inlineStr">
        <is>
          <t>SKELLEFTEÅ</t>
        </is>
      </c>
      <c r="F1395" t="inlineStr">
        <is>
          <t>Holmen skog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38578-2022</t>
        </is>
      </c>
      <c r="B1396" s="1" t="n">
        <v>44813</v>
      </c>
      <c r="C1396" s="1" t="n">
        <v>45633</v>
      </c>
      <c r="D1396" t="inlineStr">
        <is>
          <t>VÄSTERBOTTENS LÄN</t>
        </is>
      </c>
      <c r="E1396" t="inlineStr">
        <is>
          <t>SKELLEFTEÅ</t>
        </is>
      </c>
      <c r="F1396" t="inlineStr">
        <is>
          <t>Holmen skog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38514-2022</t>
        </is>
      </c>
      <c r="B1397" s="1" t="n">
        <v>44813</v>
      </c>
      <c r="C1397" s="1" t="n">
        <v>45633</v>
      </c>
      <c r="D1397" t="inlineStr">
        <is>
          <t>VÄSTERBOTTENS LÄN</t>
        </is>
      </c>
      <c r="E1397" t="inlineStr">
        <is>
          <t>SKELLEFTEÅ</t>
        </is>
      </c>
      <c r="F1397" t="inlineStr">
        <is>
          <t>Holmen skog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38728-2022</t>
        </is>
      </c>
      <c r="B1398" s="1" t="n">
        <v>44816</v>
      </c>
      <c r="C1398" s="1" t="n">
        <v>45633</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38727-2022</t>
        </is>
      </c>
      <c r="B1399" s="1" t="n">
        <v>44816</v>
      </c>
      <c r="C1399" s="1" t="n">
        <v>45633</v>
      </c>
      <c r="D1399" t="inlineStr">
        <is>
          <t>VÄSTERBOTTENS LÄN</t>
        </is>
      </c>
      <c r="E1399" t="inlineStr">
        <is>
          <t>SKELLEFTEÅ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38767-2022</t>
        </is>
      </c>
      <c r="B1400" s="1" t="n">
        <v>44816</v>
      </c>
      <c r="C1400" s="1" t="n">
        <v>45633</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38873-2022</t>
        </is>
      </c>
      <c r="B1401" s="1" t="n">
        <v>44816</v>
      </c>
      <c r="C1401" s="1" t="n">
        <v>45633</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38876-2022</t>
        </is>
      </c>
      <c r="B1402" s="1" t="n">
        <v>44816</v>
      </c>
      <c r="C1402" s="1" t="n">
        <v>45633</v>
      </c>
      <c r="D1402" t="inlineStr">
        <is>
          <t>VÄSTERBOTTENS LÄN</t>
        </is>
      </c>
      <c r="E1402" t="inlineStr">
        <is>
          <t>SKELLEFTEÅ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38932-2022</t>
        </is>
      </c>
      <c r="B1403" s="1" t="n">
        <v>44816</v>
      </c>
      <c r="C1403" s="1" t="n">
        <v>45633</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38940-2022</t>
        </is>
      </c>
      <c r="B1404" s="1" t="n">
        <v>44816</v>
      </c>
      <c r="C1404" s="1" t="n">
        <v>45633</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38995-2022</t>
        </is>
      </c>
      <c r="B1405" s="1" t="n">
        <v>44816</v>
      </c>
      <c r="C1405" s="1" t="n">
        <v>45633</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38997-2022</t>
        </is>
      </c>
      <c r="B1406" s="1" t="n">
        <v>44817</v>
      </c>
      <c r="C1406" s="1" t="n">
        <v>45633</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38998-2022</t>
        </is>
      </c>
      <c r="B1407" s="1" t="n">
        <v>44817</v>
      </c>
      <c r="C1407" s="1" t="n">
        <v>45633</v>
      </c>
      <c r="D1407" t="inlineStr">
        <is>
          <t>VÄSTERBOTTENS LÄN</t>
        </is>
      </c>
      <c r="E1407" t="inlineStr">
        <is>
          <t>SKELLEFTEÅ</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38993-2022</t>
        </is>
      </c>
      <c r="B1408" s="1" t="n">
        <v>44816</v>
      </c>
      <c r="C1408" s="1" t="n">
        <v>45633</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39019-2022</t>
        </is>
      </c>
      <c r="B1409" s="1" t="n">
        <v>44817</v>
      </c>
      <c r="C1409" s="1" t="n">
        <v>45633</v>
      </c>
      <c r="D1409" t="inlineStr">
        <is>
          <t>VÄSTERBOTTENS LÄN</t>
        </is>
      </c>
      <c r="E1409" t="inlineStr">
        <is>
          <t>SKELLEFTEÅ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39668-2022</t>
        </is>
      </c>
      <c r="B1410" s="1" t="n">
        <v>44818</v>
      </c>
      <c r="C1410" s="1" t="n">
        <v>45633</v>
      </c>
      <c r="D1410" t="inlineStr">
        <is>
          <t>VÄSTERBOTTENS LÄN</t>
        </is>
      </c>
      <c r="E1410" t="inlineStr">
        <is>
          <t>SKELLEFTEÅ</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39794-2022</t>
        </is>
      </c>
      <c r="B1411" s="1" t="n">
        <v>44819</v>
      </c>
      <c r="C1411" s="1" t="n">
        <v>45633</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39732-2022</t>
        </is>
      </c>
      <c r="B1412" s="1" t="n">
        <v>44819</v>
      </c>
      <c r="C1412" s="1" t="n">
        <v>45633</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39918-2022</t>
        </is>
      </c>
      <c r="B1413" s="1" t="n">
        <v>44819</v>
      </c>
      <c r="C1413" s="1" t="n">
        <v>45633</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39986-2022</t>
        </is>
      </c>
      <c r="B1414" s="1" t="n">
        <v>44820</v>
      </c>
      <c r="C1414" s="1" t="n">
        <v>45633</v>
      </c>
      <c r="D1414" t="inlineStr">
        <is>
          <t>VÄSTERBOTTENS LÄN</t>
        </is>
      </c>
      <c r="E1414" t="inlineStr">
        <is>
          <t>SKELLEFTEÅ</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39998-2022</t>
        </is>
      </c>
      <c r="B1415" s="1" t="n">
        <v>44820</v>
      </c>
      <c r="C1415" s="1" t="n">
        <v>45633</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40013-2022</t>
        </is>
      </c>
      <c r="B1416" s="1" t="n">
        <v>44820</v>
      </c>
      <c r="C1416" s="1" t="n">
        <v>45633</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v>
      </c>
      <c r="C1417" s="1" t="n">
        <v>45633</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39985-2022</t>
        </is>
      </c>
      <c r="B1418" s="1" t="n">
        <v>44820</v>
      </c>
      <c r="C1418" s="1" t="n">
        <v>45633</v>
      </c>
      <c r="D1418" t="inlineStr">
        <is>
          <t>VÄSTERBOTTENS LÄN</t>
        </is>
      </c>
      <c r="E1418" t="inlineStr">
        <is>
          <t>SKELLEFTEÅ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40219-2022</t>
        </is>
      </c>
      <c r="B1419" s="1" t="n">
        <v>44820</v>
      </c>
      <c r="C1419" s="1" t="n">
        <v>45633</v>
      </c>
      <c r="D1419" t="inlineStr">
        <is>
          <t>VÄSTERBOTTENS LÄN</t>
        </is>
      </c>
      <c r="E1419" t="inlineStr">
        <is>
          <t>SKELLEFTEÅ</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40905-2022</t>
        </is>
      </c>
      <c r="B1420" s="1" t="n">
        <v>44820</v>
      </c>
      <c r="C1420" s="1" t="n">
        <v>45633</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40345-2022</t>
        </is>
      </c>
      <c r="B1421" s="1" t="n">
        <v>44823</v>
      </c>
      <c r="C1421" s="1" t="n">
        <v>45633</v>
      </c>
      <c r="D1421" t="inlineStr">
        <is>
          <t>VÄSTERBOTTENS LÄN</t>
        </is>
      </c>
      <c r="E1421" t="inlineStr">
        <is>
          <t>SKELLEFTEÅ</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40314-2022</t>
        </is>
      </c>
      <c r="B1422" s="1" t="n">
        <v>44823</v>
      </c>
      <c r="C1422" s="1" t="n">
        <v>45633</v>
      </c>
      <c r="D1422" t="inlineStr">
        <is>
          <t>VÄSTERBOTTENS LÄN</t>
        </is>
      </c>
      <c r="E1422" t="inlineStr">
        <is>
          <t>SKELLEFTEÅ</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40329-2022</t>
        </is>
      </c>
      <c r="B1423" s="1" t="n">
        <v>44823</v>
      </c>
      <c r="C1423" s="1" t="n">
        <v>45633</v>
      </c>
      <c r="D1423" t="inlineStr">
        <is>
          <t>VÄSTERBOTTENS LÄN</t>
        </is>
      </c>
      <c r="E1423" t="inlineStr">
        <is>
          <t>SKELLEFTEÅ</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40964-2022</t>
        </is>
      </c>
      <c r="B1424" s="1" t="n">
        <v>44823</v>
      </c>
      <c r="C1424" s="1" t="n">
        <v>45633</v>
      </c>
      <c r="D1424" t="inlineStr">
        <is>
          <t>VÄSTERBOTTENS LÄN</t>
        </is>
      </c>
      <c r="E1424" t="inlineStr">
        <is>
          <t>SKELLEFTEÅ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40969-2022</t>
        </is>
      </c>
      <c r="B1425" s="1" t="n">
        <v>44824</v>
      </c>
      <c r="C1425" s="1" t="n">
        <v>45633</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41010-2022</t>
        </is>
      </c>
      <c r="B1426" s="1" t="n">
        <v>44825</v>
      </c>
      <c r="C1426" s="1" t="n">
        <v>45633</v>
      </c>
      <c r="D1426" t="inlineStr">
        <is>
          <t>VÄSTERBOTTENS LÄN</t>
        </is>
      </c>
      <c r="E1426" t="inlineStr">
        <is>
          <t>SKELLEFTEÅ</t>
        </is>
      </c>
      <c r="F1426" t="inlineStr">
        <is>
          <t>Kyrkan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40851-2022</t>
        </is>
      </c>
      <c r="B1427" s="1" t="n">
        <v>44825</v>
      </c>
      <c r="C1427" s="1" t="n">
        <v>45633</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41360-2022</t>
        </is>
      </c>
      <c r="B1428" s="1" t="n">
        <v>44825</v>
      </c>
      <c r="C1428" s="1" t="n">
        <v>45633</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41409-2022</t>
        </is>
      </c>
      <c r="B1429" s="1" t="n">
        <v>44826</v>
      </c>
      <c r="C1429" s="1" t="n">
        <v>45633</v>
      </c>
      <c r="D1429" t="inlineStr">
        <is>
          <t>VÄSTERBOTTENS LÄN</t>
        </is>
      </c>
      <c r="E1429" t="inlineStr">
        <is>
          <t>SKELLEFTEÅ</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41513-2022</t>
        </is>
      </c>
      <c r="B1430" s="1" t="n">
        <v>44827</v>
      </c>
      <c r="C1430" s="1" t="n">
        <v>45633</v>
      </c>
      <c r="D1430" t="inlineStr">
        <is>
          <t>VÄSTERBOTTENS LÄN</t>
        </is>
      </c>
      <c r="E1430" t="inlineStr">
        <is>
          <t>SKELLEFTEÅ</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41802-2022</t>
        </is>
      </c>
      <c r="B1431" s="1" t="n">
        <v>44827</v>
      </c>
      <c r="C1431" s="1" t="n">
        <v>45633</v>
      </c>
      <c r="D1431" t="inlineStr">
        <is>
          <t>VÄSTERBOTTENS LÄN</t>
        </is>
      </c>
      <c r="E1431" t="inlineStr">
        <is>
          <t>SKELLEFTEÅ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41803-2022</t>
        </is>
      </c>
      <c r="B1432" s="1" t="n">
        <v>44828</v>
      </c>
      <c r="C1432" s="1" t="n">
        <v>45633</v>
      </c>
      <c r="D1432" t="inlineStr">
        <is>
          <t>VÄSTERBOTTENS LÄN</t>
        </is>
      </c>
      <c r="E1432" t="inlineStr">
        <is>
          <t>SKELLEFTEÅ</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41801-2022</t>
        </is>
      </c>
      <c r="B1433" s="1" t="n">
        <v>44828</v>
      </c>
      <c r="C1433" s="1" t="n">
        <v>45633</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42357-2022</t>
        </is>
      </c>
      <c r="B1434" s="1" t="n">
        <v>44827</v>
      </c>
      <c r="C1434" s="1" t="n">
        <v>45633</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42348-2022</t>
        </is>
      </c>
      <c r="B1435" s="1" t="n">
        <v>44827</v>
      </c>
      <c r="C1435" s="1" t="n">
        <v>45633</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42109-2022</t>
        </is>
      </c>
      <c r="B1436" s="1" t="n">
        <v>44827</v>
      </c>
      <c r="C1436" s="1" t="n">
        <v>45633</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42099-2022</t>
        </is>
      </c>
      <c r="B1437" s="1" t="n">
        <v>44827</v>
      </c>
      <c r="C1437" s="1" t="n">
        <v>45633</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41889-2022</t>
        </is>
      </c>
      <c r="B1438" s="1" t="n">
        <v>44830</v>
      </c>
      <c r="C1438" s="1" t="n">
        <v>45633</v>
      </c>
      <c r="D1438" t="inlineStr">
        <is>
          <t>VÄSTERBOTTENS LÄN</t>
        </is>
      </c>
      <c r="E1438" t="inlineStr">
        <is>
          <t>SKELLEFTEÅ</t>
        </is>
      </c>
      <c r="G1438" t="n">
        <v>15.3</v>
      </c>
      <c r="H1438" t="n">
        <v>0</v>
      </c>
      <c r="I1438" t="n">
        <v>0</v>
      </c>
      <c r="J1438" t="n">
        <v>0</v>
      </c>
      <c r="K1438" t="n">
        <v>0</v>
      </c>
      <c r="L1438" t="n">
        <v>0</v>
      </c>
      <c r="M1438" t="n">
        <v>0</v>
      </c>
      <c r="N1438" t="n">
        <v>0</v>
      </c>
      <c r="O1438" t="n">
        <v>0</v>
      </c>
      <c r="P1438" t="n">
        <v>0</v>
      </c>
      <c r="Q1438" t="n">
        <v>0</v>
      </c>
      <c r="R1438" s="2" t="inlineStr"/>
    </row>
    <row r="1439" ht="15" customHeight="1">
      <c r="A1439" t="inlineStr">
        <is>
          <t>A 41956-2022</t>
        </is>
      </c>
      <c r="B1439" s="1" t="n">
        <v>44830</v>
      </c>
      <c r="C1439" s="1" t="n">
        <v>45633</v>
      </c>
      <c r="D1439" t="inlineStr">
        <is>
          <t>VÄSTERBOTTENS LÄN</t>
        </is>
      </c>
      <c r="E1439" t="inlineStr">
        <is>
          <t>SKELLEFTEÅ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41883-2022</t>
        </is>
      </c>
      <c r="B1440" s="1" t="n">
        <v>44830</v>
      </c>
      <c r="C1440" s="1" t="n">
        <v>45633</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42255-2022</t>
        </is>
      </c>
      <c r="B1441" s="1" t="n">
        <v>44830</v>
      </c>
      <c r="C1441" s="1" t="n">
        <v>45633</v>
      </c>
      <c r="D1441" t="inlineStr">
        <is>
          <t>VÄSTERBOTTENS LÄN</t>
        </is>
      </c>
      <c r="E1441" t="inlineStr">
        <is>
          <t>SKELLEFTEÅ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42260-2022</t>
        </is>
      </c>
      <c r="B1442" s="1" t="n">
        <v>44830</v>
      </c>
      <c r="C1442" s="1" t="n">
        <v>45633</v>
      </c>
      <c r="D1442" t="inlineStr">
        <is>
          <t>VÄSTERBOTTENS LÄN</t>
        </is>
      </c>
      <c r="E1442" t="inlineStr">
        <is>
          <t>SKELLEFTEÅ</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45633</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42798-2022</t>
        </is>
      </c>
      <c r="B1444" s="1" t="n">
        <v>44832</v>
      </c>
      <c r="C1444" s="1" t="n">
        <v>45633</v>
      </c>
      <c r="D1444" t="inlineStr">
        <is>
          <t>VÄSTERBOTTENS LÄN</t>
        </is>
      </c>
      <c r="E1444" t="inlineStr">
        <is>
          <t>SKELLEFTEÅ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42808-2022</t>
        </is>
      </c>
      <c r="B1445" s="1" t="n">
        <v>44832</v>
      </c>
      <c r="C1445" s="1" t="n">
        <v>45633</v>
      </c>
      <c r="D1445" t="inlineStr">
        <is>
          <t>VÄSTERBOTTENS LÄN</t>
        </is>
      </c>
      <c r="E1445" t="inlineStr">
        <is>
          <t>SKELLEFTEÅ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42946-2022</t>
        </is>
      </c>
      <c r="B1446" s="1" t="n">
        <v>44833</v>
      </c>
      <c r="C1446" s="1" t="n">
        <v>45633</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43069-2022</t>
        </is>
      </c>
      <c r="B1447" s="1" t="n">
        <v>44833</v>
      </c>
      <c r="C1447" s="1" t="n">
        <v>45633</v>
      </c>
      <c r="D1447" t="inlineStr">
        <is>
          <t>VÄSTERBOTTENS LÄN</t>
        </is>
      </c>
      <c r="E1447" t="inlineStr">
        <is>
          <t>SKELLEFTEÅ</t>
        </is>
      </c>
      <c r="F1447" t="inlineStr">
        <is>
          <t>Sveaskog</t>
        </is>
      </c>
      <c r="G1447" t="n">
        <v>19.6</v>
      </c>
      <c r="H1447" t="n">
        <v>0</v>
      </c>
      <c r="I1447" t="n">
        <v>0</v>
      </c>
      <c r="J1447" t="n">
        <v>0</v>
      </c>
      <c r="K1447" t="n">
        <v>0</v>
      </c>
      <c r="L1447" t="n">
        <v>0</v>
      </c>
      <c r="M1447" t="n">
        <v>0</v>
      </c>
      <c r="N1447" t="n">
        <v>0</v>
      </c>
      <c r="O1447" t="n">
        <v>0</v>
      </c>
      <c r="P1447" t="n">
        <v>0</v>
      </c>
      <c r="Q1447" t="n">
        <v>0</v>
      </c>
      <c r="R1447" s="2" t="inlineStr"/>
    </row>
    <row r="1448" ht="15" customHeight="1">
      <c r="A1448" t="inlineStr">
        <is>
          <t>A 43078-2022</t>
        </is>
      </c>
      <c r="B1448" s="1" t="n">
        <v>44833</v>
      </c>
      <c r="C1448" s="1" t="n">
        <v>45633</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43515-2022</t>
        </is>
      </c>
      <c r="B1449" s="1" t="n">
        <v>44837</v>
      </c>
      <c r="C1449" s="1" t="n">
        <v>45633</v>
      </c>
      <c r="D1449" t="inlineStr">
        <is>
          <t>VÄSTERBOTTENS LÄN</t>
        </is>
      </c>
      <c r="E1449" t="inlineStr">
        <is>
          <t>SKELLEFTEÅ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43544-2022</t>
        </is>
      </c>
      <c r="B1450" s="1" t="n">
        <v>44837</v>
      </c>
      <c r="C1450" s="1" t="n">
        <v>45633</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43763-2022</t>
        </is>
      </c>
      <c r="B1451" s="1" t="n">
        <v>44838</v>
      </c>
      <c r="C1451" s="1" t="n">
        <v>45633</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43917-2022</t>
        </is>
      </c>
      <c r="B1452" s="1" t="n">
        <v>44838</v>
      </c>
      <c r="C1452" s="1" t="n">
        <v>45633</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44621-2022</t>
        </is>
      </c>
      <c r="B1453" s="1" t="n">
        <v>44838</v>
      </c>
      <c r="C1453" s="1" t="n">
        <v>45633</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44397-2022</t>
        </is>
      </c>
      <c r="B1454" s="1" t="n">
        <v>44839</v>
      </c>
      <c r="C1454" s="1" t="n">
        <v>45633</v>
      </c>
      <c r="D1454" t="inlineStr">
        <is>
          <t>VÄSTERBOTTENS LÄN</t>
        </is>
      </c>
      <c r="E1454" t="inlineStr">
        <is>
          <t>SKELLEFTEÅ</t>
        </is>
      </c>
      <c r="F1454" t="inlineStr">
        <is>
          <t>Sveaskog</t>
        </is>
      </c>
      <c r="G1454" t="n">
        <v>31.1</v>
      </c>
      <c r="H1454" t="n">
        <v>0</v>
      </c>
      <c r="I1454" t="n">
        <v>0</v>
      </c>
      <c r="J1454" t="n">
        <v>0</v>
      </c>
      <c r="K1454" t="n">
        <v>0</v>
      </c>
      <c r="L1454" t="n">
        <v>0</v>
      </c>
      <c r="M1454" t="n">
        <v>0</v>
      </c>
      <c r="N1454" t="n">
        <v>0</v>
      </c>
      <c r="O1454" t="n">
        <v>0</v>
      </c>
      <c r="P1454" t="n">
        <v>0</v>
      </c>
      <c r="Q1454" t="n">
        <v>0</v>
      </c>
      <c r="R1454" s="2" t="inlineStr"/>
    </row>
    <row r="1455" ht="15" customHeight="1">
      <c r="A1455" t="inlineStr">
        <is>
          <t>A 44398-2022</t>
        </is>
      </c>
      <c r="B1455" s="1" t="n">
        <v>44839</v>
      </c>
      <c r="C1455" s="1" t="n">
        <v>45633</v>
      </c>
      <c r="D1455" t="inlineStr">
        <is>
          <t>VÄSTERBOTTENS LÄN</t>
        </is>
      </c>
      <c r="E1455" t="inlineStr">
        <is>
          <t>SKELLEFTEÅ</t>
        </is>
      </c>
      <c r="F1455" t="inlineStr">
        <is>
          <t>Sveaskog</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44616-2022</t>
        </is>
      </c>
      <c r="B1456" s="1" t="n">
        <v>44839</v>
      </c>
      <c r="C1456" s="1" t="n">
        <v>45633</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44959-2022</t>
        </is>
      </c>
      <c r="B1457" s="1" t="n">
        <v>44839</v>
      </c>
      <c r="C1457" s="1" t="n">
        <v>45633</v>
      </c>
      <c r="D1457" t="inlineStr">
        <is>
          <t>VÄSTERBOTTENS LÄN</t>
        </is>
      </c>
      <c r="E1457" t="inlineStr">
        <is>
          <t>SKELLEFTEÅ</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44724-2022</t>
        </is>
      </c>
      <c r="B1458" s="1" t="n">
        <v>44840</v>
      </c>
      <c r="C1458" s="1" t="n">
        <v>45633</v>
      </c>
      <c r="D1458" t="inlineStr">
        <is>
          <t>VÄSTERBOTTENS LÄN</t>
        </is>
      </c>
      <c r="E1458" t="inlineStr">
        <is>
          <t>SKELLEFTEÅ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44722-2022</t>
        </is>
      </c>
      <c r="B1459" s="1" t="n">
        <v>44840</v>
      </c>
      <c r="C1459" s="1" t="n">
        <v>45633</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45011-2022</t>
        </is>
      </c>
      <c r="B1460" s="1" t="n">
        <v>44840</v>
      </c>
      <c r="C1460" s="1" t="n">
        <v>45633</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45266-2022</t>
        </is>
      </c>
      <c r="B1461" s="1" t="n">
        <v>44844</v>
      </c>
      <c r="C1461" s="1" t="n">
        <v>45633</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45250-2022</t>
        </is>
      </c>
      <c r="B1462" s="1" t="n">
        <v>44844</v>
      </c>
      <c r="C1462" s="1" t="n">
        <v>45633</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45985-2022</t>
        </is>
      </c>
      <c r="B1463" s="1" t="n">
        <v>44844</v>
      </c>
      <c r="C1463" s="1" t="n">
        <v>45633</v>
      </c>
      <c r="D1463" t="inlineStr">
        <is>
          <t>VÄSTERBOTTENS LÄN</t>
        </is>
      </c>
      <c r="E1463" t="inlineStr">
        <is>
          <t>SKELLEFTEÅ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45890-2022</t>
        </is>
      </c>
      <c r="B1464" s="1" t="n">
        <v>44844</v>
      </c>
      <c r="C1464" s="1" t="n">
        <v>45633</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45495-2022</t>
        </is>
      </c>
      <c r="B1465" s="1" t="n">
        <v>44845</v>
      </c>
      <c r="C1465" s="1" t="n">
        <v>45633</v>
      </c>
      <c r="D1465" t="inlineStr">
        <is>
          <t>VÄSTERBOTTENS LÄN</t>
        </is>
      </c>
      <c r="E1465" t="inlineStr">
        <is>
          <t>SKELLEFTEÅ</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45554-2022</t>
        </is>
      </c>
      <c r="B1466" s="1" t="n">
        <v>44845</v>
      </c>
      <c r="C1466" s="1" t="n">
        <v>45633</v>
      </c>
      <c r="D1466" t="inlineStr">
        <is>
          <t>VÄSTERBOTTENS LÄN</t>
        </is>
      </c>
      <c r="E1466" t="inlineStr">
        <is>
          <t>SKELLEFTEÅ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45619-2022</t>
        </is>
      </c>
      <c r="B1467" s="1" t="n">
        <v>44845</v>
      </c>
      <c r="C1467" s="1" t="n">
        <v>45633</v>
      </c>
      <c r="D1467" t="inlineStr">
        <is>
          <t>VÄSTERBOTTENS LÄN</t>
        </is>
      </c>
      <c r="E1467" t="inlineStr">
        <is>
          <t>SKELLEFTEÅ</t>
        </is>
      </c>
      <c r="F1467" t="inlineStr">
        <is>
          <t>Holmen skog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46181-2022</t>
        </is>
      </c>
      <c r="B1468" s="1" t="n">
        <v>44845</v>
      </c>
      <c r="C1468" s="1" t="n">
        <v>45633</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46218-2022</t>
        </is>
      </c>
      <c r="B1469" s="1" t="n">
        <v>44845</v>
      </c>
      <c r="C1469" s="1" t="n">
        <v>45633</v>
      </c>
      <c r="D1469" t="inlineStr">
        <is>
          <t>VÄSTERBOTTENS LÄN</t>
        </is>
      </c>
      <c r="E1469" t="inlineStr">
        <is>
          <t>SKELLEFTEÅ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45748-2022</t>
        </is>
      </c>
      <c r="B1470" s="1" t="n">
        <v>44846</v>
      </c>
      <c r="C1470" s="1" t="n">
        <v>45633</v>
      </c>
      <c r="D1470" t="inlineStr">
        <is>
          <t>VÄSTERBOTTENS LÄN</t>
        </is>
      </c>
      <c r="E1470" t="inlineStr">
        <is>
          <t>SKELLEFTEÅ</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46233-2022</t>
        </is>
      </c>
      <c r="B1471" s="1" t="n">
        <v>44847</v>
      </c>
      <c r="C1471" s="1" t="n">
        <v>45633</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46216-2022</t>
        </is>
      </c>
      <c r="B1472" s="1" t="n">
        <v>44847</v>
      </c>
      <c r="C1472" s="1" t="n">
        <v>45633</v>
      </c>
      <c r="D1472" t="inlineStr">
        <is>
          <t>VÄSTERBOTTENS LÄN</t>
        </is>
      </c>
      <c r="E1472" t="inlineStr">
        <is>
          <t>SKELLEFTEÅ</t>
        </is>
      </c>
      <c r="F1472" t="inlineStr">
        <is>
          <t>Holmen skog AB</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46409-2022</t>
        </is>
      </c>
      <c r="B1473" s="1" t="n">
        <v>44848</v>
      </c>
      <c r="C1473" s="1" t="n">
        <v>45633</v>
      </c>
      <c r="D1473" t="inlineStr">
        <is>
          <t>VÄSTERBOTTENS LÄN</t>
        </is>
      </c>
      <c r="E1473" t="inlineStr">
        <is>
          <t>SKELLEFTEÅ</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46445-2022</t>
        </is>
      </c>
      <c r="B1474" s="1" t="n">
        <v>44848</v>
      </c>
      <c r="C1474" s="1" t="n">
        <v>45633</v>
      </c>
      <c r="D1474" t="inlineStr">
        <is>
          <t>VÄSTERBOTTENS LÄN</t>
        </is>
      </c>
      <c r="E1474" t="inlineStr">
        <is>
          <t>SKELLEFTEÅ</t>
        </is>
      </c>
      <c r="F1474" t="inlineStr">
        <is>
          <t>Holmen skog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46868-2022</t>
        </is>
      </c>
      <c r="B1475" s="1" t="n">
        <v>44848</v>
      </c>
      <c r="C1475" s="1" t="n">
        <v>45633</v>
      </c>
      <c r="D1475" t="inlineStr">
        <is>
          <t>VÄSTERBOTTENS LÄN</t>
        </is>
      </c>
      <c r="E1475" t="inlineStr">
        <is>
          <t>SKELLEFTEÅ</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47637-2022</t>
        </is>
      </c>
      <c r="B1476" s="1" t="n">
        <v>44852</v>
      </c>
      <c r="C1476" s="1" t="n">
        <v>45633</v>
      </c>
      <c r="D1476" t="inlineStr">
        <is>
          <t>VÄSTERBOTTENS LÄN</t>
        </is>
      </c>
      <c r="E1476" t="inlineStr">
        <is>
          <t>SKELLEFTEÅ</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47500-2022</t>
        </is>
      </c>
      <c r="B1477" s="1" t="n">
        <v>44852</v>
      </c>
      <c r="C1477" s="1" t="n">
        <v>45633</v>
      </c>
      <c r="D1477" t="inlineStr">
        <is>
          <t>VÄSTERBOTTENS LÄN</t>
        </is>
      </c>
      <c r="E1477" t="inlineStr">
        <is>
          <t>SKELLEFTEÅ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47410-2022</t>
        </is>
      </c>
      <c r="B1478" s="1" t="n">
        <v>44853</v>
      </c>
      <c r="C1478" s="1" t="n">
        <v>45633</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47548-2022</t>
        </is>
      </c>
      <c r="B1479" s="1" t="n">
        <v>44854</v>
      </c>
      <c r="C1479" s="1" t="n">
        <v>45633</v>
      </c>
      <c r="D1479" t="inlineStr">
        <is>
          <t>VÄSTERBOTTENS LÄN</t>
        </is>
      </c>
      <c r="E1479" t="inlineStr">
        <is>
          <t>SKELLEFTEÅ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47554-2022</t>
        </is>
      </c>
      <c r="B1480" s="1" t="n">
        <v>44854</v>
      </c>
      <c r="C1480" s="1" t="n">
        <v>45633</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47988-2022</t>
        </is>
      </c>
      <c r="B1481" s="1" t="n">
        <v>44853</v>
      </c>
      <c r="C1481" s="1" t="n">
        <v>45633</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47984-2022</t>
        </is>
      </c>
      <c r="B1482" s="1" t="n">
        <v>44853</v>
      </c>
      <c r="C1482" s="1" t="n">
        <v>45633</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47991-2022</t>
        </is>
      </c>
      <c r="B1483" s="1" t="n">
        <v>44853</v>
      </c>
      <c r="C1483" s="1" t="n">
        <v>45633</v>
      </c>
      <c r="D1483" t="inlineStr">
        <is>
          <t>VÄSTERBOTTENS LÄN</t>
        </is>
      </c>
      <c r="E1483" t="inlineStr">
        <is>
          <t>SKELLEFTEÅ</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47696-2022</t>
        </is>
      </c>
      <c r="B1484" s="1" t="n">
        <v>44854</v>
      </c>
      <c r="C1484" s="1" t="n">
        <v>45633</v>
      </c>
      <c r="D1484" t="inlineStr">
        <is>
          <t>VÄSTERBOTTENS LÄN</t>
        </is>
      </c>
      <c r="E1484" t="inlineStr">
        <is>
          <t>SKELLEFTEÅ</t>
        </is>
      </c>
      <c r="F1484" t="inlineStr">
        <is>
          <t>Holmen skog AB</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48011-2022</t>
        </is>
      </c>
      <c r="B1485" s="1" t="n">
        <v>44855</v>
      </c>
      <c r="C1485" s="1" t="n">
        <v>45633</v>
      </c>
      <c r="D1485" t="inlineStr">
        <is>
          <t>VÄSTERBOTTENS LÄN</t>
        </is>
      </c>
      <c r="E1485" t="inlineStr">
        <is>
          <t>SKELLEFTEÅ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48082-2022</t>
        </is>
      </c>
      <c r="B1486" s="1" t="n">
        <v>44856</v>
      </c>
      <c r="C1486" s="1" t="n">
        <v>45633</v>
      </c>
      <c r="D1486" t="inlineStr">
        <is>
          <t>VÄSTERBOTTENS LÄN</t>
        </is>
      </c>
      <c r="E1486" t="inlineStr">
        <is>
          <t>SKELLEFTEÅ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48722-2022</t>
        </is>
      </c>
      <c r="B1487" s="1" t="n">
        <v>44855</v>
      </c>
      <c r="C1487" s="1" t="n">
        <v>45633</v>
      </c>
      <c r="D1487" t="inlineStr">
        <is>
          <t>VÄSTERBOTTENS LÄN</t>
        </is>
      </c>
      <c r="E1487" t="inlineStr">
        <is>
          <t>SKELLEFTEÅ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48125-2022</t>
        </is>
      </c>
      <c r="B1488" s="1" t="n">
        <v>44857</v>
      </c>
      <c r="C1488" s="1" t="n">
        <v>45633</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48133-2022</t>
        </is>
      </c>
      <c r="B1489" s="1" t="n">
        <v>44857</v>
      </c>
      <c r="C1489" s="1" t="n">
        <v>45633</v>
      </c>
      <c r="D1489" t="inlineStr">
        <is>
          <t>VÄSTERBOTTENS LÄN</t>
        </is>
      </c>
      <c r="E1489" t="inlineStr">
        <is>
          <t>SKELLEFTEÅ</t>
        </is>
      </c>
      <c r="F1489" t="inlineStr">
        <is>
          <t>Sveaskog</t>
        </is>
      </c>
      <c r="G1489" t="n">
        <v>18.3</v>
      </c>
      <c r="H1489" t="n">
        <v>0</v>
      </c>
      <c r="I1489" t="n">
        <v>0</v>
      </c>
      <c r="J1489" t="n">
        <v>0</v>
      </c>
      <c r="K1489" t="n">
        <v>0</v>
      </c>
      <c r="L1489" t="n">
        <v>0</v>
      </c>
      <c r="M1489" t="n">
        <v>0</v>
      </c>
      <c r="N1489" t="n">
        <v>0</v>
      </c>
      <c r="O1489" t="n">
        <v>0</v>
      </c>
      <c r="P1489" t="n">
        <v>0</v>
      </c>
      <c r="Q1489" t="n">
        <v>0</v>
      </c>
      <c r="R1489" s="2" t="inlineStr"/>
    </row>
    <row r="1490" ht="15" customHeight="1">
      <c r="A1490" t="inlineStr">
        <is>
          <t>A 49241-2022</t>
        </is>
      </c>
      <c r="B1490" s="1" t="n">
        <v>44858</v>
      </c>
      <c r="C1490" s="1" t="n">
        <v>45633</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49992-2022</t>
        </is>
      </c>
      <c r="B1491" s="1" t="n">
        <v>44860</v>
      </c>
      <c r="C1491" s="1" t="n">
        <v>45633</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49246-2022</t>
        </is>
      </c>
      <c r="B1492" s="1" t="n">
        <v>44861</v>
      </c>
      <c r="C1492" s="1" t="n">
        <v>45633</v>
      </c>
      <c r="D1492" t="inlineStr">
        <is>
          <t>VÄSTERBOTTENS LÄN</t>
        </is>
      </c>
      <c r="E1492" t="inlineStr">
        <is>
          <t>SKELLEFTEÅ</t>
        </is>
      </c>
      <c r="F1492" t="inlineStr">
        <is>
          <t>Holmen skog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49328-2022</t>
        </is>
      </c>
      <c r="B1493" s="1" t="n">
        <v>44861</v>
      </c>
      <c r="C1493" s="1" t="n">
        <v>45633</v>
      </c>
      <c r="D1493" t="inlineStr">
        <is>
          <t>VÄSTERBOTTENS LÄN</t>
        </is>
      </c>
      <c r="E1493" t="inlineStr">
        <is>
          <t>SKELLEFTEÅ</t>
        </is>
      </c>
      <c r="F1493" t="inlineStr">
        <is>
          <t>Holmen skog AB</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49382-2022</t>
        </is>
      </c>
      <c r="B1494" s="1" t="n">
        <v>44861</v>
      </c>
      <c r="C1494" s="1" t="n">
        <v>45633</v>
      </c>
      <c r="D1494" t="inlineStr">
        <is>
          <t>VÄSTERBOTTENS LÄN</t>
        </is>
      </c>
      <c r="E1494" t="inlineStr">
        <is>
          <t>SKELLEFTEÅ</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49277-2022</t>
        </is>
      </c>
      <c r="B1495" s="1" t="n">
        <v>44861</v>
      </c>
      <c r="C1495" s="1" t="n">
        <v>45633</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49757-2022</t>
        </is>
      </c>
      <c r="B1496" s="1" t="n">
        <v>44862</v>
      </c>
      <c r="C1496" s="1" t="n">
        <v>45633</v>
      </c>
      <c r="D1496" t="inlineStr">
        <is>
          <t>VÄSTERBOTTENS LÄN</t>
        </is>
      </c>
      <c r="E1496" t="inlineStr">
        <is>
          <t>SKELLEFTEÅ</t>
        </is>
      </c>
      <c r="F1496" t="inlineStr">
        <is>
          <t>Holmen skog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49749-2022</t>
        </is>
      </c>
      <c r="B1497" s="1" t="n">
        <v>44862</v>
      </c>
      <c r="C1497" s="1" t="n">
        <v>45633</v>
      </c>
      <c r="D1497" t="inlineStr">
        <is>
          <t>VÄSTERBOTTENS LÄN</t>
        </is>
      </c>
      <c r="E1497" t="inlineStr">
        <is>
          <t>SKELLEFTEÅ</t>
        </is>
      </c>
      <c r="F1497" t="inlineStr">
        <is>
          <t>Holmen skog AB</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49876-2022</t>
        </is>
      </c>
      <c r="B1498" s="1" t="n">
        <v>44864</v>
      </c>
      <c r="C1498" s="1" t="n">
        <v>45633</v>
      </c>
      <c r="D1498" t="inlineStr">
        <is>
          <t>VÄSTERBOTTENS LÄN</t>
        </is>
      </c>
      <c r="E1498" t="inlineStr">
        <is>
          <t>SKELLEFTEÅ</t>
        </is>
      </c>
      <c r="F1498" t="inlineStr">
        <is>
          <t>SCA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49875-2022</t>
        </is>
      </c>
      <c r="B1499" s="1" t="n">
        <v>44864</v>
      </c>
      <c r="C1499" s="1" t="n">
        <v>45633</v>
      </c>
      <c r="D1499" t="inlineStr">
        <is>
          <t>VÄSTERBOTTENS LÄN</t>
        </is>
      </c>
      <c r="E1499" t="inlineStr">
        <is>
          <t>SKELLEFTEÅ</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49906-2022</t>
        </is>
      </c>
      <c r="B1500" s="1" t="n">
        <v>44864</v>
      </c>
      <c r="C1500" s="1" t="n">
        <v>45633</v>
      </c>
      <c r="D1500" t="inlineStr">
        <is>
          <t>VÄSTERBOTTENS LÄN</t>
        </is>
      </c>
      <c r="E1500" t="inlineStr">
        <is>
          <t>SKELLEFTEÅ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49908-2022</t>
        </is>
      </c>
      <c r="B1501" s="1" t="n">
        <v>44864</v>
      </c>
      <c r="C1501" s="1" t="n">
        <v>45633</v>
      </c>
      <c r="D1501" t="inlineStr">
        <is>
          <t>VÄSTERBOTTENS LÄN</t>
        </is>
      </c>
      <c r="E1501" t="inlineStr">
        <is>
          <t>SKELLEFTEÅ</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49905-2022</t>
        </is>
      </c>
      <c r="B1502" s="1" t="n">
        <v>44864</v>
      </c>
      <c r="C1502" s="1" t="n">
        <v>45633</v>
      </c>
      <c r="D1502" t="inlineStr">
        <is>
          <t>VÄSTERBOTTENS LÄN</t>
        </is>
      </c>
      <c r="E1502" t="inlineStr">
        <is>
          <t>SKELLEFTEÅ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49907-2022</t>
        </is>
      </c>
      <c r="B1503" s="1" t="n">
        <v>44864</v>
      </c>
      <c r="C1503" s="1" t="n">
        <v>45633</v>
      </c>
      <c r="D1503" t="inlineStr">
        <is>
          <t>VÄSTERBOTTENS LÄN</t>
        </is>
      </c>
      <c r="E1503" t="inlineStr">
        <is>
          <t>SKELLEFTEÅ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50055-2022</t>
        </is>
      </c>
      <c r="B1504" s="1" t="n">
        <v>44865</v>
      </c>
      <c r="C1504" s="1" t="n">
        <v>45633</v>
      </c>
      <c r="D1504" t="inlineStr">
        <is>
          <t>VÄSTERBOTTENS LÄN</t>
        </is>
      </c>
      <c r="E1504" t="inlineStr">
        <is>
          <t>SKELLEFTEÅ</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49961-2022</t>
        </is>
      </c>
      <c r="B1505" s="1" t="n">
        <v>44865</v>
      </c>
      <c r="C1505" s="1" t="n">
        <v>45633</v>
      </c>
      <c r="D1505" t="inlineStr">
        <is>
          <t>VÄSTERBOTTENS LÄN</t>
        </is>
      </c>
      <c r="E1505" t="inlineStr">
        <is>
          <t>SKELLEFTEÅ</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50371-2022</t>
        </is>
      </c>
      <c r="B1506" s="1" t="n">
        <v>44866</v>
      </c>
      <c r="C1506" s="1" t="n">
        <v>45633</v>
      </c>
      <c r="D1506" t="inlineStr">
        <is>
          <t>VÄSTERBOTTENS LÄN</t>
        </is>
      </c>
      <c r="E1506" t="inlineStr">
        <is>
          <t>SKELLEFTEÅ</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50366-2022</t>
        </is>
      </c>
      <c r="B1507" s="1" t="n">
        <v>44866</v>
      </c>
      <c r="C1507" s="1" t="n">
        <v>45633</v>
      </c>
      <c r="D1507" t="inlineStr">
        <is>
          <t>VÄSTERBOTTENS LÄN</t>
        </is>
      </c>
      <c r="E1507" t="inlineStr">
        <is>
          <t>SKELLEFTEÅ</t>
        </is>
      </c>
      <c r="F1507" t="inlineStr">
        <is>
          <t>Holmen skog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50529-2022</t>
        </is>
      </c>
      <c r="B1508" s="1" t="n">
        <v>44866</v>
      </c>
      <c r="C1508" s="1" t="n">
        <v>45633</v>
      </c>
      <c r="D1508" t="inlineStr">
        <is>
          <t>VÄSTERBOTTENS LÄN</t>
        </is>
      </c>
      <c r="E1508" t="inlineStr">
        <is>
          <t>SKELLEFTEÅ</t>
        </is>
      </c>
      <c r="F1508" t="inlineStr">
        <is>
          <t>Holmen skog AB</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50409-2022</t>
        </is>
      </c>
      <c r="B1509" s="1" t="n">
        <v>44866</v>
      </c>
      <c r="C1509" s="1" t="n">
        <v>45633</v>
      </c>
      <c r="D1509" t="inlineStr">
        <is>
          <t>VÄSTERBOTTENS LÄN</t>
        </is>
      </c>
      <c r="E1509" t="inlineStr">
        <is>
          <t>SKELLEFTEÅ</t>
        </is>
      </c>
      <c r="F1509" t="inlineStr">
        <is>
          <t>Holmen skog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50538-2022</t>
        </is>
      </c>
      <c r="B1510" s="1" t="n">
        <v>44866</v>
      </c>
      <c r="C1510" s="1" t="n">
        <v>45633</v>
      </c>
      <c r="D1510" t="inlineStr">
        <is>
          <t>VÄSTERBOTTENS LÄN</t>
        </is>
      </c>
      <c r="E1510" t="inlineStr">
        <is>
          <t>SKELLEFTEÅ</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50549-2022</t>
        </is>
      </c>
      <c r="B1511" s="1" t="n">
        <v>44866</v>
      </c>
      <c r="C1511" s="1" t="n">
        <v>45633</v>
      </c>
      <c r="D1511" t="inlineStr">
        <is>
          <t>VÄSTERBOTTENS LÄN</t>
        </is>
      </c>
      <c r="E1511" t="inlineStr">
        <is>
          <t>SKELLEFTEÅ</t>
        </is>
      </c>
      <c r="F1511" t="inlineStr">
        <is>
          <t>Kommuner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50531-2022</t>
        </is>
      </c>
      <c r="B1512" s="1" t="n">
        <v>44866</v>
      </c>
      <c r="C1512" s="1" t="n">
        <v>45633</v>
      </c>
      <c r="D1512" t="inlineStr">
        <is>
          <t>VÄSTERBOTTENS LÄN</t>
        </is>
      </c>
      <c r="E1512" t="inlineStr">
        <is>
          <t>SKELLEFTEÅ</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50554-2022</t>
        </is>
      </c>
      <c r="B1513" s="1" t="n">
        <v>44866</v>
      </c>
      <c r="C1513" s="1" t="n">
        <v>45633</v>
      </c>
      <c r="D1513" t="inlineStr">
        <is>
          <t>VÄSTERBOTTENS LÄN</t>
        </is>
      </c>
      <c r="E1513" t="inlineStr">
        <is>
          <t>SKELLEFTEÅ</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50872-2022</t>
        </is>
      </c>
      <c r="B1514" s="1" t="n">
        <v>44867</v>
      </c>
      <c r="C1514" s="1" t="n">
        <v>45633</v>
      </c>
      <c r="D1514" t="inlineStr">
        <is>
          <t>VÄSTERBOTTENS LÄN</t>
        </is>
      </c>
      <c r="E1514" t="inlineStr">
        <is>
          <t>SKELLEFTEÅ</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50838-2022</t>
        </is>
      </c>
      <c r="B1515" s="1" t="n">
        <v>44867</v>
      </c>
      <c r="C1515" s="1" t="n">
        <v>45633</v>
      </c>
      <c r="D1515" t="inlineStr">
        <is>
          <t>VÄSTERBOTTENS LÄN</t>
        </is>
      </c>
      <c r="E1515" t="inlineStr">
        <is>
          <t>SKELLEFTEÅ</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51222-2022</t>
        </is>
      </c>
      <c r="B1516" s="1" t="n">
        <v>44868</v>
      </c>
      <c r="C1516" s="1" t="n">
        <v>45633</v>
      </c>
      <c r="D1516" t="inlineStr">
        <is>
          <t>VÄSTERBOTTENS LÄN</t>
        </is>
      </c>
      <c r="E1516" t="inlineStr">
        <is>
          <t>SKELLEFTEÅ</t>
        </is>
      </c>
      <c r="F1516" t="inlineStr">
        <is>
          <t>Holmen skog AB</t>
        </is>
      </c>
      <c r="G1516" t="n">
        <v>16.4</v>
      </c>
      <c r="H1516" t="n">
        <v>0</v>
      </c>
      <c r="I1516" t="n">
        <v>0</v>
      </c>
      <c r="J1516" t="n">
        <v>0</v>
      </c>
      <c r="K1516" t="n">
        <v>0</v>
      </c>
      <c r="L1516" t="n">
        <v>0</v>
      </c>
      <c r="M1516" t="n">
        <v>0</v>
      </c>
      <c r="N1516" t="n">
        <v>0</v>
      </c>
      <c r="O1516" t="n">
        <v>0</v>
      </c>
      <c r="P1516" t="n">
        <v>0</v>
      </c>
      <c r="Q1516" t="n">
        <v>0</v>
      </c>
      <c r="R1516" s="2" t="inlineStr"/>
    </row>
    <row r="1517" ht="15" customHeight="1">
      <c r="A1517" t="inlineStr">
        <is>
          <t>A 51160-2022</t>
        </is>
      </c>
      <c r="B1517" s="1" t="n">
        <v>44868</v>
      </c>
      <c r="C1517" s="1" t="n">
        <v>45633</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51240-2022</t>
        </is>
      </c>
      <c r="B1518" s="1" t="n">
        <v>44868</v>
      </c>
      <c r="C1518" s="1" t="n">
        <v>45633</v>
      </c>
      <c r="D1518" t="inlineStr">
        <is>
          <t>VÄSTERBOTTENS LÄN</t>
        </is>
      </c>
      <c r="E1518" t="inlineStr">
        <is>
          <t>SKELLEFTEÅ</t>
        </is>
      </c>
      <c r="F1518" t="inlineStr">
        <is>
          <t>Holmen skog AB</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52129-2022</t>
        </is>
      </c>
      <c r="B1519" s="1" t="n">
        <v>44868</v>
      </c>
      <c r="C1519" s="1" t="n">
        <v>45633</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52141-2022</t>
        </is>
      </c>
      <c r="B1520" s="1" t="n">
        <v>44868</v>
      </c>
      <c r="C1520" s="1" t="n">
        <v>45633</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52148-2022</t>
        </is>
      </c>
      <c r="B1521" s="1" t="n">
        <v>44868</v>
      </c>
      <c r="C1521" s="1" t="n">
        <v>45633</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52135-2022</t>
        </is>
      </c>
      <c r="B1522" s="1" t="n">
        <v>44868</v>
      </c>
      <c r="C1522" s="1" t="n">
        <v>45633</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51486-2022</t>
        </is>
      </c>
      <c r="B1523" s="1" t="n">
        <v>44869</v>
      </c>
      <c r="C1523" s="1" t="n">
        <v>45633</v>
      </c>
      <c r="D1523" t="inlineStr">
        <is>
          <t>VÄSTERBOTTENS LÄN</t>
        </is>
      </c>
      <c r="E1523" t="inlineStr">
        <is>
          <t>SKELLEFTEÅ</t>
        </is>
      </c>
      <c r="F1523" t="inlineStr">
        <is>
          <t>Holmen skog AB</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51427-2022</t>
        </is>
      </c>
      <c r="B1524" s="1" t="n">
        <v>44869</v>
      </c>
      <c r="C1524" s="1" t="n">
        <v>45633</v>
      </c>
      <c r="D1524" t="inlineStr">
        <is>
          <t>VÄSTERBOTTENS LÄN</t>
        </is>
      </c>
      <c r="E1524" t="inlineStr">
        <is>
          <t>SKELLEFTEÅ</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51438-2022</t>
        </is>
      </c>
      <c r="B1525" s="1" t="n">
        <v>44869</v>
      </c>
      <c r="C1525" s="1" t="n">
        <v>45633</v>
      </c>
      <c r="D1525" t="inlineStr">
        <is>
          <t>VÄSTERBOTTENS LÄN</t>
        </is>
      </c>
      <c r="E1525" t="inlineStr">
        <is>
          <t>SKELLEFTEÅ</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52482-2022</t>
        </is>
      </c>
      <c r="B1526" s="1" t="n">
        <v>44869</v>
      </c>
      <c r="C1526" s="1" t="n">
        <v>45633</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52500-2022</t>
        </is>
      </c>
      <c r="B1527" s="1" t="n">
        <v>44869</v>
      </c>
      <c r="C1527" s="1" t="n">
        <v>45633</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52475-2022</t>
        </is>
      </c>
      <c r="B1528" s="1" t="n">
        <v>44869</v>
      </c>
      <c r="C1528" s="1" t="n">
        <v>45633</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52497-2022</t>
        </is>
      </c>
      <c r="B1529" s="1" t="n">
        <v>44869</v>
      </c>
      <c r="C1529" s="1" t="n">
        <v>45633</v>
      </c>
      <c r="D1529" t="inlineStr">
        <is>
          <t>VÄSTERBOTTENS LÄN</t>
        </is>
      </c>
      <c r="E1529" t="inlineStr">
        <is>
          <t>SKELLEFTEÅ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52459-2022</t>
        </is>
      </c>
      <c r="B1530" s="1" t="n">
        <v>44869</v>
      </c>
      <c r="C1530" s="1" t="n">
        <v>45633</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52492-2022</t>
        </is>
      </c>
      <c r="B1531" s="1" t="n">
        <v>44869</v>
      </c>
      <c r="C1531" s="1" t="n">
        <v>45633</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52488-2022</t>
        </is>
      </c>
      <c r="B1532" s="1" t="n">
        <v>44869</v>
      </c>
      <c r="C1532" s="1" t="n">
        <v>45633</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51919-2022</t>
        </is>
      </c>
      <c r="B1533" s="1" t="n">
        <v>44872</v>
      </c>
      <c r="C1533" s="1" t="n">
        <v>45633</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51951-2022</t>
        </is>
      </c>
      <c r="B1534" s="1" t="n">
        <v>44872</v>
      </c>
      <c r="C1534" s="1" t="n">
        <v>45633</v>
      </c>
      <c r="D1534" t="inlineStr">
        <is>
          <t>VÄSTERBOTTENS LÄN</t>
        </is>
      </c>
      <c r="E1534" t="inlineStr">
        <is>
          <t>SKELLEFTEÅ</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52009-2022</t>
        </is>
      </c>
      <c r="B1535" s="1" t="n">
        <v>44872</v>
      </c>
      <c r="C1535" s="1" t="n">
        <v>45633</v>
      </c>
      <c r="D1535" t="inlineStr">
        <is>
          <t>VÄSTERBOTTENS LÄN</t>
        </is>
      </c>
      <c r="E1535" t="inlineStr">
        <is>
          <t>SKELLEFTEÅ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51982-2022</t>
        </is>
      </c>
      <c r="B1536" s="1" t="n">
        <v>44872</v>
      </c>
      <c r="C1536" s="1" t="n">
        <v>45633</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51874-2022</t>
        </is>
      </c>
      <c r="B1537" s="1" t="n">
        <v>44872</v>
      </c>
      <c r="C1537" s="1" t="n">
        <v>45633</v>
      </c>
      <c r="D1537" t="inlineStr">
        <is>
          <t>VÄSTERBOTTENS LÄN</t>
        </is>
      </c>
      <c r="E1537" t="inlineStr">
        <is>
          <t>SKELLEFTEÅ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52864-2022</t>
        </is>
      </c>
      <c r="B1538" s="1" t="n">
        <v>44872</v>
      </c>
      <c r="C1538" s="1" t="n">
        <v>45633</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52003-2022</t>
        </is>
      </c>
      <c r="B1539" s="1" t="n">
        <v>44872</v>
      </c>
      <c r="C1539" s="1" t="n">
        <v>45633</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52817-2022</t>
        </is>
      </c>
      <c r="B1540" s="1" t="n">
        <v>44872</v>
      </c>
      <c r="C1540" s="1" t="n">
        <v>45633</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53753-2022</t>
        </is>
      </c>
      <c r="B1541" s="1" t="n">
        <v>44872</v>
      </c>
      <c r="C1541" s="1" t="n">
        <v>45633</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52871-2022</t>
        </is>
      </c>
      <c r="B1542" s="1" t="n">
        <v>44872</v>
      </c>
      <c r="C1542" s="1" t="n">
        <v>45633</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53743-2022</t>
        </is>
      </c>
      <c r="B1543" s="1" t="n">
        <v>44872</v>
      </c>
      <c r="C1543" s="1" t="n">
        <v>45633</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52855-2022</t>
        </is>
      </c>
      <c r="B1544" s="1" t="n">
        <v>44872</v>
      </c>
      <c r="C1544" s="1" t="n">
        <v>45633</v>
      </c>
      <c r="D1544" t="inlineStr">
        <is>
          <t>VÄSTERBOTTENS LÄN</t>
        </is>
      </c>
      <c r="E1544" t="inlineStr">
        <is>
          <t>SKELLEFTEÅ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52043-2022</t>
        </is>
      </c>
      <c r="B1545" s="1" t="n">
        <v>44873</v>
      </c>
      <c r="C1545" s="1" t="n">
        <v>45633</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52589-2022</t>
        </is>
      </c>
      <c r="B1546" s="1" t="n">
        <v>44874</v>
      </c>
      <c r="C1546" s="1" t="n">
        <v>45633</v>
      </c>
      <c r="D1546" t="inlineStr">
        <is>
          <t>VÄSTERBOTTENS LÄN</t>
        </is>
      </c>
      <c r="E1546" t="inlineStr">
        <is>
          <t>SKELLEFTEÅ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52548-2022</t>
        </is>
      </c>
      <c r="B1547" s="1" t="n">
        <v>44874</v>
      </c>
      <c r="C1547" s="1" t="n">
        <v>45633</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52555-2022</t>
        </is>
      </c>
      <c r="B1548" s="1" t="n">
        <v>44874</v>
      </c>
      <c r="C1548" s="1" t="n">
        <v>45633</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52835-2022</t>
        </is>
      </c>
      <c r="B1549" s="1" t="n">
        <v>44875</v>
      </c>
      <c r="C1549" s="1" t="n">
        <v>45633</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52869-2022</t>
        </is>
      </c>
      <c r="B1550" s="1" t="n">
        <v>44875</v>
      </c>
      <c r="C1550" s="1" t="n">
        <v>45633</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52986-2022</t>
        </is>
      </c>
      <c r="B1551" s="1" t="n">
        <v>44875</v>
      </c>
      <c r="C1551" s="1" t="n">
        <v>45633</v>
      </c>
      <c r="D1551" t="inlineStr">
        <is>
          <t>VÄSTERBOTTENS LÄN</t>
        </is>
      </c>
      <c r="E1551" t="inlineStr">
        <is>
          <t>SKELLEFTEÅ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52988-2022</t>
        </is>
      </c>
      <c r="B1552" s="1" t="n">
        <v>44875</v>
      </c>
      <c r="C1552" s="1" t="n">
        <v>45633</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53033-2022</t>
        </is>
      </c>
      <c r="B1553" s="1" t="n">
        <v>44876</v>
      </c>
      <c r="C1553" s="1" t="n">
        <v>45633</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53075-2022</t>
        </is>
      </c>
      <c r="B1554" s="1" t="n">
        <v>44876</v>
      </c>
      <c r="C1554" s="1" t="n">
        <v>45633</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53089-2022</t>
        </is>
      </c>
      <c r="B1555" s="1" t="n">
        <v>44876</v>
      </c>
      <c r="C1555" s="1" t="n">
        <v>45633</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53092-2022</t>
        </is>
      </c>
      <c r="B1556" s="1" t="n">
        <v>44876</v>
      </c>
      <c r="C1556" s="1" t="n">
        <v>45633</v>
      </c>
      <c r="D1556" t="inlineStr">
        <is>
          <t>VÄSTERBOTTENS LÄN</t>
        </is>
      </c>
      <c r="E1556" t="inlineStr">
        <is>
          <t>SKELLEFTEÅ</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53083-2022</t>
        </is>
      </c>
      <c r="B1557" s="1" t="n">
        <v>44876</v>
      </c>
      <c r="C1557" s="1" t="n">
        <v>45633</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53639-2022</t>
        </is>
      </c>
      <c r="B1558" s="1" t="n">
        <v>44879</v>
      </c>
      <c r="C1558" s="1" t="n">
        <v>45633</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53646-2022</t>
        </is>
      </c>
      <c r="B1559" s="1" t="n">
        <v>44879</v>
      </c>
      <c r="C1559" s="1" t="n">
        <v>45633</v>
      </c>
      <c r="D1559" t="inlineStr">
        <is>
          <t>VÄSTERBOTTENS LÄN</t>
        </is>
      </c>
      <c r="E1559" t="inlineStr">
        <is>
          <t>SKELLEFTEÅ</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53642-2022</t>
        </is>
      </c>
      <c r="B1560" s="1" t="n">
        <v>44879</v>
      </c>
      <c r="C1560" s="1" t="n">
        <v>45633</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53641-2022</t>
        </is>
      </c>
      <c r="B1561" s="1" t="n">
        <v>44879</v>
      </c>
      <c r="C1561" s="1" t="n">
        <v>45633</v>
      </c>
      <c r="D1561" t="inlineStr">
        <is>
          <t>VÄSTERBOTTENS LÄN</t>
        </is>
      </c>
      <c r="E1561" t="inlineStr">
        <is>
          <t>SKELLEFTEÅ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54316-2022</t>
        </is>
      </c>
      <c r="B1562" s="1" t="n">
        <v>44879</v>
      </c>
      <c r="C1562" s="1" t="n">
        <v>45633</v>
      </c>
      <c r="D1562" t="inlineStr">
        <is>
          <t>VÄSTERBOTTENS LÄN</t>
        </is>
      </c>
      <c r="E1562" t="inlineStr">
        <is>
          <t>SKELLEFTEÅ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54438-2022</t>
        </is>
      </c>
      <c r="B1563" s="1" t="n">
        <v>44880</v>
      </c>
      <c r="C1563" s="1" t="n">
        <v>45633</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53903-2022</t>
        </is>
      </c>
      <c r="B1564" s="1" t="n">
        <v>44880</v>
      </c>
      <c r="C1564" s="1" t="n">
        <v>45633</v>
      </c>
      <c r="D1564" t="inlineStr">
        <is>
          <t>VÄSTERBOTTENS LÄN</t>
        </is>
      </c>
      <c r="E1564" t="inlineStr">
        <is>
          <t>SKELLEFTEÅ</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54456-2022</t>
        </is>
      </c>
      <c r="B1565" s="1" t="n">
        <v>44880</v>
      </c>
      <c r="C1565" s="1" t="n">
        <v>45633</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54081-2022</t>
        </is>
      </c>
      <c r="B1566" s="1" t="n">
        <v>44881</v>
      </c>
      <c r="C1566" s="1" t="n">
        <v>45633</v>
      </c>
      <c r="D1566" t="inlineStr">
        <is>
          <t>VÄSTERBOTTENS LÄN</t>
        </is>
      </c>
      <c r="E1566" t="inlineStr">
        <is>
          <t>SKELLEFTEÅ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54825-2022</t>
        </is>
      </c>
      <c r="B1567" s="1" t="n">
        <v>44883</v>
      </c>
      <c r="C1567" s="1" t="n">
        <v>45633</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54635-2022</t>
        </is>
      </c>
      <c r="B1568" s="1" t="n">
        <v>44883</v>
      </c>
      <c r="C1568" s="1" t="n">
        <v>45633</v>
      </c>
      <c r="D1568" t="inlineStr">
        <is>
          <t>VÄSTERBOTTENS LÄN</t>
        </is>
      </c>
      <c r="E1568" t="inlineStr">
        <is>
          <t>SKELLEFTEÅ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55018-2022</t>
        </is>
      </c>
      <c r="B1569" s="1" t="n">
        <v>44886</v>
      </c>
      <c r="C1569" s="1" t="n">
        <v>45633</v>
      </c>
      <c r="D1569" t="inlineStr">
        <is>
          <t>VÄSTERBOTTENS LÄN</t>
        </is>
      </c>
      <c r="E1569" t="inlineStr">
        <is>
          <t>SKELLEFTEÅ</t>
        </is>
      </c>
      <c r="F1569" t="inlineStr">
        <is>
          <t>Holmen skog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55063-2022</t>
        </is>
      </c>
      <c r="B1570" s="1" t="n">
        <v>44886</v>
      </c>
      <c r="C1570" s="1" t="n">
        <v>45633</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55037-2022</t>
        </is>
      </c>
      <c r="B1571" s="1" t="n">
        <v>44886</v>
      </c>
      <c r="C1571" s="1" t="n">
        <v>45633</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55176-2022</t>
        </is>
      </c>
      <c r="B1572" s="1" t="n">
        <v>44886</v>
      </c>
      <c r="C1572" s="1" t="n">
        <v>45633</v>
      </c>
      <c r="D1572" t="inlineStr">
        <is>
          <t>VÄSTERBOTTENS LÄN</t>
        </is>
      </c>
      <c r="E1572" t="inlineStr">
        <is>
          <t>SKELLEFTEÅ</t>
        </is>
      </c>
      <c r="F1572" t="inlineStr">
        <is>
          <t>Sveaskog</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56313-2022</t>
        </is>
      </c>
      <c r="B1573" s="1" t="n">
        <v>44887</v>
      </c>
      <c r="C1573" s="1" t="n">
        <v>45633</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56299-2022</t>
        </is>
      </c>
      <c r="B1574" s="1" t="n">
        <v>44887</v>
      </c>
      <c r="C1574" s="1" t="n">
        <v>45633</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55611-2022</t>
        </is>
      </c>
      <c r="B1575" s="1" t="n">
        <v>44888</v>
      </c>
      <c r="C1575" s="1" t="n">
        <v>45633</v>
      </c>
      <c r="D1575" t="inlineStr">
        <is>
          <t>VÄSTERBOTTENS LÄN</t>
        </is>
      </c>
      <c r="E1575" t="inlineStr">
        <is>
          <t>SKELLEFTEÅ</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55584-2022</t>
        </is>
      </c>
      <c r="B1576" s="1" t="n">
        <v>44888</v>
      </c>
      <c r="C1576" s="1" t="n">
        <v>45633</v>
      </c>
      <c r="D1576" t="inlineStr">
        <is>
          <t>VÄSTERBOTTENS LÄN</t>
        </is>
      </c>
      <c r="E1576" t="inlineStr">
        <is>
          <t>SKELLEFTEÅ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55603-2022</t>
        </is>
      </c>
      <c r="B1577" s="1" t="n">
        <v>44888</v>
      </c>
      <c r="C1577" s="1" t="n">
        <v>45633</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55623-2022</t>
        </is>
      </c>
      <c r="B1578" s="1" t="n">
        <v>44888</v>
      </c>
      <c r="C1578" s="1" t="n">
        <v>45633</v>
      </c>
      <c r="D1578" t="inlineStr">
        <is>
          <t>VÄSTERBOTTENS LÄN</t>
        </is>
      </c>
      <c r="E1578" t="inlineStr">
        <is>
          <t>SKELLEFTEÅ</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55815-2022</t>
        </is>
      </c>
      <c r="B1579" s="1" t="n">
        <v>44888</v>
      </c>
      <c r="C1579" s="1" t="n">
        <v>45633</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55827-2022</t>
        </is>
      </c>
      <c r="B1580" s="1" t="n">
        <v>44888</v>
      </c>
      <c r="C1580" s="1" t="n">
        <v>45633</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56824-2022</t>
        </is>
      </c>
      <c r="B1581" s="1" t="n">
        <v>44888</v>
      </c>
      <c r="C1581" s="1" t="n">
        <v>45633</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56031-2022</t>
        </is>
      </c>
      <c r="B1582" s="1" t="n">
        <v>44889</v>
      </c>
      <c r="C1582" s="1" t="n">
        <v>45633</v>
      </c>
      <c r="D1582" t="inlineStr">
        <is>
          <t>VÄSTERBOTTENS LÄN</t>
        </is>
      </c>
      <c r="E1582" t="inlineStr">
        <is>
          <t>SKELLEFTEÅ</t>
        </is>
      </c>
      <c r="F1582" t="inlineStr">
        <is>
          <t>Sveaskog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55982-2022</t>
        </is>
      </c>
      <c r="B1583" s="1" t="n">
        <v>44889</v>
      </c>
      <c r="C1583" s="1" t="n">
        <v>45633</v>
      </c>
      <c r="D1583" t="inlineStr">
        <is>
          <t>VÄSTERBOTTENS LÄN</t>
        </is>
      </c>
      <c r="E1583" t="inlineStr">
        <is>
          <t>SKELLEFTEÅ</t>
        </is>
      </c>
      <c r="F1583" t="inlineStr">
        <is>
          <t>Holmen skog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55999-2022</t>
        </is>
      </c>
      <c r="B1584" s="1" t="n">
        <v>44889</v>
      </c>
      <c r="C1584" s="1" t="n">
        <v>45633</v>
      </c>
      <c r="D1584" t="inlineStr">
        <is>
          <t>VÄSTERBOTTENS LÄN</t>
        </is>
      </c>
      <c r="E1584" t="inlineStr">
        <is>
          <t>SKELLEFTEÅ</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56072-2022</t>
        </is>
      </c>
      <c r="B1585" s="1" t="n">
        <v>44889</v>
      </c>
      <c r="C1585" s="1" t="n">
        <v>45633</v>
      </c>
      <c r="D1585" t="inlineStr">
        <is>
          <t>VÄSTERBOTTENS LÄN</t>
        </is>
      </c>
      <c r="E1585" t="inlineStr">
        <is>
          <t>SKELLEFTEÅ</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56141-2022</t>
        </is>
      </c>
      <c r="B1586" s="1" t="n">
        <v>44889</v>
      </c>
      <c r="C1586" s="1" t="n">
        <v>45633</v>
      </c>
      <c r="D1586" t="inlineStr">
        <is>
          <t>VÄSTERBOTTENS LÄN</t>
        </is>
      </c>
      <c r="E1586" t="inlineStr">
        <is>
          <t>SKELLEFTEÅ</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56155-2022</t>
        </is>
      </c>
      <c r="B1587" s="1" t="n">
        <v>44889</v>
      </c>
      <c r="C1587" s="1" t="n">
        <v>45633</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56113-2022</t>
        </is>
      </c>
      <c r="B1588" s="1" t="n">
        <v>44889</v>
      </c>
      <c r="C1588" s="1" t="n">
        <v>45633</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56156-2022</t>
        </is>
      </c>
      <c r="B1589" s="1" t="n">
        <v>44889</v>
      </c>
      <c r="C1589" s="1" t="n">
        <v>45633</v>
      </c>
      <c r="D1589" t="inlineStr">
        <is>
          <t>VÄSTERBOTTENS LÄN</t>
        </is>
      </c>
      <c r="E1589" t="inlineStr">
        <is>
          <t>SKELLEFTEÅ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57405-2022</t>
        </is>
      </c>
      <c r="B1590" s="1" t="n">
        <v>44889</v>
      </c>
      <c r="C1590" s="1" t="n">
        <v>45633</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57432-2022</t>
        </is>
      </c>
      <c r="B1591" s="1" t="n">
        <v>44889</v>
      </c>
      <c r="C1591" s="1" t="n">
        <v>45633</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56284-2022</t>
        </is>
      </c>
      <c r="B1592" s="1" t="n">
        <v>44890</v>
      </c>
      <c r="C1592" s="1" t="n">
        <v>45633</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56394-2022</t>
        </is>
      </c>
      <c r="B1593" s="1" t="n">
        <v>44890</v>
      </c>
      <c r="C1593" s="1" t="n">
        <v>45633</v>
      </c>
      <c r="D1593" t="inlineStr">
        <is>
          <t>VÄSTERBOTTENS LÄN</t>
        </is>
      </c>
      <c r="E1593" t="inlineStr">
        <is>
          <t>SKELLEFTEÅ</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56435-2022</t>
        </is>
      </c>
      <c r="B1594" s="1" t="n">
        <v>44892</v>
      </c>
      <c r="C1594" s="1" t="n">
        <v>45633</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56503-2022</t>
        </is>
      </c>
      <c r="B1595" s="1" t="n">
        <v>44893</v>
      </c>
      <c r="C1595" s="1" t="n">
        <v>45633</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57406-2022</t>
        </is>
      </c>
      <c r="B1596" s="1" t="n">
        <v>44893</v>
      </c>
      <c r="C1596" s="1" t="n">
        <v>45633</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58114-2022</t>
        </is>
      </c>
      <c r="B1597" s="1" t="n">
        <v>44893</v>
      </c>
      <c r="C1597" s="1" t="n">
        <v>45633</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56993-2022</t>
        </is>
      </c>
      <c r="B1598" s="1" t="n">
        <v>44894</v>
      </c>
      <c r="C1598" s="1" t="n">
        <v>45633</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56960-2022</t>
        </is>
      </c>
      <c r="B1599" s="1" t="n">
        <v>44894</v>
      </c>
      <c r="C1599" s="1" t="n">
        <v>45633</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56995-2022</t>
        </is>
      </c>
      <c r="B1600" s="1" t="n">
        <v>44894</v>
      </c>
      <c r="C1600" s="1" t="n">
        <v>45633</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58250-2022</t>
        </is>
      </c>
      <c r="B1601" s="1" t="n">
        <v>44894</v>
      </c>
      <c r="C1601" s="1" t="n">
        <v>45633</v>
      </c>
      <c r="D1601" t="inlineStr">
        <is>
          <t>VÄSTERBOTTENS LÄN</t>
        </is>
      </c>
      <c r="E1601" t="inlineStr">
        <is>
          <t>SKELLEFTEÅ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58634-2022</t>
        </is>
      </c>
      <c r="B1602" s="1" t="n">
        <v>44894</v>
      </c>
      <c r="C1602" s="1" t="n">
        <v>45633</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57059-2022</t>
        </is>
      </c>
      <c r="B1603" s="1" t="n">
        <v>44895</v>
      </c>
      <c r="C1603" s="1" t="n">
        <v>45633</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57103-2022</t>
        </is>
      </c>
      <c r="B1604" s="1" t="n">
        <v>44895</v>
      </c>
      <c r="C1604" s="1" t="n">
        <v>45633</v>
      </c>
      <c r="D1604" t="inlineStr">
        <is>
          <t>VÄSTERBOTTENS LÄN</t>
        </is>
      </c>
      <c r="E1604" t="inlineStr">
        <is>
          <t>SKELLEFTEÅ</t>
        </is>
      </c>
      <c r="F1604" t="inlineStr">
        <is>
          <t>Holmen skog AB</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57057-2022</t>
        </is>
      </c>
      <c r="B1605" s="1" t="n">
        <v>44895</v>
      </c>
      <c r="C1605" s="1" t="n">
        <v>45633</v>
      </c>
      <c r="D1605" t="inlineStr">
        <is>
          <t>VÄSTERBOTTENS LÄN</t>
        </is>
      </c>
      <c r="E1605" t="inlineStr">
        <is>
          <t>SKELLEFTEÅ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57054-2022</t>
        </is>
      </c>
      <c r="B1606" s="1" t="n">
        <v>44895</v>
      </c>
      <c r="C1606" s="1" t="n">
        <v>45633</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57152-2022</t>
        </is>
      </c>
      <c r="B1607" s="1" t="n">
        <v>44895</v>
      </c>
      <c r="C1607" s="1" t="n">
        <v>45633</v>
      </c>
      <c r="D1607" t="inlineStr">
        <is>
          <t>VÄSTERBOTTENS LÄN</t>
        </is>
      </c>
      <c r="E1607" t="inlineStr">
        <is>
          <t>SKELLEFTEÅ</t>
        </is>
      </c>
      <c r="F1607" t="inlineStr">
        <is>
          <t>Holmen skog AB</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57187-2022</t>
        </is>
      </c>
      <c r="B1608" s="1" t="n">
        <v>44895</v>
      </c>
      <c r="C1608" s="1" t="n">
        <v>45633</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58897-2022</t>
        </is>
      </c>
      <c r="B1609" s="1" t="n">
        <v>44895</v>
      </c>
      <c r="C1609" s="1" t="n">
        <v>45633</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58814-2022</t>
        </is>
      </c>
      <c r="B1610" s="1" t="n">
        <v>44895</v>
      </c>
      <c r="C1610" s="1" t="n">
        <v>45633</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57364-2022</t>
        </is>
      </c>
      <c r="B1611" s="1" t="n">
        <v>44896</v>
      </c>
      <c r="C1611" s="1" t="n">
        <v>45633</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57417-2022</t>
        </is>
      </c>
      <c r="B1612" s="1" t="n">
        <v>44896</v>
      </c>
      <c r="C1612" s="1" t="n">
        <v>45633</v>
      </c>
      <c r="D1612" t="inlineStr">
        <is>
          <t>VÄSTERBOTTENS LÄN</t>
        </is>
      </c>
      <c r="E1612" t="inlineStr">
        <is>
          <t>SKELLEFTEÅ</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57579-2022</t>
        </is>
      </c>
      <c r="B1613" s="1" t="n">
        <v>44896</v>
      </c>
      <c r="C1613" s="1" t="n">
        <v>45633</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57362-2022</t>
        </is>
      </c>
      <c r="B1614" s="1" t="n">
        <v>44896</v>
      </c>
      <c r="C1614" s="1" t="n">
        <v>45633</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57457-2022</t>
        </is>
      </c>
      <c r="B1615" s="1" t="n">
        <v>44896</v>
      </c>
      <c r="C1615" s="1" t="n">
        <v>45633</v>
      </c>
      <c r="D1615" t="inlineStr">
        <is>
          <t>VÄSTERBOTTENS LÄN</t>
        </is>
      </c>
      <c r="E1615" t="inlineStr">
        <is>
          <t>SKELLEFTEÅ</t>
        </is>
      </c>
      <c r="F1615" t="inlineStr">
        <is>
          <t>Holmen skog AB</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57569-2022</t>
        </is>
      </c>
      <c r="B1616" s="1" t="n">
        <v>44896</v>
      </c>
      <c r="C1616" s="1" t="n">
        <v>45633</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57570-2022</t>
        </is>
      </c>
      <c r="B1617" s="1" t="n">
        <v>44896</v>
      </c>
      <c r="C1617" s="1" t="n">
        <v>45633</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57577-2022</t>
        </is>
      </c>
      <c r="B1618" s="1" t="n">
        <v>44896</v>
      </c>
      <c r="C1618" s="1" t="n">
        <v>45633</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57583-2022</t>
        </is>
      </c>
      <c r="B1619" s="1" t="n">
        <v>44896</v>
      </c>
      <c r="C1619" s="1" t="n">
        <v>45633</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57582-2022</t>
        </is>
      </c>
      <c r="B1620" s="1" t="n">
        <v>44896</v>
      </c>
      <c r="C1620" s="1" t="n">
        <v>45633</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57571-2022</t>
        </is>
      </c>
      <c r="B1621" s="1" t="n">
        <v>44896</v>
      </c>
      <c r="C1621" s="1" t="n">
        <v>45633</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57578-2022</t>
        </is>
      </c>
      <c r="B1622" s="1" t="n">
        <v>44896</v>
      </c>
      <c r="C1622" s="1" t="n">
        <v>45633</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57584-2022</t>
        </is>
      </c>
      <c r="B1623" s="1" t="n">
        <v>44896</v>
      </c>
      <c r="C1623" s="1" t="n">
        <v>45633</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58877-2022</t>
        </is>
      </c>
      <c r="B1624" s="1" t="n">
        <v>44896</v>
      </c>
      <c r="C1624" s="1" t="n">
        <v>45633</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58926-2022</t>
        </is>
      </c>
      <c r="B1625" s="1" t="n">
        <v>44896</v>
      </c>
      <c r="C1625" s="1" t="n">
        <v>45633</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57646-2022</t>
        </is>
      </c>
      <c r="B1626" s="1" t="n">
        <v>44897</v>
      </c>
      <c r="C1626" s="1" t="n">
        <v>45633</v>
      </c>
      <c r="D1626" t="inlineStr">
        <is>
          <t>VÄSTERBOTTENS LÄN</t>
        </is>
      </c>
      <c r="E1626" t="inlineStr">
        <is>
          <t>SKELLEFTEÅ</t>
        </is>
      </c>
      <c r="F1626" t="inlineStr">
        <is>
          <t>Holmen skog AB</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57770-2022</t>
        </is>
      </c>
      <c r="B1627" s="1" t="n">
        <v>44897</v>
      </c>
      <c r="C1627" s="1" t="n">
        <v>45633</v>
      </c>
      <c r="D1627" t="inlineStr">
        <is>
          <t>VÄSTERBOTTENS LÄN</t>
        </is>
      </c>
      <c r="E1627" t="inlineStr">
        <is>
          <t>SKELLEFTEÅ</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57654-2022</t>
        </is>
      </c>
      <c r="B1628" s="1" t="n">
        <v>44897</v>
      </c>
      <c r="C1628" s="1" t="n">
        <v>45633</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57659-2022</t>
        </is>
      </c>
      <c r="B1629" s="1" t="n">
        <v>44897</v>
      </c>
      <c r="C1629" s="1" t="n">
        <v>45633</v>
      </c>
      <c r="D1629" t="inlineStr">
        <is>
          <t>VÄSTERBOTTENS LÄN</t>
        </is>
      </c>
      <c r="E1629" t="inlineStr">
        <is>
          <t>SKELLEFTEÅ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59020-2022</t>
        </is>
      </c>
      <c r="B1630" s="1" t="n">
        <v>44897</v>
      </c>
      <c r="C1630" s="1" t="n">
        <v>45633</v>
      </c>
      <c r="D1630" t="inlineStr">
        <is>
          <t>VÄSTERBOTTENS LÄN</t>
        </is>
      </c>
      <c r="E1630" t="inlineStr">
        <is>
          <t>SKELLEFTEÅ</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57847-2022</t>
        </is>
      </c>
      <c r="B1631" s="1" t="n">
        <v>44898</v>
      </c>
      <c r="C1631" s="1" t="n">
        <v>45633</v>
      </c>
      <c r="D1631" t="inlineStr">
        <is>
          <t>VÄSTERBOTTENS LÄN</t>
        </is>
      </c>
      <c r="E1631" t="inlineStr">
        <is>
          <t>SKELLEFTEÅ</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57849-2022</t>
        </is>
      </c>
      <c r="B1632" s="1" t="n">
        <v>44898</v>
      </c>
      <c r="C1632" s="1" t="n">
        <v>45633</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57848-2022</t>
        </is>
      </c>
      <c r="B1633" s="1" t="n">
        <v>44898</v>
      </c>
      <c r="C1633" s="1" t="n">
        <v>45633</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57851-2022</t>
        </is>
      </c>
      <c r="B1634" s="1" t="n">
        <v>44898</v>
      </c>
      <c r="C1634" s="1" t="n">
        <v>45633</v>
      </c>
      <c r="D1634" t="inlineStr">
        <is>
          <t>VÄSTERBOTTENS LÄN</t>
        </is>
      </c>
      <c r="E1634" t="inlineStr">
        <is>
          <t>SKELLEFTEÅ</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57908-2022</t>
        </is>
      </c>
      <c r="B1635" s="1" t="n">
        <v>44900</v>
      </c>
      <c r="C1635" s="1" t="n">
        <v>45633</v>
      </c>
      <c r="D1635" t="inlineStr">
        <is>
          <t>VÄSTERBOTTENS LÄN</t>
        </is>
      </c>
      <c r="E1635" t="inlineStr">
        <is>
          <t>SKELLEFTEÅ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58053-2022</t>
        </is>
      </c>
      <c r="B1636" s="1" t="n">
        <v>44900</v>
      </c>
      <c r="C1636" s="1" t="n">
        <v>45633</v>
      </c>
      <c r="D1636" t="inlineStr">
        <is>
          <t>VÄSTERBOTTENS LÄN</t>
        </is>
      </c>
      <c r="E1636" t="inlineStr">
        <is>
          <t>SKELLEFTEÅ</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45633</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58063-2022</t>
        </is>
      </c>
      <c r="B1638" s="1" t="n">
        <v>44900</v>
      </c>
      <c r="C1638" s="1" t="n">
        <v>45633</v>
      </c>
      <c r="D1638" t="inlineStr">
        <is>
          <t>VÄSTERBOTTENS LÄN</t>
        </is>
      </c>
      <c r="E1638" t="inlineStr">
        <is>
          <t>SKELLEFTEÅ</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59754-2022</t>
        </is>
      </c>
      <c r="B1639" s="1" t="n">
        <v>44900</v>
      </c>
      <c r="C1639" s="1" t="n">
        <v>45633</v>
      </c>
      <c r="D1639" t="inlineStr">
        <is>
          <t>VÄSTERBOTTENS LÄN</t>
        </is>
      </c>
      <c r="E1639" t="inlineStr">
        <is>
          <t>SKELLEFTEÅ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58298-2022</t>
        </is>
      </c>
      <c r="B1640" s="1" t="n">
        <v>44901</v>
      </c>
      <c r="C1640" s="1" t="n">
        <v>45633</v>
      </c>
      <c r="D1640" t="inlineStr">
        <is>
          <t>VÄSTERBOTTENS LÄN</t>
        </is>
      </c>
      <c r="E1640" t="inlineStr">
        <is>
          <t>SKELLEFTEÅ</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58325-2022</t>
        </is>
      </c>
      <c r="B1641" s="1" t="n">
        <v>44901</v>
      </c>
      <c r="C1641" s="1" t="n">
        <v>45633</v>
      </c>
      <c r="D1641" t="inlineStr">
        <is>
          <t>VÄSTERBOTTENS LÄN</t>
        </is>
      </c>
      <c r="E1641" t="inlineStr">
        <is>
          <t>SKELLEFTEÅ</t>
        </is>
      </c>
      <c r="F1641" t="inlineStr">
        <is>
          <t>Sveaskog</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58376-2022</t>
        </is>
      </c>
      <c r="B1642" s="1" t="n">
        <v>44901</v>
      </c>
      <c r="C1642" s="1" t="n">
        <v>45633</v>
      </c>
      <c r="D1642" t="inlineStr">
        <is>
          <t>VÄSTERBOTTENS LÄN</t>
        </is>
      </c>
      <c r="E1642" t="inlineStr">
        <is>
          <t>SKELLEFTEÅ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58429-2022</t>
        </is>
      </c>
      <c r="B1643" s="1" t="n">
        <v>44901</v>
      </c>
      <c r="C1643" s="1" t="n">
        <v>45633</v>
      </c>
      <c r="D1643" t="inlineStr">
        <is>
          <t>VÄSTERBOTTENS LÄN</t>
        </is>
      </c>
      <c r="E1643" t="inlineStr">
        <is>
          <t>SKELLEFTEÅ</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58304-2022</t>
        </is>
      </c>
      <c r="B1644" s="1" t="n">
        <v>44901</v>
      </c>
      <c r="C1644" s="1" t="n">
        <v>45633</v>
      </c>
      <c r="D1644" t="inlineStr">
        <is>
          <t>VÄSTERBOTTENS LÄN</t>
        </is>
      </c>
      <c r="E1644" t="inlineStr">
        <is>
          <t>SKELLEFTEÅ</t>
        </is>
      </c>
      <c r="F1644" t="inlineStr">
        <is>
          <t>Sveaskog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58197-2022</t>
        </is>
      </c>
      <c r="B1645" s="1" t="n">
        <v>44901</v>
      </c>
      <c r="C1645" s="1" t="n">
        <v>45633</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58295-2022</t>
        </is>
      </c>
      <c r="B1646" s="1" t="n">
        <v>44901</v>
      </c>
      <c r="C1646" s="1" t="n">
        <v>45633</v>
      </c>
      <c r="D1646" t="inlineStr">
        <is>
          <t>VÄSTERBOTTENS LÄN</t>
        </is>
      </c>
      <c r="E1646" t="inlineStr">
        <is>
          <t>SKELLEFTEÅ</t>
        </is>
      </c>
      <c r="F1646" t="inlineStr">
        <is>
          <t>Sveaskog</t>
        </is>
      </c>
      <c r="G1646" t="n">
        <v>18.3</v>
      </c>
      <c r="H1646" t="n">
        <v>0</v>
      </c>
      <c r="I1646" t="n">
        <v>0</v>
      </c>
      <c r="J1646" t="n">
        <v>0</v>
      </c>
      <c r="K1646" t="n">
        <v>0</v>
      </c>
      <c r="L1646" t="n">
        <v>0</v>
      </c>
      <c r="M1646" t="n">
        <v>0</v>
      </c>
      <c r="N1646" t="n">
        <v>0</v>
      </c>
      <c r="O1646" t="n">
        <v>0</v>
      </c>
      <c r="P1646" t="n">
        <v>0</v>
      </c>
      <c r="Q1646" t="n">
        <v>0</v>
      </c>
      <c r="R1646" s="2" t="inlineStr"/>
    </row>
    <row r="1647" ht="15" customHeight="1">
      <c r="A1647" t="inlineStr">
        <is>
          <t>A 58349-2022</t>
        </is>
      </c>
      <c r="B1647" s="1" t="n">
        <v>44901</v>
      </c>
      <c r="C1647" s="1" t="n">
        <v>45633</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58464-2022</t>
        </is>
      </c>
      <c r="B1648" s="1" t="n">
        <v>44902</v>
      </c>
      <c r="C1648" s="1" t="n">
        <v>45633</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58572-2022</t>
        </is>
      </c>
      <c r="B1649" s="1" t="n">
        <v>44902</v>
      </c>
      <c r="C1649" s="1" t="n">
        <v>45633</v>
      </c>
      <c r="D1649" t="inlineStr">
        <is>
          <t>VÄSTERBOTTENS LÄN</t>
        </is>
      </c>
      <c r="E1649" t="inlineStr">
        <is>
          <t>SKELLEFTEÅ</t>
        </is>
      </c>
      <c r="F1649" t="inlineStr">
        <is>
          <t>Sveaskog</t>
        </is>
      </c>
      <c r="G1649" t="n">
        <v>14.7</v>
      </c>
      <c r="H1649" t="n">
        <v>0</v>
      </c>
      <c r="I1649" t="n">
        <v>0</v>
      </c>
      <c r="J1649" t="n">
        <v>0</v>
      </c>
      <c r="K1649" t="n">
        <v>0</v>
      </c>
      <c r="L1649" t="n">
        <v>0</v>
      </c>
      <c r="M1649" t="n">
        <v>0</v>
      </c>
      <c r="N1649" t="n">
        <v>0</v>
      </c>
      <c r="O1649" t="n">
        <v>0</v>
      </c>
      <c r="P1649" t="n">
        <v>0</v>
      </c>
      <c r="Q1649" t="n">
        <v>0</v>
      </c>
      <c r="R1649" s="2" t="inlineStr"/>
    </row>
    <row r="1650" ht="15" customHeight="1">
      <c r="A1650" t="inlineStr">
        <is>
          <t>A 58676-2022</t>
        </is>
      </c>
      <c r="B1650" s="1" t="n">
        <v>44902</v>
      </c>
      <c r="C1650" s="1" t="n">
        <v>45633</v>
      </c>
      <c r="D1650" t="inlineStr">
        <is>
          <t>VÄSTERBOTTENS LÄN</t>
        </is>
      </c>
      <c r="E1650" t="inlineStr">
        <is>
          <t>SKELLEFTEÅ</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58803-2022</t>
        </is>
      </c>
      <c r="B1651" s="1" t="n">
        <v>44903</v>
      </c>
      <c r="C1651" s="1" t="n">
        <v>45633</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60237-2022</t>
        </is>
      </c>
      <c r="B1652" s="1" t="n">
        <v>44903</v>
      </c>
      <c r="C1652" s="1" t="n">
        <v>45633</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59067-2022</t>
        </is>
      </c>
      <c r="B1653" s="1" t="n">
        <v>44904</v>
      </c>
      <c r="C1653" s="1" t="n">
        <v>45633</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60558-2022</t>
        </is>
      </c>
      <c r="B1654" s="1" t="n">
        <v>44904</v>
      </c>
      <c r="C1654" s="1" t="n">
        <v>45633</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60356-2022</t>
        </is>
      </c>
      <c r="B1655" s="1" t="n">
        <v>44904</v>
      </c>
      <c r="C1655" s="1" t="n">
        <v>45633</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59531-2022</t>
        </is>
      </c>
      <c r="B1656" s="1" t="n">
        <v>44907</v>
      </c>
      <c r="C1656" s="1" t="n">
        <v>45633</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60981-2022</t>
        </is>
      </c>
      <c r="B1657" s="1" t="n">
        <v>44907</v>
      </c>
      <c r="C1657" s="1" t="n">
        <v>45633</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60785-2022</t>
        </is>
      </c>
      <c r="B1658" s="1" t="n">
        <v>44907</v>
      </c>
      <c r="C1658" s="1" t="n">
        <v>45633</v>
      </c>
      <c r="D1658" t="inlineStr">
        <is>
          <t>VÄSTERBOTTENS LÄN</t>
        </is>
      </c>
      <c r="E1658" t="inlineStr">
        <is>
          <t>SKELLEFTEÅ</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60970-2022</t>
        </is>
      </c>
      <c r="B1659" s="1" t="n">
        <v>44907</v>
      </c>
      <c r="C1659" s="1" t="n">
        <v>45633</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59666-2022</t>
        </is>
      </c>
      <c r="B1660" s="1" t="n">
        <v>44908</v>
      </c>
      <c r="C1660" s="1" t="n">
        <v>45633</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59744-2022</t>
        </is>
      </c>
      <c r="B1661" s="1" t="n">
        <v>44908</v>
      </c>
      <c r="C1661" s="1" t="n">
        <v>45633</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59664-2022</t>
        </is>
      </c>
      <c r="B1662" s="1" t="n">
        <v>44908</v>
      </c>
      <c r="C1662" s="1" t="n">
        <v>45633</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59748-2022</t>
        </is>
      </c>
      <c r="B1663" s="1" t="n">
        <v>44908</v>
      </c>
      <c r="C1663" s="1" t="n">
        <v>45633</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61153-2022</t>
        </is>
      </c>
      <c r="B1664" s="1" t="n">
        <v>44908</v>
      </c>
      <c r="C1664" s="1" t="n">
        <v>45633</v>
      </c>
      <c r="D1664" t="inlineStr">
        <is>
          <t>VÄSTERBOTTENS LÄN</t>
        </is>
      </c>
      <c r="E1664" t="inlineStr">
        <is>
          <t>SKELLEFTEÅ</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60000-2022</t>
        </is>
      </c>
      <c r="B1665" s="1" t="n">
        <v>44909</v>
      </c>
      <c r="C1665" s="1" t="n">
        <v>45633</v>
      </c>
      <c r="D1665" t="inlineStr">
        <is>
          <t>VÄSTERBOTTENS LÄN</t>
        </is>
      </c>
      <c r="E1665" t="inlineStr">
        <is>
          <t>SKELLEFTEÅ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61275-2022</t>
        </is>
      </c>
      <c r="B1666" s="1" t="n">
        <v>44909</v>
      </c>
      <c r="C1666" s="1" t="n">
        <v>45633</v>
      </c>
      <c r="D1666" t="inlineStr">
        <is>
          <t>VÄSTERBOTTENS LÄN</t>
        </is>
      </c>
      <c r="E1666" t="inlineStr">
        <is>
          <t>SKELLEFTEÅ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60378-2022</t>
        </is>
      </c>
      <c r="B1667" s="1" t="n">
        <v>44910</v>
      </c>
      <c r="C1667" s="1" t="n">
        <v>45633</v>
      </c>
      <c r="D1667" t="inlineStr">
        <is>
          <t>VÄSTERBOTTENS LÄN</t>
        </is>
      </c>
      <c r="E1667" t="inlineStr">
        <is>
          <t>SKELLEFTEÅ</t>
        </is>
      </c>
      <c r="F1667" t="inlineStr">
        <is>
          <t>Holmen skog AB</t>
        </is>
      </c>
      <c r="G1667" t="n">
        <v>18.8</v>
      </c>
      <c r="H1667" t="n">
        <v>0</v>
      </c>
      <c r="I1667" t="n">
        <v>0</v>
      </c>
      <c r="J1667" t="n">
        <v>0</v>
      </c>
      <c r="K1667" t="n">
        <v>0</v>
      </c>
      <c r="L1667" t="n">
        <v>0</v>
      </c>
      <c r="M1667" t="n">
        <v>0</v>
      </c>
      <c r="N1667" t="n">
        <v>0</v>
      </c>
      <c r="O1667" t="n">
        <v>0</v>
      </c>
      <c r="P1667" t="n">
        <v>0</v>
      </c>
      <c r="Q1667" t="n">
        <v>0</v>
      </c>
      <c r="R1667" s="2" t="inlineStr"/>
    </row>
    <row r="1668" ht="15" customHeight="1">
      <c r="A1668" t="inlineStr">
        <is>
          <t>A 60488-2022</t>
        </is>
      </c>
      <c r="B1668" s="1" t="n">
        <v>44911</v>
      </c>
      <c r="C1668" s="1" t="n">
        <v>45633</v>
      </c>
      <c r="D1668" t="inlineStr">
        <is>
          <t>VÄSTERBOTTENS LÄN</t>
        </is>
      </c>
      <c r="E1668" t="inlineStr">
        <is>
          <t>SKELLEFTEÅ</t>
        </is>
      </c>
      <c r="F1668" t="inlineStr">
        <is>
          <t>Sveaskog</t>
        </is>
      </c>
      <c r="G1668" t="n">
        <v>11.6</v>
      </c>
      <c r="H1668" t="n">
        <v>0</v>
      </c>
      <c r="I1668" t="n">
        <v>0</v>
      </c>
      <c r="J1668" t="n">
        <v>0</v>
      </c>
      <c r="K1668" t="n">
        <v>0</v>
      </c>
      <c r="L1668" t="n">
        <v>0</v>
      </c>
      <c r="M1668" t="n">
        <v>0</v>
      </c>
      <c r="N1668" t="n">
        <v>0</v>
      </c>
      <c r="O1668" t="n">
        <v>0</v>
      </c>
      <c r="P1668" t="n">
        <v>0</v>
      </c>
      <c r="Q1668" t="n">
        <v>0</v>
      </c>
      <c r="R1668" s="2" t="inlineStr"/>
      <c r="U1668">
        <f>HYPERLINK("https://klasma.github.io/Logging_2482/knärot/A 60488-2022 karta knärot.png", "A 60488-2022")</f>
        <v/>
      </c>
      <c r="V1668">
        <f>HYPERLINK("https://klasma.github.io/Logging_2482/klagomål/A 60488-2022 FSC-klagomål.docx", "A 60488-2022")</f>
        <v/>
      </c>
      <c r="W1668">
        <f>HYPERLINK("https://klasma.github.io/Logging_2482/klagomålsmail/A 60488-2022 FSC-klagomål mail.docx", "A 60488-2022")</f>
        <v/>
      </c>
      <c r="X1668">
        <f>HYPERLINK("https://klasma.github.io/Logging_2482/tillsyn/A 60488-2022 tillsynsbegäran.docx", "A 60488-2022")</f>
        <v/>
      </c>
      <c r="Y1668">
        <f>HYPERLINK("https://klasma.github.io/Logging_2482/tillsynsmail/A 60488-2022 tillsynsbegäran mail.docx", "A 60488-2022")</f>
        <v/>
      </c>
    </row>
    <row r="1669" ht="15" customHeight="1">
      <c r="A1669" t="inlineStr">
        <is>
          <t>A 60498-2022</t>
        </is>
      </c>
      <c r="B1669" s="1" t="n">
        <v>44911</v>
      </c>
      <c r="C1669" s="1" t="n">
        <v>45633</v>
      </c>
      <c r="D1669" t="inlineStr">
        <is>
          <t>VÄSTERBOTTENS LÄN</t>
        </is>
      </c>
      <c r="E1669" t="inlineStr">
        <is>
          <t>SKELLEFTEÅ</t>
        </is>
      </c>
      <c r="F1669" t="inlineStr">
        <is>
          <t>Sveaskog</t>
        </is>
      </c>
      <c r="G1669" t="n">
        <v>21.2</v>
      </c>
      <c r="H1669" t="n">
        <v>0</v>
      </c>
      <c r="I1669" t="n">
        <v>0</v>
      </c>
      <c r="J1669" t="n">
        <v>0</v>
      </c>
      <c r="K1669" t="n">
        <v>0</v>
      </c>
      <c r="L1669" t="n">
        <v>0</v>
      </c>
      <c r="M1669" t="n">
        <v>0</v>
      </c>
      <c r="N1669" t="n">
        <v>0</v>
      </c>
      <c r="O1669" t="n">
        <v>0</v>
      </c>
      <c r="P1669" t="n">
        <v>0</v>
      </c>
      <c r="Q1669" t="n">
        <v>0</v>
      </c>
      <c r="R1669" s="2" t="inlineStr"/>
    </row>
    <row r="1670" ht="15" customHeight="1">
      <c r="A1670" t="inlineStr">
        <is>
          <t>A 60582-2022</t>
        </is>
      </c>
      <c r="B1670" s="1" t="n">
        <v>44911</v>
      </c>
      <c r="C1670" s="1" t="n">
        <v>45633</v>
      </c>
      <c r="D1670" t="inlineStr">
        <is>
          <t>VÄSTERBOTTENS LÄN</t>
        </is>
      </c>
      <c r="E1670" t="inlineStr">
        <is>
          <t>SKELLEFTEÅ</t>
        </is>
      </c>
      <c r="F1670" t="inlineStr">
        <is>
          <t>Sveaskog</t>
        </is>
      </c>
      <c r="G1670" t="n">
        <v>27.3</v>
      </c>
      <c r="H1670" t="n">
        <v>0</v>
      </c>
      <c r="I1670" t="n">
        <v>0</v>
      </c>
      <c r="J1670" t="n">
        <v>0</v>
      </c>
      <c r="K1670" t="n">
        <v>0</v>
      </c>
      <c r="L1670" t="n">
        <v>0</v>
      </c>
      <c r="M1670" t="n">
        <v>0</v>
      </c>
      <c r="N1670" t="n">
        <v>0</v>
      </c>
      <c r="O1670" t="n">
        <v>0</v>
      </c>
      <c r="P1670" t="n">
        <v>0</v>
      </c>
      <c r="Q1670" t="n">
        <v>0</v>
      </c>
      <c r="R1670" s="2" t="inlineStr"/>
    </row>
    <row r="1671" ht="15" customHeight="1">
      <c r="A1671" t="inlineStr">
        <is>
          <t>A 60656-2022</t>
        </is>
      </c>
      <c r="B1671" s="1" t="n">
        <v>44911</v>
      </c>
      <c r="C1671" s="1" t="n">
        <v>45633</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60452-2022</t>
        </is>
      </c>
      <c r="B1672" s="1" t="n">
        <v>44911</v>
      </c>
      <c r="C1672" s="1" t="n">
        <v>45633</v>
      </c>
      <c r="D1672" t="inlineStr">
        <is>
          <t>VÄSTERBOTTENS LÄN</t>
        </is>
      </c>
      <c r="E1672" t="inlineStr">
        <is>
          <t>SKELLEFTEÅ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60502-2022</t>
        </is>
      </c>
      <c r="B1673" s="1" t="n">
        <v>44911</v>
      </c>
      <c r="C1673" s="1" t="n">
        <v>45633</v>
      </c>
      <c r="D1673" t="inlineStr">
        <is>
          <t>VÄSTERBOTTENS LÄN</t>
        </is>
      </c>
      <c r="E1673" t="inlineStr">
        <is>
          <t>SKELLEFTEÅ</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60524-2022</t>
        </is>
      </c>
      <c r="B1674" s="1" t="n">
        <v>44911</v>
      </c>
      <c r="C1674" s="1" t="n">
        <v>45633</v>
      </c>
      <c r="D1674" t="inlineStr">
        <is>
          <t>VÄSTERBOTTENS LÄN</t>
        </is>
      </c>
      <c r="E1674" t="inlineStr">
        <is>
          <t>SKELLEFTEÅ</t>
        </is>
      </c>
      <c r="F1674" t="inlineStr">
        <is>
          <t>Sveaskog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60581-2022</t>
        </is>
      </c>
      <c r="B1675" s="1" t="n">
        <v>44911</v>
      </c>
      <c r="C1675" s="1" t="n">
        <v>45633</v>
      </c>
      <c r="D1675" t="inlineStr">
        <is>
          <t>VÄSTERBOTTENS LÄN</t>
        </is>
      </c>
      <c r="E1675" t="inlineStr">
        <is>
          <t>SKELLEFTEÅ</t>
        </is>
      </c>
      <c r="F1675" t="inlineStr">
        <is>
          <t>Sveaskog</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60655-2022</t>
        </is>
      </c>
      <c r="B1676" s="1" t="n">
        <v>44911</v>
      </c>
      <c r="C1676" s="1" t="n">
        <v>45633</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60506-2022</t>
        </is>
      </c>
      <c r="B1677" s="1" t="n">
        <v>44911</v>
      </c>
      <c r="C1677" s="1" t="n">
        <v>45633</v>
      </c>
      <c r="D1677" t="inlineStr">
        <is>
          <t>VÄSTERBOTTENS LÄN</t>
        </is>
      </c>
      <c r="E1677" t="inlineStr">
        <is>
          <t>SKELLEFTEÅ</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60484-2022</t>
        </is>
      </c>
      <c r="B1678" s="1" t="n">
        <v>44911</v>
      </c>
      <c r="C1678" s="1" t="n">
        <v>45633</v>
      </c>
      <c r="D1678" t="inlineStr">
        <is>
          <t>VÄSTERBOTTENS LÄN</t>
        </is>
      </c>
      <c r="E1678" t="inlineStr">
        <is>
          <t>SKELLEFTEÅ</t>
        </is>
      </c>
      <c r="G1678" t="n">
        <v>13.8</v>
      </c>
      <c r="H1678" t="n">
        <v>0</v>
      </c>
      <c r="I1678" t="n">
        <v>0</v>
      </c>
      <c r="J1678" t="n">
        <v>0</v>
      </c>
      <c r="K1678" t="n">
        <v>0</v>
      </c>
      <c r="L1678" t="n">
        <v>0</v>
      </c>
      <c r="M1678" t="n">
        <v>0</v>
      </c>
      <c r="N1678" t="n">
        <v>0</v>
      </c>
      <c r="O1678" t="n">
        <v>0</v>
      </c>
      <c r="P1678" t="n">
        <v>0</v>
      </c>
      <c r="Q1678" t="n">
        <v>0</v>
      </c>
      <c r="R1678" s="2" t="inlineStr"/>
    </row>
    <row r="1679" ht="15" customHeight="1">
      <c r="A1679" t="inlineStr">
        <is>
          <t>A 60585-2022</t>
        </is>
      </c>
      <c r="B1679" s="1" t="n">
        <v>44911</v>
      </c>
      <c r="C1679" s="1" t="n">
        <v>45633</v>
      </c>
      <c r="D1679" t="inlineStr">
        <is>
          <t>VÄSTERBOTTENS LÄN</t>
        </is>
      </c>
      <c r="E1679" t="inlineStr">
        <is>
          <t>SKELLEFTEÅ</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60590-2022</t>
        </is>
      </c>
      <c r="B1680" s="1" t="n">
        <v>44911</v>
      </c>
      <c r="C1680" s="1" t="n">
        <v>45633</v>
      </c>
      <c r="D1680" t="inlineStr">
        <is>
          <t>VÄSTERBOTTENS LÄN</t>
        </is>
      </c>
      <c r="E1680" t="inlineStr">
        <is>
          <t>SKELLEFTEÅ</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61697-2022</t>
        </is>
      </c>
      <c r="B1681" s="1" t="n">
        <v>44911</v>
      </c>
      <c r="C1681" s="1" t="n">
        <v>45633</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61700-2022</t>
        </is>
      </c>
      <c r="B1682" s="1" t="n">
        <v>44911</v>
      </c>
      <c r="C1682" s="1" t="n">
        <v>45633</v>
      </c>
      <c r="D1682" t="inlineStr">
        <is>
          <t>VÄSTERBOTTENS LÄN</t>
        </is>
      </c>
      <c r="E1682" t="inlineStr">
        <is>
          <t>SKELLEFTEÅ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60787-2022</t>
        </is>
      </c>
      <c r="B1683" s="1" t="n">
        <v>44914</v>
      </c>
      <c r="C1683" s="1" t="n">
        <v>45633</v>
      </c>
      <c r="D1683" t="inlineStr">
        <is>
          <t>VÄSTERBOTTENS LÄN</t>
        </is>
      </c>
      <c r="E1683" t="inlineStr">
        <is>
          <t>SKELLEFTEÅ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60853-2022</t>
        </is>
      </c>
      <c r="B1684" s="1" t="n">
        <v>44914</v>
      </c>
      <c r="C1684" s="1" t="n">
        <v>45633</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60858-2022</t>
        </is>
      </c>
      <c r="B1685" s="1" t="n">
        <v>44914</v>
      </c>
      <c r="C1685" s="1" t="n">
        <v>45633</v>
      </c>
      <c r="D1685" t="inlineStr">
        <is>
          <t>VÄSTERBOTTENS LÄN</t>
        </is>
      </c>
      <c r="E1685" t="inlineStr">
        <is>
          <t>SKELLEFTEÅ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60789-2022</t>
        </is>
      </c>
      <c r="B1686" s="1" t="n">
        <v>44914</v>
      </c>
      <c r="C1686" s="1" t="n">
        <v>45633</v>
      </c>
      <c r="D1686" t="inlineStr">
        <is>
          <t>VÄSTERBOTTENS LÄN</t>
        </is>
      </c>
      <c r="E1686" t="inlineStr">
        <is>
          <t>SKELLEFTEÅ</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62028-2022</t>
        </is>
      </c>
      <c r="B1687" s="1" t="n">
        <v>44914</v>
      </c>
      <c r="C1687" s="1" t="n">
        <v>45633</v>
      </c>
      <c r="D1687" t="inlineStr">
        <is>
          <t>VÄSTERBOTTENS LÄN</t>
        </is>
      </c>
      <c r="E1687" t="inlineStr">
        <is>
          <t>SKELLEFTEÅ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62027-2022</t>
        </is>
      </c>
      <c r="B1688" s="1" t="n">
        <v>44914</v>
      </c>
      <c r="C1688" s="1" t="n">
        <v>45633</v>
      </c>
      <c r="D1688" t="inlineStr">
        <is>
          <t>VÄSTERBOTTENS LÄN</t>
        </is>
      </c>
      <c r="E1688" t="inlineStr">
        <is>
          <t>SKELLEFTEÅ</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62025-2022</t>
        </is>
      </c>
      <c r="B1689" s="1" t="n">
        <v>44914</v>
      </c>
      <c r="C1689" s="1" t="n">
        <v>45633</v>
      </c>
      <c r="D1689" t="inlineStr">
        <is>
          <t>VÄSTERBOTTENS LÄN</t>
        </is>
      </c>
      <c r="E1689" t="inlineStr">
        <is>
          <t>SKELLEFTEÅ</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61105-2022</t>
        </is>
      </c>
      <c r="B1690" s="1" t="n">
        <v>44915</v>
      </c>
      <c r="C1690" s="1" t="n">
        <v>45633</v>
      </c>
      <c r="D1690" t="inlineStr">
        <is>
          <t>VÄSTERBOTTENS LÄN</t>
        </is>
      </c>
      <c r="E1690" t="inlineStr">
        <is>
          <t>SKELLEFTEÅ</t>
        </is>
      </c>
      <c r="F1690" t="inlineStr">
        <is>
          <t>Sveaskog</t>
        </is>
      </c>
      <c r="G1690" t="n">
        <v>19.5</v>
      </c>
      <c r="H1690" t="n">
        <v>0</v>
      </c>
      <c r="I1690" t="n">
        <v>0</v>
      </c>
      <c r="J1690" t="n">
        <v>0</v>
      </c>
      <c r="K1690" t="n">
        <v>0</v>
      </c>
      <c r="L1690" t="n">
        <v>0</v>
      </c>
      <c r="M1690" t="n">
        <v>0</v>
      </c>
      <c r="N1690" t="n">
        <v>0</v>
      </c>
      <c r="O1690" t="n">
        <v>0</v>
      </c>
      <c r="P1690" t="n">
        <v>0</v>
      </c>
      <c r="Q1690" t="n">
        <v>0</v>
      </c>
      <c r="R1690" s="2" t="inlineStr"/>
    </row>
    <row r="1691" ht="15" customHeight="1">
      <c r="A1691" t="inlineStr">
        <is>
          <t>A 61101-2022</t>
        </is>
      </c>
      <c r="B1691" s="1" t="n">
        <v>44915</v>
      </c>
      <c r="C1691" s="1" t="n">
        <v>45633</v>
      </c>
      <c r="D1691" t="inlineStr">
        <is>
          <t>VÄSTERBOTTENS LÄN</t>
        </is>
      </c>
      <c r="E1691" t="inlineStr">
        <is>
          <t>SKELLEFTEÅ</t>
        </is>
      </c>
      <c r="F1691" t="inlineStr">
        <is>
          <t>Sveaskog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61132-2022</t>
        </is>
      </c>
      <c r="B1692" s="1" t="n">
        <v>44915</v>
      </c>
      <c r="C1692" s="1" t="n">
        <v>45633</v>
      </c>
      <c r="D1692" t="inlineStr">
        <is>
          <t>VÄSTERBOTTENS LÄN</t>
        </is>
      </c>
      <c r="E1692" t="inlineStr">
        <is>
          <t>SKELLEFTEÅ</t>
        </is>
      </c>
      <c r="F1692" t="inlineStr">
        <is>
          <t>Sveaskog</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61348-2022</t>
        </is>
      </c>
      <c r="B1693" s="1" t="n">
        <v>44915</v>
      </c>
      <c r="C1693" s="1" t="n">
        <v>45633</v>
      </c>
      <c r="D1693" t="inlineStr">
        <is>
          <t>VÄSTERBOTTENS LÄN</t>
        </is>
      </c>
      <c r="E1693" t="inlineStr">
        <is>
          <t>SKELLEFTEÅ</t>
        </is>
      </c>
      <c r="F1693" t="inlineStr">
        <is>
          <t>Sveaskog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61467-2022</t>
        </is>
      </c>
      <c r="B1694" s="1" t="n">
        <v>44916</v>
      </c>
      <c r="C1694" s="1" t="n">
        <v>45633</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61635-2022</t>
        </is>
      </c>
      <c r="B1695" s="1" t="n">
        <v>44916</v>
      </c>
      <c r="C1695" s="1" t="n">
        <v>45633</v>
      </c>
      <c r="D1695" t="inlineStr">
        <is>
          <t>VÄSTERBOTTENS LÄN</t>
        </is>
      </c>
      <c r="E1695" t="inlineStr">
        <is>
          <t>SKELLEFTEÅ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61634-2022</t>
        </is>
      </c>
      <c r="B1696" s="1" t="n">
        <v>44916</v>
      </c>
      <c r="C1696" s="1" t="n">
        <v>45633</v>
      </c>
      <c r="D1696" t="inlineStr">
        <is>
          <t>VÄSTERBOTTENS LÄN</t>
        </is>
      </c>
      <c r="E1696" t="inlineStr">
        <is>
          <t>SKELLEFTEÅ</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61569-2022</t>
        </is>
      </c>
      <c r="B1697" s="1" t="n">
        <v>44916</v>
      </c>
      <c r="C1697" s="1" t="n">
        <v>45633</v>
      </c>
      <c r="D1697" t="inlineStr">
        <is>
          <t>VÄSTERBOTTENS LÄN</t>
        </is>
      </c>
      <c r="E1697" t="inlineStr">
        <is>
          <t>SKELLEFTEÅ</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61631-2022</t>
        </is>
      </c>
      <c r="B1698" s="1" t="n">
        <v>44916</v>
      </c>
      <c r="C1698" s="1" t="n">
        <v>45633</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62325-2022</t>
        </is>
      </c>
      <c r="B1699" s="1" t="n">
        <v>44916</v>
      </c>
      <c r="C1699" s="1" t="n">
        <v>45633</v>
      </c>
      <c r="D1699" t="inlineStr">
        <is>
          <t>VÄSTERBOTTENS LÄN</t>
        </is>
      </c>
      <c r="E1699" t="inlineStr">
        <is>
          <t>SKELLEFTEÅ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62323-2022</t>
        </is>
      </c>
      <c r="B1700" s="1" t="n">
        <v>44916</v>
      </c>
      <c r="C1700" s="1" t="n">
        <v>45633</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62536-2022</t>
        </is>
      </c>
      <c r="B1701" s="1" t="n">
        <v>44917</v>
      </c>
      <c r="C1701" s="1" t="n">
        <v>45633</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121-2023</t>
        </is>
      </c>
      <c r="B1702" s="1" t="n">
        <v>44918</v>
      </c>
      <c r="C1702" s="1" t="n">
        <v>45633</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62249-2022</t>
        </is>
      </c>
      <c r="B1703" s="1" t="n">
        <v>44922</v>
      </c>
      <c r="C1703" s="1" t="n">
        <v>45633</v>
      </c>
      <c r="D1703" t="inlineStr">
        <is>
          <t>VÄSTERBOTTENS LÄN</t>
        </is>
      </c>
      <c r="E1703" t="inlineStr">
        <is>
          <t>SKELLEFTEÅ</t>
        </is>
      </c>
      <c r="G1703" t="n">
        <v>18.2</v>
      </c>
      <c r="H1703" t="n">
        <v>0</v>
      </c>
      <c r="I1703" t="n">
        <v>0</v>
      </c>
      <c r="J1703" t="n">
        <v>0</v>
      </c>
      <c r="K1703" t="n">
        <v>0</v>
      </c>
      <c r="L1703" t="n">
        <v>0</v>
      </c>
      <c r="M1703" t="n">
        <v>0</v>
      </c>
      <c r="N1703" t="n">
        <v>0</v>
      </c>
      <c r="O1703" t="n">
        <v>0</v>
      </c>
      <c r="P1703" t="n">
        <v>0</v>
      </c>
      <c r="Q1703" t="n">
        <v>0</v>
      </c>
      <c r="R1703" s="2" t="inlineStr"/>
    </row>
    <row r="1704" ht="15" customHeight="1">
      <c r="A1704" t="inlineStr">
        <is>
          <t>A 62279-2022</t>
        </is>
      </c>
      <c r="B1704" s="1" t="n">
        <v>44923</v>
      </c>
      <c r="C1704" s="1" t="n">
        <v>45633</v>
      </c>
      <c r="D1704" t="inlineStr">
        <is>
          <t>VÄSTERBOTTENS LÄN</t>
        </is>
      </c>
      <c r="E1704" t="inlineStr">
        <is>
          <t>SKELLEFTEÅ</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62284-2022</t>
        </is>
      </c>
      <c r="B1705" s="1" t="n">
        <v>44923</v>
      </c>
      <c r="C1705" s="1" t="n">
        <v>45633</v>
      </c>
      <c r="D1705" t="inlineStr">
        <is>
          <t>VÄSTERBOTTENS LÄN</t>
        </is>
      </c>
      <c r="E1705" t="inlineStr">
        <is>
          <t>SKELLEFTEÅ</t>
        </is>
      </c>
      <c r="F1705" t="inlineStr">
        <is>
          <t>Sveaskog</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62308-2022</t>
        </is>
      </c>
      <c r="B1706" s="1" t="n">
        <v>44923</v>
      </c>
      <c r="C1706" s="1" t="n">
        <v>45633</v>
      </c>
      <c r="D1706" t="inlineStr">
        <is>
          <t>VÄSTERBOTTENS LÄN</t>
        </is>
      </c>
      <c r="E1706" t="inlineStr">
        <is>
          <t>SKELLEFTEÅ</t>
        </is>
      </c>
      <c r="F1706" t="inlineStr">
        <is>
          <t>Sveaskog</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62319-2022</t>
        </is>
      </c>
      <c r="B1707" s="1" t="n">
        <v>44923</v>
      </c>
      <c r="C1707" s="1" t="n">
        <v>45633</v>
      </c>
      <c r="D1707" t="inlineStr">
        <is>
          <t>VÄSTERBOTTENS LÄN</t>
        </is>
      </c>
      <c r="E1707" t="inlineStr">
        <is>
          <t>SKELLEFTEÅ</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62483-2022</t>
        </is>
      </c>
      <c r="B1708" s="1" t="n">
        <v>44924</v>
      </c>
      <c r="C1708" s="1" t="n">
        <v>45633</v>
      </c>
      <c r="D1708" t="inlineStr">
        <is>
          <t>VÄSTERBOTTENS LÄN</t>
        </is>
      </c>
      <c r="E1708" t="inlineStr">
        <is>
          <t>SKELLEFTEÅ</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62577-2022</t>
        </is>
      </c>
      <c r="B1709" s="1" t="n">
        <v>44924</v>
      </c>
      <c r="C1709" s="1" t="n">
        <v>45633</v>
      </c>
      <c r="D1709" t="inlineStr">
        <is>
          <t>VÄSTERBOTTENS LÄN</t>
        </is>
      </c>
      <c r="E1709" t="inlineStr">
        <is>
          <t>SKELLEFTEÅ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62642-2022</t>
        </is>
      </c>
      <c r="B1710" s="1" t="n">
        <v>44925</v>
      </c>
      <c r="C1710" s="1" t="n">
        <v>45633</v>
      </c>
      <c r="D1710" t="inlineStr">
        <is>
          <t>VÄSTERBOTTENS LÄN</t>
        </is>
      </c>
      <c r="E1710" t="inlineStr">
        <is>
          <t>SKELLEFTEÅ</t>
        </is>
      </c>
      <c r="F1710" t="inlineStr">
        <is>
          <t>Holmen skog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531-2023</t>
        </is>
      </c>
      <c r="B1711" s="1" t="n">
        <v>44925</v>
      </c>
      <c r="C1711" s="1" t="n">
        <v>45633</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639-2023</t>
        </is>
      </c>
      <c r="B1712" s="1" t="n">
        <v>44928</v>
      </c>
      <c r="C1712" s="1" t="n">
        <v>45633</v>
      </c>
      <c r="D1712" t="inlineStr">
        <is>
          <t>VÄSTERBOTTENS LÄN</t>
        </is>
      </c>
      <c r="E1712" t="inlineStr">
        <is>
          <t>SKELLEFTEÅ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640-2023</t>
        </is>
      </c>
      <c r="B1713" s="1" t="n">
        <v>44928</v>
      </c>
      <c r="C1713" s="1" t="n">
        <v>45633</v>
      </c>
      <c r="D1713" t="inlineStr">
        <is>
          <t>VÄSTERBOTTENS LÄN</t>
        </is>
      </c>
      <c r="E1713" t="inlineStr">
        <is>
          <t>SKELLEFTEÅ</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1076-2023</t>
        </is>
      </c>
      <c r="B1714" s="1" t="n">
        <v>44929</v>
      </c>
      <c r="C1714" s="1" t="n">
        <v>45633</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547-2023</t>
        </is>
      </c>
      <c r="B1715" s="1" t="n">
        <v>44930</v>
      </c>
      <c r="C1715" s="1" t="n">
        <v>45633</v>
      </c>
      <c r="D1715" t="inlineStr">
        <is>
          <t>VÄSTERBOTTENS LÄN</t>
        </is>
      </c>
      <c r="E1715" t="inlineStr">
        <is>
          <t>SKELLEFTEÅ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589-2023</t>
        </is>
      </c>
      <c r="B1716" s="1" t="n">
        <v>44930</v>
      </c>
      <c r="C1716" s="1" t="n">
        <v>45633</v>
      </c>
      <c r="D1716" t="inlineStr">
        <is>
          <t>VÄSTERBOTTENS LÄN</t>
        </is>
      </c>
      <c r="E1716" t="inlineStr">
        <is>
          <t>SKELLEFTEÅ</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703-2023</t>
        </is>
      </c>
      <c r="B1717" s="1" t="n">
        <v>44930</v>
      </c>
      <c r="C1717" s="1" t="n">
        <v>45633</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707-2023</t>
        </is>
      </c>
      <c r="B1718" s="1" t="n">
        <v>44930</v>
      </c>
      <c r="C1718" s="1" t="n">
        <v>45633</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702-2023</t>
        </is>
      </c>
      <c r="B1719" s="1" t="n">
        <v>44930</v>
      </c>
      <c r="C1719" s="1" t="n">
        <v>45633</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706-2023</t>
        </is>
      </c>
      <c r="B1720" s="1" t="n">
        <v>44930</v>
      </c>
      <c r="C1720" s="1" t="n">
        <v>45633</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1206-2023</t>
        </is>
      </c>
      <c r="B1721" s="1" t="n">
        <v>44930</v>
      </c>
      <c r="C1721" s="1" t="n">
        <v>45633</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911-2023</t>
        </is>
      </c>
      <c r="B1722" s="1" t="n">
        <v>44931</v>
      </c>
      <c r="C1722" s="1" t="n">
        <v>45633</v>
      </c>
      <c r="D1722" t="inlineStr">
        <is>
          <t>VÄSTERBOTTENS LÄN</t>
        </is>
      </c>
      <c r="E1722" t="inlineStr">
        <is>
          <t>SKELLEFTEÅ</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900-2023</t>
        </is>
      </c>
      <c r="B1723" s="1" t="n">
        <v>44931</v>
      </c>
      <c r="C1723" s="1" t="n">
        <v>45633</v>
      </c>
      <c r="D1723" t="inlineStr">
        <is>
          <t>VÄSTERBOTTENS LÄN</t>
        </is>
      </c>
      <c r="E1723" t="inlineStr">
        <is>
          <t>SKELLEFTEÅ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904-2023</t>
        </is>
      </c>
      <c r="B1724" s="1" t="n">
        <v>44931</v>
      </c>
      <c r="C1724" s="1" t="n">
        <v>45633</v>
      </c>
      <c r="D1724" t="inlineStr">
        <is>
          <t>VÄSTERBOTTENS LÄN</t>
        </is>
      </c>
      <c r="E1724" t="inlineStr">
        <is>
          <t>SKELLEFTEÅ</t>
        </is>
      </c>
      <c r="G1724" t="n">
        <v>22.2</v>
      </c>
      <c r="H1724" t="n">
        <v>0</v>
      </c>
      <c r="I1724" t="n">
        <v>0</v>
      </c>
      <c r="J1724" t="n">
        <v>0</v>
      </c>
      <c r="K1724" t="n">
        <v>0</v>
      </c>
      <c r="L1724" t="n">
        <v>0</v>
      </c>
      <c r="M1724" t="n">
        <v>0</v>
      </c>
      <c r="N1724" t="n">
        <v>0</v>
      </c>
      <c r="O1724" t="n">
        <v>0</v>
      </c>
      <c r="P1724" t="n">
        <v>0</v>
      </c>
      <c r="Q1724" t="n">
        <v>0</v>
      </c>
      <c r="R1724" s="2" t="inlineStr"/>
    </row>
    <row r="1725" ht="15" customHeight="1">
      <c r="A1725" t="inlineStr">
        <is>
          <t>A 913-2023</t>
        </is>
      </c>
      <c r="B1725" s="1" t="n">
        <v>44931</v>
      </c>
      <c r="C1725" s="1" t="n">
        <v>45633</v>
      </c>
      <c r="D1725" t="inlineStr">
        <is>
          <t>VÄSTERBOTTENS LÄN</t>
        </is>
      </c>
      <c r="E1725" t="inlineStr">
        <is>
          <t>SKELLEFTEÅ</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909-2023</t>
        </is>
      </c>
      <c r="B1726" s="1" t="n">
        <v>44931</v>
      </c>
      <c r="C1726" s="1" t="n">
        <v>45633</v>
      </c>
      <c r="D1726" t="inlineStr">
        <is>
          <t>VÄSTERBOTTENS LÄN</t>
        </is>
      </c>
      <c r="E1726" t="inlineStr">
        <is>
          <t>SKELLEFTEÅ</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903-2023</t>
        </is>
      </c>
      <c r="B1727" s="1" t="n">
        <v>44931</v>
      </c>
      <c r="C1727" s="1" t="n">
        <v>45633</v>
      </c>
      <c r="D1727" t="inlineStr">
        <is>
          <t>VÄSTERBOTTENS LÄN</t>
        </is>
      </c>
      <c r="E1727" t="inlineStr">
        <is>
          <t>SKELLEFTEÅ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1113-2023</t>
        </is>
      </c>
      <c r="B1728" s="1" t="n">
        <v>44935</v>
      </c>
      <c r="C1728" s="1" t="n">
        <v>45633</v>
      </c>
      <c r="D1728" t="inlineStr">
        <is>
          <t>VÄSTERBOTTENS LÄN</t>
        </is>
      </c>
      <c r="E1728" t="inlineStr">
        <is>
          <t>SKELLEFTEÅ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1134-2023</t>
        </is>
      </c>
      <c r="B1729" s="1" t="n">
        <v>44935</v>
      </c>
      <c r="C1729" s="1" t="n">
        <v>45633</v>
      </c>
      <c r="D1729" t="inlineStr">
        <is>
          <t>VÄSTERBOTTENS LÄN</t>
        </is>
      </c>
      <c r="E1729" t="inlineStr">
        <is>
          <t>SKELLEFTEÅ</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1111-2023</t>
        </is>
      </c>
      <c r="B1730" s="1" t="n">
        <v>44935</v>
      </c>
      <c r="C1730" s="1" t="n">
        <v>45633</v>
      </c>
      <c r="D1730" t="inlineStr">
        <is>
          <t>VÄSTERBOTTENS LÄN</t>
        </is>
      </c>
      <c r="E1730" t="inlineStr">
        <is>
          <t>SKELLEFTEÅ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1612-2023</t>
        </is>
      </c>
      <c r="B1731" s="1" t="n">
        <v>44935</v>
      </c>
      <c r="C1731" s="1" t="n">
        <v>45633</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1528-2023</t>
        </is>
      </c>
      <c r="B1732" s="1" t="n">
        <v>44935</v>
      </c>
      <c r="C1732" s="1" t="n">
        <v>45633</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45633</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1639-2023</t>
        </is>
      </c>
      <c r="B1734" s="1" t="n">
        <v>44937</v>
      </c>
      <c r="C1734" s="1" t="n">
        <v>45633</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1640-2023</t>
        </is>
      </c>
      <c r="B1735" s="1" t="n">
        <v>44937</v>
      </c>
      <c r="C1735" s="1" t="n">
        <v>45633</v>
      </c>
      <c r="D1735" t="inlineStr">
        <is>
          <t>VÄSTERBOTTENS LÄN</t>
        </is>
      </c>
      <c r="E1735" t="inlineStr">
        <is>
          <t>SKELLEFTEÅ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1978-2023</t>
        </is>
      </c>
      <c r="B1736" s="1" t="n">
        <v>44937</v>
      </c>
      <c r="C1736" s="1" t="n">
        <v>45633</v>
      </c>
      <c r="D1736" t="inlineStr">
        <is>
          <t>VÄSTERBOTTENS LÄN</t>
        </is>
      </c>
      <c r="E1736" t="inlineStr">
        <is>
          <t>SKELLEFTEÅ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1988-2023</t>
        </is>
      </c>
      <c r="B1737" s="1" t="n">
        <v>44937</v>
      </c>
      <c r="C1737" s="1" t="n">
        <v>45633</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1666-2023</t>
        </is>
      </c>
      <c r="B1738" s="1" t="n">
        <v>44938</v>
      </c>
      <c r="C1738" s="1" t="n">
        <v>45633</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1858-2023</t>
        </is>
      </c>
      <c r="B1739" s="1" t="n">
        <v>44938</v>
      </c>
      <c r="C1739" s="1" t="n">
        <v>45633</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1933-2023</t>
        </is>
      </c>
      <c r="B1740" s="1" t="n">
        <v>44938</v>
      </c>
      <c r="C1740" s="1" t="n">
        <v>45633</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1853-2023</t>
        </is>
      </c>
      <c r="B1741" s="1" t="n">
        <v>44938</v>
      </c>
      <c r="C1741" s="1" t="n">
        <v>45633</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1859-2023</t>
        </is>
      </c>
      <c r="B1742" s="1" t="n">
        <v>44938</v>
      </c>
      <c r="C1742" s="1" t="n">
        <v>45633</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1854-2023</t>
        </is>
      </c>
      <c r="B1743" s="1" t="n">
        <v>44938</v>
      </c>
      <c r="C1743" s="1" t="n">
        <v>45633</v>
      </c>
      <c r="D1743" t="inlineStr">
        <is>
          <t>VÄSTERBOTTENS LÄN</t>
        </is>
      </c>
      <c r="E1743" t="inlineStr">
        <is>
          <t>SKELLEFTEÅ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1860-2023</t>
        </is>
      </c>
      <c r="B1744" s="1" t="n">
        <v>44938</v>
      </c>
      <c r="C1744" s="1" t="n">
        <v>45633</v>
      </c>
      <c r="D1744" t="inlineStr">
        <is>
          <t>VÄSTERBOTTENS LÄN</t>
        </is>
      </c>
      <c r="E1744" t="inlineStr">
        <is>
          <t>SKELLEFTEÅ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1942-2023</t>
        </is>
      </c>
      <c r="B1745" s="1" t="n">
        <v>44938</v>
      </c>
      <c r="C1745" s="1" t="n">
        <v>45633</v>
      </c>
      <c r="D1745" t="inlineStr">
        <is>
          <t>VÄSTERBOTTENS LÄN</t>
        </is>
      </c>
      <c r="E1745" t="inlineStr">
        <is>
          <t>SKELLEFTEÅ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2112-2023</t>
        </is>
      </c>
      <c r="B1746" s="1" t="n">
        <v>44939</v>
      </c>
      <c r="C1746" s="1" t="n">
        <v>45633</v>
      </c>
      <c r="D1746" t="inlineStr">
        <is>
          <t>VÄSTERBOTTENS LÄN</t>
        </is>
      </c>
      <c r="E1746" t="inlineStr">
        <is>
          <t>SKELLEFTEÅ</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2177-2023</t>
        </is>
      </c>
      <c r="B1747" s="1" t="n">
        <v>44942</v>
      </c>
      <c r="C1747" s="1" t="n">
        <v>45633</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2336-2023</t>
        </is>
      </c>
      <c r="B1748" s="1" t="n">
        <v>44942</v>
      </c>
      <c r="C1748" s="1" t="n">
        <v>45633</v>
      </c>
      <c r="D1748" t="inlineStr">
        <is>
          <t>VÄSTERBOTTENS LÄN</t>
        </is>
      </c>
      <c r="E1748" t="inlineStr">
        <is>
          <t>SKELLEFTEÅ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2395-2023</t>
        </is>
      </c>
      <c r="B1749" s="1" t="n">
        <v>44942</v>
      </c>
      <c r="C1749" s="1" t="n">
        <v>45633</v>
      </c>
      <c r="D1749" t="inlineStr">
        <is>
          <t>VÄSTERBOTTENS LÄN</t>
        </is>
      </c>
      <c r="E1749" t="inlineStr">
        <is>
          <t>SKELLEFTEÅ</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2393-2023</t>
        </is>
      </c>
      <c r="B1750" s="1" t="n">
        <v>44942</v>
      </c>
      <c r="C1750" s="1" t="n">
        <v>45633</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2439-2023</t>
        </is>
      </c>
      <c r="B1751" s="1" t="n">
        <v>44942</v>
      </c>
      <c r="C1751" s="1" t="n">
        <v>45633</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2718-2023</t>
        </is>
      </c>
      <c r="B1752" s="1" t="n">
        <v>44942</v>
      </c>
      <c r="C1752" s="1" t="n">
        <v>45633</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2496-2023</t>
        </is>
      </c>
      <c r="B1753" s="1" t="n">
        <v>44943</v>
      </c>
      <c r="C1753" s="1" t="n">
        <v>45633</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2444-2023</t>
        </is>
      </c>
      <c r="B1754" s="1" t="n">
        <v>44943</v>
      </c>
      <c r="C1754" s="1" t="n">
        <v>45633</v>
      </c>
      <c r="D1754" t="inlineStr">
        <is>
          <t>VÄSTERBOTTENS LÄN</t>
        </is>
      </c>
      <c r="E1754" t="inlineStr">
        <is>
          <t>SKELLEFTEÅ</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2720-2023</t>
        </is>
      </c>
      <c r="B1755" s="1" t="n">
        <v>44944</v>
      </c>
      <c r="C1755" s="1" t="n">
        <v>45633</v>
      </c>
      <c r="D1755" t="inlineStr">
        <is>
          <t>VÄSTERBOTTENS LÄN</t>
        </is>
      </c>
      <c r="E1755" t="inlineStr">
        <is>
          <t>SKELLEFTEÅ</t>
        </is>
      </c>
      <c r="G1755" t="n">
        <v>31.7</v>
      </c>
      <c r="H1755" t="n">
        <v>0</v>
      </c>
      <c r="I1755" t="n">
        <v>0</v>
      </c>
      <c r="J1755" t="n">
        <v>0</v>
      </c>
      <c r="K1755" t="n">
        <v>0</v>
      </c>
      <c r="L1755" t="n">
        <v>0</v>
      </c>
      <c r="M1755" t="n">
        <v>0</v>
      </c>
      <c r="N1755" t="n">
        <v>0</v>
      </c>
      <c r="O1755" t="n">
        <v>0</v>
      </c>
      <c r="P1755" t="n">
        <v>0</v>
      </c>
      <c r="Q1755" t="n">
        <v>0</v>
      </c>
      <c r="R1755" s="2" t="inlineStr"/>
    </row>
    <row r="1756" ht="15" customHeight="1">
      <c r="A1756" t="inlineStr">
        <is>
          <t>A 2895-2023</t>
        </is>
      </c>
      <c r="B1756" s="1" t="n">
        <v>44945</v>
      </c>
      <c r="C1756" s="1" t="n">
        <v>45633</v>
      </c>
      <c r="D1756" t="inlineStr">
        <is>
          <t>VÄSTERBOTTENS LÄN</t>
        </is>
      </c>
      <c r="E1756" t="inlineStr">
        <is>
          <t>SKELLEFTEÅ</t>
        </is>
      </c>
      <c r="F1756" t="inlineStr">
        <is>
          <t>Sveaskog</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3277-2023</t>
        </is>
      </c>
      <c r="B1757" s="1" t="n">
        <v>44945</v>
      </c>
      <c r="C1757" s="1" t="n">
        <v>45633</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3603-2023</t>
        </is>
      </c>
      <c r="B1758" s="1" t="n">
        <v>44946</v>
      </c>
      <c r="C1758" s="1" t="n">
        <v>45633</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3600-2023</t>
        </is>
      </c>
      <c r="B1759" s="1" t="n">
        <v>44946</v>
      </c>
      <c r="C1759" s="1" t="n">
        <v>45633</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3852-2023</t>
        </is>
      </c>
      <c r="B1760" s="1" t="n">
        <v>44950</v>
      </c>
      <c r="C1760" s="1" t="n">
        <v>45633</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3848-2023</t>
        </is>
      </c>
      <c r="B1761" s="1" t="n">
        <v>44950</v>
      </c>
      <c r="C1761" s="1" t="n">
        <v>45633</v>
      </c>
      <c r="D1761" t="inlineStr">
        <is>
          <t>VÄSTERBOTTENS LÄN</t>
        </is>
      </c>
      <c r="E1761" t="inlineStr">
        <is>
          <t>SKELLEFTEÅ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3744-2023</t>
        </is>
      </c>
      <c r="B1762" s="1" t="n">
        <v>44951</v>
      </c>
      <c r="C1762" s="1" t="n">
        <v>45633</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4447-2023</t>
        </is>
      </c>
      <c r="B1763" s="1" t="n">
        <v>44951</v>
      </c>
      <c r="C1763" s="1" t="n">
        <v>45633</v>
      </c>
      <c r="D1763" t="inlineStr">
        <is>
          <t>VÄSTERBOTTENS LÄN</t>
        </is>
      </c>
      <c r="E1763" t="inlineStr">
        <is>
          <t>SKELLEFTEÅ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4104-2023</t>
        </is>
      </c>
      <c r="B1764" s="1" t="n">
        <v>44952</v>
      </c>
      <c r="C1764" s="1" t="n">
        <v>45633</v>
      </c>
      <c r="D1764" t="inlineStr">
        <is>
          <t>VÄSTERBOTTENS LÄN</t>
        </is>
      </c>
      <c r="E1764" t="inlineStr">
        <is>
          <t>SKELLEFTEÅ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4031-2023</t>
        </is>
      </c>
      <c r="B1765" s="1" t="n">
        <v>44952</v>
      </c>
      <c r="C1765" s="1" t="n">
        <v>45633</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4102-2023</t>
        </is>
      </c>
      <c r="B1766" s="1" t="n">
        <v>44952</v>
      </c>
      <c r="C1766" s="1" t="n">
        <v>45633</v>
      </c>
      <c r="D1766" t="inlineStr">
        <is>
          <t>VÄSTERBOTTENS LÄN</t>
        </is>
      </c>
      <c r="E1766" t="inlineStr">
        <is>
          <t>SKELLEFTEÅ</t>
        </is>
      </c>
      <c r="F1766" t="inlineStr">
        <is>
          <t>Sveaskog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4458-2023</t>
        </is>
      </c>
      <c r="B1767" s="1" t="n">
        <v>44952</v>
      </c>
      <c r="C1767" s="1" t="n">
        <v>45633</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4453-2023</t>
        </is>
      </c>
      <c r="B1768" s="1" t="n">
        <v>44956</v>
      </c>
      <c r="C1768" s="1" t="n">
        <v>45633</v>
      </c>
      <c r="D1768" t="inlineStr">
        <is>
          <t>VÄSTERBOTTENS LÄN</t>
        </is>
      </c>
      <c r="E1768" t="inlineStr">
        <is>
          <t>SKELLEFTEÅ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4930-2023</t>
        </is>
      </c>
      <c r="B1769" s="1" t="n">
        <v>44956</v>
      </c>
      <c r="C1769" s="1" t="n">
        <v>45633</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4948-2023</t>
        </is>
      </c>
      <c r="B1770" s="1" t="n">
        <v>44956</v>
      </c>
      <c r="C1770" s="1" t="n">
        <v>45633</v>
      </c>
      <c r="D1770" t="inlineStr">
        <is>
          <t>VÄSTERBOTTENS LÄN</t>
        </is>
      </c>
      <c r="E1770" t="inlineStr">
        <is>
          <t>SKELLEFTEÅ</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4938-2023</t>
        </is>
      </c>
      <c r="B1771" s="1" t="n">
        <v>44956</v>
      </c>
      <c r="C1771" s="1" t="n">
        <v>45633</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4943-2023</t>
        </is>
      </c>
      <c r="B1772" s="1" t="n">
        <v>44956</v>
      </c>
      <c r="C1772" s="1" t="n">
        <v>45633</v>
      </c>
      <c r="D1772" t="inlineStr">
        <is>
          <t>VÄSTERBOTTENS LÄN</t>
        </is>
      </c>
      <c r="E1772" t="inlineStr">
        <is>
          <t>SKELLEFTEÅ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4710-2023</t>
        </is>
      </c>
      <c r="B1773" s="1" t="n">
        <v>44957</v>
      </c>
      <c r="C1773" s="1" t="n">
        <v>45633</v>
      </c>
      <c r="D1773" t="inlineStr">
        <is>
          <t>VÄSTERBOTTENS LÄN</t>
        </is>
      </c>
      <c r="E1773" t="inlineStr">
        <is>
          <t>SKELLEFTEÅ</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5416-2023</t>
        </is>
      </c>
      <c r="B1774" s="1" t="n">
        <v>44957</v>
      </c>
      <c r="C1774" s="1" t="n">
        <v>45633</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5481-2023</t>
        </is>
      </c>
      <c r="B1775" s="1" t="n">
        <v>44957</v>
      </c>
      <c r="C1775" s="1" t="n">
        <v>45633</v>
      </c>
      <c r="D1775" t="inlineStr">
        <is>
          <t>VÄSTERBOTTENS LÄN</t>
        </is>
      </c>
      <c r="E1775" t="inlineStr">
        <is>
          <t>SKELLEFTEÅ</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5495-2023</t>
        </is>
      </c>
      <c r="B1776" s="1" t="n">
        <v>44957</v>
      </c>
      <c r="C1776" s="1" t="n">
        <v>45633</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5515-2023</t>
        </is>
      </c>
      <c r="B1777" s="1" t="n">
        <v>44957</v>
      </c>
      <c r="C1777" s="1" t="n">
        <v>45633</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5490-2023</t>
        </is>
      </c>
      <c r="B1778" s="1" t="n">
        <v>44957</v>
      </c>
      <c r="C1778" s="1" t="n">
        <v>45633</v>
      </c>
      <c r="D1778" t="inlineStr">
        <is>
          <t>VÄSTERBOTTENS LÄN</t>
        </is>
      </c>
      <c r="E1778" t="inlineStr">
        <is>
          <t>SKELLEFTEÅ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5373-2023</t>
        </is>
      </c>
      <c r="B1779" s="1" t="n">
        <v>44957</v>
      </c>
      <c r="C1779" s="1" t="n">
        <v>45633</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5973-2023</t>
        </is>
      </c>
      <c r="B1780" s="1" t="n">
        <v>44959</v>
      </c>
      <c r="C1780" s="1" t="n">
        <v>45633</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5996-2023</t>
        </is>
      </c>
      <c r="B1781" s="1" t="n">
        <v>44959</v>
      </c>
      <c r="C1781" s="1" t="n">
        <v>45633</v>
      </c>
      <c r="D1781" t="inlineStr">
        <is>
          <t>VÄSTERBOTTENS LÄN</t>
        </is>
      </c>
      <c r="E1781" t="inlineStr">
        <is>
          <t>SKELLEFTEÅ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6016-2023</t>
        </is>
      </c>
      <c r="B1782" s="1" t="n">
        <v>44959</v>
      </c>
      <c r="C1782" s="1" t="n">
        <v>45633</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5986-2023</t>
        </is>
      </c>
      <c r="B1783" s="1" t="n">
        <v>44959</v>
      </c>
      <c r="C1783" s="1" t="n">
        <v>45633</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5991-2023</t>
        </is>
      </c>
      <c r="B1784" s="1" t="n">
        <v>44959</v>
      </c>
      <c r="C1784" s="1" t="n">
        <v>45633</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6012-2023</t>
        </is>
      </c>
      <c r="B1785" s="1" t="n">
        <v>44959</v>
      </c>
      <c r="C1785" s="1" t="n">
        <v>45633</v>
      </c>
      <c r="D1785" t="inlineStr">
        <is>
          <t>VÄSTERBOTTENS LÄN</t>
        </is>
      </c>
      <c r="E1785" t="inlineStr">
        <is>
          <t>SKELLEFTEÅ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5687-2023</t>
        </is>
      </c>
      <c r="B1786" s="1" t="n">
        <v>44960</v>
      </c>
      <c r="C1786" s="1" t="n">
        <v>45633</v>
      </c>
      <c r="D1786" t="inlineStr">
        <is>
          <t>VÄSTERBOTTENS LÄN</t>
        </is>
      </c>
      <c r="E1786" t="inlineStr">
        <is>
          <t>SKELLEFTEÅ</t>
        </is>
      </c>
      <c r="F1786" t="inlineStr">
        <is>
          <t>Sveaskog</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5470-2023</t>
        </is>
      </c>
      <c r="B1787" s="1" t="n">
        <v>44960</v>
      </c>
      <c r="C1787" s="1" t="n">
        <v>45633</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5541-2023</t>
        </is>
      </c>
      <c r="B1788" s="1" t="n">
        <v>44960</v>
      </c>
      <c r="C1788" s="1" t="n">
        <v>45633</v>
      </c>
      <c r="D1788" t="inlineStr">
        <is>
          <t>VÄSTERBOTTENS LÄN</t>
        </is>
      </c>
      <c r="E1788" t="inlineStr">
        <is>
          <t>SKELLEFTEÅ</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5602-2023</t>
        </is>
      </c>
      <c r="B1789" s="1" t="n">
        <v>44960</v>
      </c>
      <c r="C1789" s="1" t="n">
        <v>45633</v>
      </c>
      <c r="D1789" t="inlineStr">
        <is>
          <t>VÄSTERBOTTENS LÄN</t>
        </is>
      </c>
      <c r="E1789" t="inlineStr">
        <is>
          <t>SKELLEFTEÅ</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5740-2023</t>
        </is>
      </c>
      <c r="B1790" s="1" t="n">
        <v>44962</v>
      </c>
      <c r="C1790" s="1" t="n">
        <v>45633</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5744-2023</t>
        </is>
      </c>
      <c r="B1791" s="1" t="n">
        <v>44962</v>
      </c>
      <c r="C1791" s="1" t="n">
        <v>45633</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5743-2023</t>
        </is>
      </c>
      <c r="B1792" s="1" t="n">
        <v>44962</v>
      </c>
      <c r="C1792" s="1" t="n">
        <v>45633</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5929-2023</t>
        </is>
      </c>
      <c r="B1793" s="1" t="n">
        <v>44963</v>
      </c>
      <c r="C1793" s="1" t="n">
        <v>45633</v>
      </c>
      <c r="D1793" t="inlineStr">
        <is>
          <t>VÄSTERBOTTENS LÄN</t>
        </is>
      </c>
      <c r="E1793" t="inlineStr">
        <is>
          <t>SKELLEFTEÅ</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5959-2023</t>
        </is>
      </c>
      <c r="B1794" s="1" t="n">
        <v>44963</v>
      </c>
      <c r="C1794" s="1" t="n">
        <v>45633</v>
      </c>
      <c r="D1794" t="inlineStr">
        <is>
          <t>VÄSTERBOTTENS LÄN</t>
        </is>
      </c>
      <c r="E1794" t="inlineStr">
        <is>
          <t>SKELLEFTEÅ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6596-2023</t>
        </is>
      </c>
      <c r="B1795" s="1" t="n">
        <v>44963</v>
      </c>
      <c r="C1795" s="1" t="n">
        <v>45633</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6656-2023</t>
        </is>
      </c>
      <c r="B1796" s="1" t="n">
        <v>44963</v>
      </c>
      <c r="C1796" s="1" t="n">
        <v>45633</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5965-2023</t>
        </is>
      </c>
      <c r="B1797" s="1" t="n">
        <v>44964</v>
      </c>
      <c r="C1797" s="1" t="n">
        <v>45633</v>
      </c>
      <c r="D1797" t="inlineStr">
        <is>
          <t>VÄSTERBOTTENS LÄN</t>
        </is>
      </c>
      <c r="E1797" t="inlineStr">
        <is>
          <t>SKELLEFTEÅ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6441-2023</t>
        </is>
      </c>
      <c r="B1798" s="1" t="n">
        <v>44965</v>
      </c>
      <c r="C1798" s="1" t="n">
        <v>45633</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6443-2023</t>
        </is>
      </c>
      <c r="B1799" s="1" t="n">
        <v>44965</v>
      </c>
      <c r="C1799" s="1" t="n">
        <v>45633</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6442-2023</t>
        </is>
      </c>
      <c r="B1800" s="1" t="n">
        <v>44965</v>
      </c>
      <c r="C1800" s="1" t="n">
        <v>45633</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6450-2023</t>
        </is>
      </c>
      <c r="B1801" s="1" t="n">
        <v>44965</v>
      </c>
      <c r="C1801" s="1" t="n">
        <v>45633</v>
      </c>
      <c r="D1801" t="inlineStr">
        <is>
          <t>VÄSTERBOTTENS LÄN</t>
        </is>
      </c>
      <c r="E1801" t="inlineStr">
        <is>
          <t>SKELLEFTEÅ</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6511-2023</t>
        </is>
      </c>
      <c r="B1802" s="1" t="n">
        <v>44966</v>
      </c>
      <c r="C1802" s="1" t="n">
        <v>45633</v>
      </c>
      <c r="D1802" t="inlineStr">
        <is>
          <t>VÄSTERBOTTENS LÄN</t>
        </is>
      </c>
      <c r="E1802" t="inlineStr">
        <is>
          <t>SKELLEFTEÅ</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7023-2023</t>
        </is>
      </c>
      <c r="B1803" s="1" t="n">
        <v>44968</v>
      </c>
      <c r="C1803" s="1" t="n">
        <v>45633</v>
      </c>
      <c r="D1803" t="inlineStr">
        <is>
          <t>VÄSTERBOTTENS LÄN</t>
        </is>
      </c>
      <c r="E1803" t="inlineStr">
        <is>
          <t>SKELLEFTEÅ</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7022-2023</t>
        </is>
      </c>
      <c r="B1804" s="1" t="n">
        <v>44968</v>
      </c>
      <c r="C1804" s="1" t="n">
        <v>45633</v>
      </c>
      <c r="D1804" t="inlineStr">
        <is>
          <t>VÄSTERBOTTENS LÄN</t>
        </is>
      </c>
      <c r="E1804" t="inlineStr">
        <is>
          <t>SKELLEFTEÅ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7875-2023</t>
        </is>
      </c>
      <c r="B1805" s="1" t="n">
        <v>44967</v>
      </c>
      <c r="C1805" s="1" t="n">
        <v>45633</v>
      </c>
      <c r="D1805" t="inlineStr">
        <is>
          <t>VÄSTERBOTTENS LÄN</t>
        </is>
      </c>
      <c r="E1805" t="inlineStr">
        <is>
          <t>SKELLEFTEÅ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7364-2023</t>
        </is>
      </c>
      <c r="B1806" s="1" t="n">
        <v>44971</v>
      </c>
      <c r="C1806" s="1" t="n">
        <v>45633</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7517-2023</t>
        </is>
      </c>
      <c r="B1807" s="1" t="n">
        <v>44971</v>
      </c>
      <c r="C1807" s="1" t="n">
        <v>45633</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7516-2023</t>
        </is>
      </c>
      <c r="B1808" s="1" t="n">
        <v>44971</v>
      </c>
      <c r="C1808" s="1" t="n">
        <v>45633</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8206-2023</t>
        </is>
      </c>
      <c r="B1809" s="1" t="n">
        <v>44971</v>
      </c>
      <c r="C1809" s="1" t="n">
        <v>45633</v>
      </c>
      <c r="D1809" t="inlineStr">
        <is>
          <t>VÄSTERBOTTENS LÄN</t>
        </is>
      </c>
      <c r="E1809" t="inlineStr">
        <is>
          <t>SKELLEFTEÅ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8422-2023</t>
        </is>
      </c>
      <c r="B1810" s="1" t="n">
        <v>44972</v>
      </c>
      <c r="C1810" s="1" t="n">
        <v>45633</v>
      </c>
      <c r="D1810" t="inlineStr">
        <is>
          <t>VÄSTERBOTTENS LÄN</t>
        </is>
      </c>
      <c r="E1810" t="inlineStr">
        <is>
          <t>SKELLEFTEÅ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8477-2023</t>
        </is>
      </c>
      <c r="B1811" s="1" t="n">
        <v>44972</v>
      </c>
      <c r="C1811" s="1" t="n">
        <v>45633</v>
      </c>
      <c r="D1811" t="inlineStr">
        <is>
          <t>VÄSTERBOTTENS LÄN</t>
        </is>
      </c>
      <c r="E1811" t="inlineStr">
        <is>
          <t>SKELLEFTEÅ</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8479-2023</t>
        </is>
      </c>
      <c r="B1812" s="1" t="n">
        <v>44972</v>
      </c>
      <c r="C1812" s="1" t="n">
        <v>45633</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8549-2023</t>
        </is>
      </c>
      <c r="B1813" s="1" t="n">
        <v>44972</v>
      </c>
      <c r="C1813" s="1" t="n">
        <v>45633</v>
      </c>
      <c r="D1813" t="inlineStr">
        <is>
          <t>VÄSTERBOTTENS LÄN</t>
        </is>
      </c>
      <c r="E1813" t="inlineStr">
        <is>
          <t>SKELLEFTEÅ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8480-2023</t>
        </is>
      </c>
      <c r="B1814" s="1" t="n">
        <v>44972</v>
      </c>
      <c r="C1814" s="1" t="n">
        <v>45633</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7712-2023</t>
        </is>
      </c>
      <c r="B1815" s="1" t="n">
        <v>44972</v>
      </c>
      <c r="C1815" s="1" t="n">
        <v>45633</v>
      </c>
      <c r="D1815" t="inlineStr">
        <is>
          <t>VÄSTERBOTTENS LÄN</t>
        </is>
      </c>
      <c r="E1815" t="inlineStr">
        <is>
          <t>SKELLEFTEÅ</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8478-2023</t>
        </is>
      </c>
      <c r="B1816" s="1" t="n">
        <v>44972</v>
      </c>
      <c r="C1816" s="1" t="n">
        <v>45633</v>
      </c>
      <c r="D1816" t="inlineStr">
        <is>
          <t>VÄSTERBOTTENS LÄN</t>
        </is>
      </c>
      <c r="E1816" t="inlineStr">
        <is>
          <t>SKELLEFTEÅ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8563-2023</t>
        </is>
      </c>
      <c r="B1817" s="1" t="n">
        <v>44972</v>
      </c>
      <c r="C1817" s="1" t="n">
        <v>45633</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8028-2023</t>
        </is>
      </c>
      <c r="B1818" s="1" t="n">
        <v>44973</v>
      </c>
      <c r="C1818" s="1" t="n">
        <v>45633</v>
      </c>
      <c r="D1818" t="inlineStr">
        <is>
          <t>VÄSTERBOTTENS LÄN</t>
        </is>
      </c>
      <c r="E1818" t="inlineStr">
        <is>
          <t>SKELLEFTEÅ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8029-2023</t>
        </is>
      </c>
      <c r="B1819" s="1" t="n">
        <v>44973</v>
      </c>
      <c r="C1819" s="1" t="n">
        <v>45633</v>
      </c>
      <c r="D1819" t="inlineStr">
        <is>
          <t>VÄSTERBOTTENS LÄN</t>
        </is>
      </c>
      <c r="E1819" t="inlineStr">
        <is>
          <t>SKELLEFTEÅ</t>
        </is>
      </c>
      <c r="F1819" t="inlineStr">
        <is>
          <t>SCA</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8328-2023</t>
        </is>
      </c>
      <c r="B1820" s="1" t="n">
        <v>44974</v>
      </c>
      <c r="C1820" s="1" t="n">
        <v>45633</v>
      </c>
      <c r="D1820" t="inlineStr">
        <is>
          <t>VÄSTERBOTTENS LÄN</t>
        </is>
      </c>
      <c r="E1820" t="inlineStr">
        <is>
          <t>SKELLEFTEÅ</t>
        </is>
      </c>
      <c r="G1820" t="n">
        <v>18.5</v>
      </c>
      <c r="H1820" t="n">
        <v>0</v>
      </c>
      <c r="I1820" t="n">
        <v>0</v>
      </c>
      <c r="J1820" t="n">
        <v>0</v>
      </c>
      <c r="K1820" t="n">
        <v>0</v>
      </c>
      <c r="L1820" t="n">
        <v>0</v>
      </c>
      <c r="M1820" t="n">
        <v>0</v>
      </c>
      <c r="N1820" t="n">
        <v>0</v>
      </c>
      <c r="O1820" t="n">
        <v>0</v>
      </c>
      <c r="P1820" t="n">
        <v>0</v>
      </c>
      <c r="Q1820" t="n">
        <v>0</v>
      </c>
      <c r="R1820" s="2" t="inlineStr"/>
    </row>
    <row r="1821" ht="15" customHeight="1">
      <c r="A1821" t="inlineStr">
        <is>
          <t>A 8930-2023</t>
        </is>
      </c>
      <c r="B1821" s="1" t="n">
        <v>44974</v>
      </c>
      <c r="C1821" s="1" t="n">
        <v>45633</v>
      </c>
      <c r="D1821" t="inlineStr">
        <is>
          <t>VÄSTERBOTTENS LÄN</t>
        </is>
      </c>
      <c r="E1821" t="inlineStr">
        <is>
          <t>SKELLEFTEÅ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8952-2023</t>
        </is>
      </c>
      <c r="B1822" s="1" t="n">
        <v>44974</v>
      </c>
      <c r="C1822" s="1" t="n">
        <v>45633</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8648-2023</t>
        </is>
      </c>
      <c r="B1823" s="1" t="n">
        <v>44978</v>
      </c>
      <c r="C1823" s="1" t="n">
        <v>45633</v>
      </c>
      <c r="D1823" t="inlineStr">
        <is>
          <t>VÄSTERBOTTENS LÄN</t>
        </is>
      </c>
      <c r="E1823" t="inlineStr">
        <is>
          <t>SKELLEFTEÅ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9624-2023</t>
        </is>
      </c>
      <c r="B1824" s="1" t="n">
        <v>44978</v>
      </c>
      <c r="C1824" s="1" t="n">
        <v>45633</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8801-2023</t>
        </is>
      </c>
      <c r="B1825" s="1" t="n">
        <v>44978</v>
      </c>
      <c r="C1825" s="1" t="n">
        <v>45633</v>
      </c>
      <c r="D1825" t="inlineStr">
        <is>
          <t>VÄSTERBOTTENS LÄN</t>
        </is>
      </c>
      <c r="E1825" t="inlineStr">
        <is>
          <t>SKELLEFTEÅ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9619-2023</t>
        </is>
      </c>
      <c r="B1826" s="1" t="n">
        <v>44978</v>
      </c>
      <c r="C1826" s="1" t="n">
        <v>45633</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9740-2023</t>
        </is>
      </c>
      <c r="B1827" s="1" t="n">
        <v>44978</v>
      </c>
      <c r="C1827" s="1" t="n">
        <v>45633</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9027-2023</t>
        </is>
      </c>
      <c r="B1828" s="1" t="n">
        <v>44979</v>
      </c>
      <c r="C1828" s="1" t="n">
        <v>45633</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9078-2023</t>
        </is>
      </c>
      <c r="B1829" s="1" t="n">
        <v>44979</v>
      </c>
      <c r="C1829" s="1" t="n">
        <v>45633</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9080-2023</t>
        </is>
      </c>
      <c r="B1830" s="1" t="n">
        <v>44979</v>
      </c>
      <c r="C1830" s="1" t="n">
        <v>45633</v>
      </c>
      <c r="D1830" t="inlineStr">
        <is>
          <t>VÄSTERBOTTENS LÄN</t>
        </is>
      </c>
      <c r="E1830" t="inlineStr">
        <is>
          <t>SKELLEFTEÅ</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9980-2023</t>
        </is>
      </c>
      <c r="B1831" s="1" t="n">
        <v>44979</v>
      </c>
      <c r="C1831" s="1" t="n">
        <v>45633</v>
      </c>
      <c r="D1831" t="inlineStr">
        <is>
          <t>VÄSTERBOTTENS LÄN</t>
        </is>
      </c>
      <c r="E1831" t="inlineStr">
        <is>
          <t>SKELLEFTEÅ</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9079-2023</t>
        </is>
      </c>
      <c r="B1832" s="1" t="n">
        <v>44979</v>
      </c>
      <c r="C1832" s="1" t="n">
        <v>45633</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9982-2023</t>
        </is>
      </c>
      <c r="B1833" s="1" t="n">
        <v>44979</v>
      </c>
      <c r="C1833" s="1" t="n">
        <v>45633</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10172-2023</t>
        </is>
      </c>
      <c r="B1834" s="1" t="n">
        <v>44979</v>
      </c>
      <c r="C1834" s="1" t="n">
        <v>45633</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9209-2023</t>
        </is>
      </c>
      <c r="B1835" s="1" t="n">
        <v>44980</v>
      </c>
      <c r="C1835" s="1" t="n">
        <v>45633</v>
      </c>
      <c r="D1835" t="inlineStr">
        <is>
          <t>VÄSTERBOTTENS LÄN</t>
        </is>
      </c>
      <c r="E1835" t="inlineStr">
        <is>
          <t>SKELLEFTEÅ</t>
        </is>
      </c>
      <c r="F1835" t="inlineStr">
        <is>
          <t>Holmen skog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9343-2023</t>
        </is>
      </c>
      <c r="B1836" s="1" t="n">
        <v>44980</v>
      </c>
      <c r="C1836" s="1" t="n">
        <v>45633</v>
      </c>
      <c r="D1836" t="inlineStr">
        <is>
          <t>VÄSTERBOTTENS LÄN</t>
        </is>
      </c>
      <c r="E1836" t="inlineStr">
        <is>
          <t>SKELLEFTEÅ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9342-2023</t>
        </is>
      </c>
      <c r="B1837" s="1" t="n">
        <v>44980</v>
      </c>
      <c r="C1837" s="1" t="n">
        <v>45633</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9345-2023</t>
        </is>
      </c>
      <c r="B1838" s="1" t="n">
        <v>44980</v>
      </c>
      <c r="C1838" s="1" t="n">
        <v>45633</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9402-2023</t>
        </is>
      </c>
      <c r="B1839" s="1" t="n">
        <v>44981</v>
      </c>
      <c r="C1839" s="1" t="n">
        <v>45633</v>
      </c>
      <c r="D1839" t="inlineStr">
        <is>
          <t>VÄSTERBOTTENS LÄN</t>
        </is>
      </c>
      <c r="E1839" t="inlineStr">
        <is>
          <t>SKELLEFTEÅ</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9463-2023</t>
        </is>
      </c>
      <c r="B1840" s="1" t="n">
        <v>44981</v>
      </c>
      <c r="C1840" s="1" t="n">
        <v>45633</v>
      </c>
      <c r="D1840" t="inlineStr">
        <is>
          <t>VÄSTERBOTTENS LÄN</t>
        </is>
      </c>
      <c r="E1840" t="inlineStr">
        <is>
          <t>SKELLEFTEÅ</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10568-2023</t>
        </is>
      </c>
      <c r="B1841" s="1" t="n">
        <v>44981</v>
      </c>
      <c r="C1841" s="1" t="n">
        <v>45633</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10567-2023</t>
        </is>
      </c>
      <c r="B1842" s="1" t="n">
        <v>44981</v>
      </c>
      <c r="C1842" s="1" t="n">
        <v>45633</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10570-2023</t>
        </is>
      </c>
      <c r="B1843" s="1" t="n">
        <v>44981</v>
      </c>
      <c r="C1843" s="1" t="n">
        <v>45633</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10696-2023</t>
        </is>
      </c>
      <c r="B1844" s="1" t="n">
        <v>44984</v>
      </c>
      <c r="C1844" s="1" t="n">
        <v>45633</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10647-2023</t>
        </is>
      </c>
      <c r="B1845" s="1" t="n">
        <v>44984</v>
      </c>
      <c r="C1845" s="1" t="n">
        <v>45633</v>
      </c>
      <c r="D1845" t="inlineStr">
        <is>
          <t>VÄSTERBOTTENS LÄN</t>
        </is>
      </c>
      <c r="E1845" t="inlineStr">
        <is>
          <t>SKELLEFTEÅ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10072-2023</t>
        </is>
      </c>
      <c r="B1846" s="1" t="n">
        <v>44985</v>
      </c>
      <c r="C1846" s="1" t="n">
        <v>45633</v>
      </c>
      <c r="D1846" t="inlineStr">
        <is>
          <t>VÄSTERBOTTENS LÄN</t>
        </is>
      </c>
      <c r="E1846" t="inlineStr">
        <is>
          <t>SKELLEFTEÅ</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10073-2023</t>
        </is>
      </c>
      <c r="B1847" s="1" t="n">
        <v>44985</v>
      </c>
      <c r="C1847" s="1" t="n">
        <v>45633</v>
      </c>
      <c r="D1847" t="inlineStr">
        <is>
          <t>VÄSTERBOTTENS LÄN</t>
        </is>
      </c>
      <c r="E1847" t="inlineStr">
        <is>
          <t>SKELLEFTEÅ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10840-2023</t>
        </is>
      </c>
      <c r="B1848" s="1" t="n">
        <v>44985</v>
      </c>
      <c r="C1848" s="1" t="n">
        <v>45633</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10846-2023</t>
        </is>
      </c>
      <c r="B1849" s="1" t="n">
        <v>44985</v>
      </c>
      <c r="C1849" s="1" t="n">
        <v>45633</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10852-2023</t>
        </is>
      </c>
      <c r="B1850" s="1" t="n">
        <v>44985</v>
      </c>
      <c r="C1850" s="1" t="n">
        <v>45633</v>
      </c>
      <c r="D1850" t="inlineStr">
        <is>
          <t>VÄSTERBOTTENS LÄN</t>
        </is>
      </c>
      <c r="E1850" t="inlineStr">
        <is>
          <t>SKELLEFTEÅ</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10291-2023</t>
        </is>
      </c>
      <c r="B1851" s="1" t="n">
        <v>44986</v>
      </c>
      <c r="C1851" s="1" t="n">
        <v>45633</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11030-2023</t>
        </is>
      </c>
      <c r="B1852" s="1" t="n">
        <v>44991</v>
      </c>
      <c r="C1852" s="1" t="n">
        <v>45633</v>
      </c>
      <c r="D1852" t="inlineStr">
        <is>
          <t>VÄSTERBOTTENS LÄN</t>
        </is>
      </c>
      <c r="E1852" t="inlineStr">
        <is>
          <t>SKELLEFTEÅ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11028-2023</t>
        </is>
      </c>
      <c r="B1853" s="1" t="n">
        <v>44991</v>
      </c>
      <c r="C1853" s="1" t="n">
        <v>45633</v>
      </c>
      <c r="D1853" t="inlineStr">
        <is>
          <t>VÄSTERBOTTENS LÄN</t>
        </is>
      </c>
      <c r="E1853" t="inlineStr">
        <is>
          <t>SKELLEFTEÅ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11031-2023</t>
        </is>
      </c>
      <c r="B1854" s="1" t="n">
        <v>44991</v>
      </c>
      <c r="C1854" s="1" t="n">
        <v>45633</v>
      </c>
      <c r="D1854" t="inlineStr">
        <is>
          <t>VÄSTERBOTTENS LÄN</t>
        </is>
      </c>
      <c r="E1854" t="inlineStr">
        <is>
          <t>SKELLEFTEÅ</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11029-2023</t>
        </is>
      </c>
      <c r="B1855" s="1" t="n">
        <v>44991</v>
      </c>
      <c r="C1855" s="1" t="n">
        <v>45633</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11707-2023</t>
        </is>
      </c>
      <c r="B1856" s="1" t="n">
        <v>44992</v>
      </c>
      <c r="C1856" s="1" t="n">
        <v>45633</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11377-2023</t>
        </is>
      </c>
      <c r="B1857" s="1" t="n">
        <v>44993</v>
      </c>
      <c r="C1857" s="1" t="n">
        <v>45633</v>
      </c>
      <c r="D1857" t="inlineStr">
        <is>
          <t>VÄSTERBOTTENS LÄN</t>
        </is>
      </c>
      <c r="E1857" t="inlineStr">
        <is>
          <t>SKELLEFTEÅ</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11339-2023</t>
        </is>
      </c>
      <c r="B1858" s="1" t="n">
        <v>44993</v>
      </c>
      <c r="C1858" s="1" t="n">
        <v>45633</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11624-2023</t>
        </is>
      </c>
      <c r="B1859" s="1" t="n">
        <v>44994</v>
      </c>
      <c r="C1859" s="1" t="n">
        <v>45633</v>
      </c>
      <c r="D1859" t="inlineStr">
        <is>
          <t>VÄSTERBOTTENS LÄN</t>
        </is>
      </c>
      <c r="E1859" t="inlineStr">
        <is>
          <t>SKELLEFTEÅ</t>
        </is>
      </c>
      <c r="G1859" t="n">
        <v>47.6</v>
      </c>
      <c r="H1859" t="n">
        <v>0</v>
      </c>
      <c r="I1859" t="n">
        <v>0</v>
      </c>
      <c r="J1859" t="n">
        <v>0</v>
      </c>
      <c r="K1859" t="n">
        <v>0</v>
      </c>
      <c r="L1859" t="n">
        <v>0</v>
      </c>
      <c r="M1859" t="n">
        <v>0</v>
      </c>
      <c r="N1859" t="n">
        <v>0</v>
      </c>
      <c r="O1859" t="n">
        <v>0</v>
      </c>
      <c r="P1859" t="n">
        <v>0</v>
      </c>
      <c r="Q1859" t="n">
        <v>0</v>
      </c>
      <c r="R1859" s="2" t="inlineStr"/>
    </row>
    <row r="1860" ht="15" customHeight="1">
      <c r="A1860" t="inlineStr">
        <is>
          <t>A 11629-2023</t>
        </is>
      </c>
      <c r="B1860" s="1" t="n">
        <v>44994</v>
      </c>
      <c r="C1860" s="1" t="n">
        <v>45633</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11638-2023</t>
        </is>
      </c>
      <c r="B1861" s="1" t="n">
        <v>44994</v>
      </c>
      <c r="C1861" s="1" t="n">
        <v>45633</v>
      </c>
      <c r="D1861" t="inlineStr">
        <is>
          <t>VÄSTERBOTTENS LÄN</t>
        </is>
      </c>
      <c r="E1861" t="inlineStr">
        <is>
          <t>SKELLEFTEÅ</t>
        </is>
      </c>
      <c r="G1861" t="n">
        <v>19.8</v>
      </c>
      <c r="H1861" t="n">
        <v>0</v>
      </c>
      <c r="I1861" t="n">
        <v>0</v>
      </c>
      <c r="J1861" t="n">
        <v>0</v>
      </c>
      <c r="K1861" t="n">
        <v>0</v>
      </c>
      <c r="L1861" t="n">
        <v>0</v>
      </c>
      <c r="M1861" t="n">
        <v>0</v>
      </c>
      <c r="N1861" t="n">
        <v>0</v>
      </c>
      <c r="O1861" t="n">
        <v>0</v>
      </c>
      <c r="P1861" t="n">
        <v>0</v>
      </c>
      <c r="Q1861" t="n">
        <v>0</v>
      </c>
      <c r="R1861" s="2" t="inlineStr"/>
    </row>
    <row r="1862" ht="15" customHeight="1">
      <c r="A1862" t="inlineStr">
        <is>
          <t>A 11642-2023</t>
        </is>
      </c>
      <c r="B1862" s="1" t="n">
        <v>44994</v>
      </c>
      <c r="C1862" s="1" t="n">
        <v>45633</v>
      </c>
      <c r="D1862" t="inlineStr">
        <is>
          <t>VÄSTERBOTTENS LÄN</t>
        </is>
      </c>
      <c r="E1862" t="inlineStr">
        <is>
          <t>SKELLEFTEÅ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11771-2023</t>
        </is>
      </c>
      <c r="B1863" s="1" t="n">
        <v>44994</v>
      </c>
      <c r="C1863" s="1" t="n">
        <v>45633</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11973-2023</t>
        </is>
      </c>
      <c r="B1864" s="1" t="n">
        <v>44994</v>
      </c>
      <c r="C1864" s="1" t="n">
        <v>45633</v>
      </c>
      <c r="D1864" t="inlineStr">
        <is>
          <t>VÄSTERBOTTENS LÄN</t>
        </is>
      </c>
      <c r="E1864" t="inlineStr">
        <is>
          <t>SKELLEFTEÅ</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11963-2023</t>
        </is>
      </c>
      <c r="B1865" s="1" t="n">
        <v>44994</v>
      </c>
      <c r="C1865" s="1" t="n">
        <v>45633</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11989-2023</t>
        </is>
      </c>
      <c r="B1866" s="1" t="n">
        <v>44994</v>
      </c>
      <c r="C1866" s="1" t="n">
        <v>45633</v>
      </c>
      <c r="D1866" t="inlineStr">
        <is>
          <t>VÄSTERBOTTENS LÄN</t>
        </is>
      </c>
      <c r="E1866" t="inlineStr">
        <is>
          <t>SKELLEFTEÅ</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11995-2023</t>
        </is>
      </c>
      <c r="B1867" s="1" t="n">
        <v>44994</v>
      </c>
      <c r="C1867" s="1" t="n">
        <v>45633</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11942-2023</t>
        </is>
      </c>
      <c r="B1868" s="1" t="n">
        <v>44995</v>
      </c>
      <c r="C1868" s="1" t="n">
        <v>45633</v>
      </c>
      <c r="D1868" t="inlineStr">
        <is>
          <t>VÄSTERBOTTENS LÄN</t>
        </is>
      </c>
      <c r="E1868" t="inlineStr">
        <is>
          <t>SKELLEFTEÅ</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12017-2023</t>
        </is>
      </c>
      <c r="B1869" s="1" t="n">
        <v>44995</v>
      </c>
      <c r="C1869" s="1" t="n">
        <v>45633</v>
      </c>
      <c r="D1869" t="inlineStr">
        <is>
          <t>VÄSTERBOTTENS LÄN</t>
        </is>
      </c>
      <c r="E1869" t="inlineStr">
        <is>
          <t>SKELLEFTEÅ</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11945-2023</t>
        </is>
      </c>
      <c r="B1870" s="1" t="n">
        <v>44995</v>
      </c>
      <c r="C1870" s="1" t="n">
        <v>45633</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12137-2023</t>
        </is>
      </c>
      <c r="B1871" s="1" t="n">
        <v>44995</v>
      </c>
      <c r="C1871" s="1" t="n">
        <v>45633</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12019-2023</t>
        </is>
      </c>
      <c r="B1872" s="1" t="n">
        <v>44995</v>
      </c>
      <c r="C1872" s="1" t="n">
        <v>45633</v>
      </c>
      <c r="D1872" t="inlineStr">
        <is>
          <t>VÄSTERBOTTENS LÄN</t>
        </is>
      </c>
      <c r="E1872" t="inlineStr">
        <is>
          <t>SKELLEFTEÅ</t>
        </is>
      </c>
      <c r="F1872" t="inlineStr">
        <is>
          <t>Sveaskog</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12033-2023</t>
        </is>
      </c>
      <c r="B1873" s="1" t="n">
        <v>44995</v>
      </c>
      <c r="C1873" s="1" t="n">
        <v>45633</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12032-2023</t>
        </is>
      </c>
      <c r="B1874" s="1" t="n">
        <v>44995</v>
      </c>
      <c r="C1874" s="1" t="n">
        <v>45633</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12366-2023</t>
        </is>
      </c>
      <c r="B1875" s="1" t="n">
        <v>44998</v>
      </c>
      <c r="C1875" s="1" t="n">
        <v>45633</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12392-2023</t>
        </is>
      </c>
      <c r="B1876" s="1" t="n">
        <v>44998</v>
      </c>
      <c r="C1876" s="1" t="n">
        <v>45633</v>
      </c>
      <c r="D1876" t="inlineStr">
        <is>
          <t>VÄSTERBOTTENS LÄN</t>
        </is>
      </c>
      <c r="E1876" t="inlineStr">
        <is>
          <t>SKELLEFTEÅ</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12728-2023</t>
        </is>
      </c>
      <c r="B1877" s="1" t="n">
        <v>45000</v>
      </c>
      <c r="C1877" s="1" t="n">
        <v>45633</v>
      </c>
      <c r="D1877" t="inlineStr">
        <is>
          <t>VÄSTERBOTTENS LÄN</t>
        </is>
      </c>
      <c r="E1877" t="inlineStr">
        <is>
          <t>SKELLEFTEÅ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12601-2023</t>
        </is>
      </c>
      <c r="B1878" s="1" t="n">
        <v>45000</v>
      </c>
      <c r="C1878" s="1" t="n">
        <v>45633</v>
      </c>
      <c r="D1878" t="inlineStr">
        <is>
          <t>VÄSTERBOTTENS LÄN</t>
        </is>
      </c>
      <c r="E1878" t="inlineStr">
        <is>
          <t>SKELLEFTEÅ</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12648-2023</t>
        </is>
      </c>
      <c r="B1879" s="1" t="n">
        <v>45000</v>
      </c>
      <c r="C1879" s="1" t="n">
        <v>45633</v>
      </c>
      <c r="D1879" t="inlineStr">
        <is>
          <t>VÄSTERBOTTENS LÄN</t>
        </is>
      </c>
      <c r="E1879" t="inlineStr">
        <is>
          <t>SKELLEFTEÅ</t>
        </is>
      </c>
      <c r="F1879" t="inlineStr">
        <is>
          <t>Holmen skog AB</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12803-2023</t>
        </is>
      </c>
      <c r="B1880" s="1" t="n">
        <v>45000</v>
      </c>
      <c r="C1880" s="1" t="n">
        <v>45633</v>
      </c>
      <c r="D1880" t="inlineStr">
        <is>
          <t>VÄSTERBOTTENS LÄN</t>
        </is>
      </c>
      <c r="E1880" t="inlineStr">
        <is>
          <t>SKELLEFTEÅ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13149-2023</t>
        </is>
      </c>
      <c r="B1881" s="1" t="n">
        <v>45002</v>
      </c>
      <c r="C1881" s="1" t="n">
        <v>45633</v>
      </c>
      <c r="D1881" t="inlineStr">
        <is>
          <t>VÄSTERBOTTENS LÄN</t>
        </is>
      </c>
      <c r="E1881" t="inlineStr">
        <is>
          <t>SKELLEFTEÅ</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13312-2023</t>
        </is>
      </c>
      <c r="B1882" s="1" t="n">
        <v>45005</v>
      </c>
      <c r="C1882" s="1" t="n">
        <v>45633</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13470-2023</t>
        </is>
      </c>
      <c r="B1883" s="1" t="n">
        <v>45005</v>
      </c>
      <c r="C1883" s="1" t="n">
        <v>45633</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13375-2023</t>
        </is>
      </c>
      <c r="B1884" s="1" t="n">
        <v>45005</v>
      </c>
      <c r="C1884" s="1" t="n">
        <v>45633</v>
      </c>
      <c r="D1884" t="inlineStr">
        <is>
          <t>VÄSTERBOTTENS LÄN</t>
        </is>
      </c>
      <c r="E1884" t="inlineStr">
        <is>
          <t>SKELLEFTEÅ</t>
        </is>
      </c>
      <c r="F1884" t="inlineStr">
        <is>
          <t>Holmen skog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13641-2023</t>
        </is>
      </c>
      <c r="B1885" s="1" t="n">
        <v>45006</v>
      </c>
      <c r="C1885" s="1" t="n">
        <v>45633</v>
      </c>
      <c r="D1885" t="inlineStr">
        <is>
          <t>VÄSTERBOTTENS LÄN</t>
        </is>
      </c>
      <c r="E1885" t="inlineStr">
        <is>
          <t>SKELLEFTEÅ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14066-2023</t>
        </is>
      </c>
      <c r="B1886" s="1" t="n">
        <v>45008</v>
      </c>
      <c r="C1886" s="1" t="n">
        <v>45633</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14197-2023</t>
        </is>
      </c>
      <c r="B1887" s="1" t="n">
        <v>45009</v>
      </c>
      <c r="C1887" s="1" t="n">
        <v>45633</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14089-2023</t>
        </is>
      </c>
      <c r="B1888" s="1" t="n">
        <v>45009</v>
      </c>
      <c r="C1888" s="1" t="n">
        <v>45633</v>
      </c>
      <c r="D1888" t="inlineStr">
        <is>
          <t>VÄSTERBOTTENS LÄN</t>
        </is>
      </c>
      <c r="E1888" t="inlineStr">
        <is>
          <t>SKELLEFTEÅ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14332-2023</t>
        </is>
      </c>
      <c r="B1889" s="1" t="n">
        <v>45009</v>
      </c>
      <c r="C1889" s="1" t="n">
        <v>45633</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14341-2023</t>
        </is>
      </c>
      <c r="B1890" s="1" t="n">
        <v>45009</v>
      </c>
      <c r="C1890" s="1" t="n">
        <v>45633</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14351-2023</t>
        </is>
      </c>
      <c r="B1891" s="1" t="n">
        <v>45009</v>
      </c>
      <c r="C1891" s="1" t="n">
        <v>45633</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14458-2023</t>
        </is>
      </c>
      <c r="B1892" s="1" t="n">
        <v>45012</v>
      </c>
      <c r="C1892" s="1" t="n">
        <v>45633</v>
      </c>
      <c r="D1892" t="inlineStr">
        <is>
          <t>VÄSTERBOTTENS LÄN</t>
        </is>
      </c>
      <c r="E1892" t="inlineStr">
        <is>
          <t>SKELLEFTEÅ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14697-2023</t>
        </is>
      </c>
      <c r="B1893" s="1" t="n">
        <v>45012</v>
      </c>
      <c r="C1893" s="1" t="n">
        <v>45633</v>
      </c>
      <c r="D1893" t="inlineStr">
        <is>
          <t>VÄSTERBOTTENS LÄN</t>
        </is>
      </c>
      <c r="E1893" t="inlineStr">
        <is>
          <t>SKELLEFTEÅ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14705-2023</t>
        </is>
      </c>
      <c r="B1894" s="1" t="n">
        <v>45012</v>
      </c>
      <c r="C1894" s="1" t="n">
        <v>45633</v>
      </c>
      <c r="D1894" t="inlineStr">
        <is>
          <t>VÄSTERBOTTENS LÄN</t>
        </is>
      </c>
      <c r="E1894" t="inlineStr">
        <is>
          <t>SKELLEFTEÅ</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14902-2023</t>
        </is>
      </c>
      <c r="B1895" s="1" t="n">
        <v>45014</v>
      </c>
      <c r="C1895" s="1" t="n">
        <v>45633</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14992-2023</t>
        </is>
      </c>
      <c r="B1896" s="1" t="n">
        <v>45014</v>
      </c>
      <c r="C1896" s="1" t="n">
        <v>45633</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14983-2023</t>
        </is>
      </c>
      <c r="B1897" s="1" t="n">
        <v>45014</v>
      </c>
      <c r="C1897" s="1" t="n">
        <v>45633</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14998-2023</t>
        </is>
      </c>
      <c r="B1898" s="1" t="n">
        <v>45015</v>
      </c>
      <c r="C1898" s="1" t="n">
        <v>45633</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15155-2023</t>
        </is>
      </c>
      <c r="B1899" s="1" t="n">
        <v>45016</v>
      </c>
      <c r="C1899" s="1" t="n">
        <v>45633</v>
      </c>
      <c r="D1899" t="inlineStr">
        <is>
          <t>VÄSTERBOTTENS LÄN</t>
        </is>
      </c>
      <c r="E1899" t="inlineStr">
        <is>
          <t>SKELLEFTEÅ</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15327-2023</t>
        </is>
      </c>
      <c r="B1900" s="1" t="n">
        <v>45016</v>
      </c>
      <c r="C1900" s="1" t="n">
        <v>45633</v>
      </c>
      <c r="D1900" t="inlineStr">
        <is>
          <t>VÄSTERBOTTENS LÄN</t>
        </is>
      </c>
      <c r="E1900" t="inlineStr">
        <is>
          <t>SKELLEFTEÅ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15332-2023</t>
        </is>
      </c>
      <c r="B1901" s="1" t="n">
        <v>45016</v>
      </c>
      <c r="C1901" s="1" t="n">
        <v>45633</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15405-2023</t>
        </is>
      </c>
      <c r="B1902" s="1" t="n">
        <v>45019</v>
      </c>
      <c r="C1902" s="1" t="n">
        <v>45633</v>
      </c>
      <c r="D1902" t="inlineStr">
        <is>
          <t>VÄSTERBOTTENS LÄN</t>
        </is>
      </c>
      <c r="E1902" t="inlineStr">
        <is>
          <t>SKELLEFTEÅ</t>
        </is>
      </c>
      <c r="F1902" t="inlineStr">
        <is>
          <t>Holmen skog AB</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15593-2023</t>
        </is>
      </c>
      <c r="B1903" s="1" t="n">
        <v>45019</v>
      </c>
      <c r="C1903" s="1" t="n">
        <v>45633</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15536-2023</t>
        </is>
      </c>
      <c r="B1904" s="1" t="n">
        <v>45020</v>
      </c>
      <c r="C1904" s="1" t="n">
        <v>45633</v>
      </c>
      <c r="D1904" t="inlineStr">
        <is>
          <t>VÄSTERBOTTENS LÄN</t>
        </is>
      </c>
      <c r="E1904" t="inlineStr">
        <is>
          <t>SKELLEFTEÅ</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15479-2023</t>
        </is>
      </c>
      <c r="B1905" s="1" t="n">
        <v>45020</v>
      </c>
      <c r="C1905" s="1" t="n">
        <v>45633</v>
      </c>
      <c r="D1905" t="inlineStr">
        <is>
          <t>VÄSTERBOTTENS LÄN</t>
        </is>
      </c>
      <c r="E1905" t="inlineStr">
        <is>
          <t>SKELLEFTEÅ</t>
        </is>
      </c>
      <c r="F1905" t="inlineStr">
        <is>
          <t>Sveaskog</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15709-2023</t>
        </is>
      </c>
      <c r="B1906" s="1" t="n">
        <v>45020</v>
      </c>
      <c r="C1906" s="1" t="n">
        <v>45633</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15732-2023</t>
        </is>
      </c>
      <c r="B1907" s="1" t="n">
        <v>45020</v>
      </c>
      <c r="C1907" s="1" t="n">
        <v>45633</v>
      </c>
      <c r="D1907" t="inlineStr">
        <is>
          <t>VÄSTERBOTTENS LÄN</t>
        </is>
      </c>
      <c r="E1907" t="inlineStr">
        <is>
          <t>SKELLEFTEÅ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15570-2023</t>
        </is>
      </c>
      <c r="B1908" s="1" t="n">
        <v>45020</v>
      </c>
      <c r="C1908" s="1" t="n">
        <v>45633</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15717-2023</t>
        </is>
      </c>
      <c r="B1909" s="1" t="n">
        <v>45020</v>
      </c>
      <c r="C1909" s="1" t="n">
        <v>45633</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15706-2023</t>
        </is>
      </c>
      <c r="B1910" s="1" t="n">
        <v>45020</v>
      </c>
      <c r="C1910" s="1" t="n">
        <v>45633</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15806-2023</t>
        </is>
      </c>
      <c r="B1911" s="1" t="n">
        <v>45021</v>
      </c>
      <c r="C1911" s="1" t="n">
        <v>45633</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15825-2023</t>
        </is>
      </c>
      <c r="B1912" s="1" t="n">
        <v>45022</v>
      </c>
      <c r="C1912" s="1" t="n">
        <v>45633</v>
      </c>
      <c r="D1912" t="inlineStr">
        <is>
          <t>VÄSTERBOTTENS LÄN</t>
        </is>
      </c>
      <c r="E1912" t="inlineStr">
        <is>
          <t>SKELLEFTEÅ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15899-2023</t>
        </is>
      </c>
      <c r="B1913" s="1" t="n">
        <v>45021</v>
      </c>
      <c r="C1913" s="1" t="n">
        <v>45633</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15903-2023</t>
        </is>
      </c>
      <c r="B1914" s="1" t="n">
        <v>45021</v>
      </c>
      <c r="C1914" s="1" t="n">
        <v>45633</v>
      </c>
      <c r="D1914" t="inlineStr">
        <is>
          <t>VÄSTERBOTTENS LÄN</t>
        </is>
      </c>
      <c r="E1914" t="inlineStr">
        <is>
          <t>SKELLEFTEÅ</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15906-2023</t>
        </is>
      </c>
      <c r="B1915" s="1" t="n">
        <v>45021</v>
      </c>
      <c r="C1915" s="1" t="n">
        <v>45633</v>
      </c>
      <c r="D1915" t="inlineStr">
        <is>
          <t>VÄSTERBOTTENS LÄN</t>
        </is>
      </c>
      <c r="E1915" t="inlineStr">
        <is>
          <t>SKELLEFTEÅ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16027-2023</t>
        </is>
      </c>
      <c r="B1916" s="1" t="n">
        <v>45027</v>
      </c>
      <c r="C1916" s="1" t="n">
        <v>45633</v>
      </c>
      <c r="D1916" t="inlineStr">
        <is>
          <t>VÄSTERBOTTENS LÄN</t>
        </is>
      </c>
      <c r="E1916" t="inlineStr">
        <is>
          <t>SKELLEFTEÅ</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16183-2023</t>
        </is>
      </c>
      <c r="B1917" s="1" t="n">
        <v>45027</v>
      </c>
      <c r="C1917" s="1" t="n">
        <v>45633</v>
      </c>
      <c r="D1917" t="inlineStr">
        <is>
          <t>VÄSTERBOTTENS LÄN</t>
        </is>
      </c>
      <c r="E1917" t="inlineStr">
        <is>
          <t>SKELLEFTEÅ</t>
        </is>
      </c>
      <c r="G1917" t="n">
        <v>24.7</v>
      </c>
      <c r="H1917" t="n">
        <v>0</v>
      </c>
      <c r="I1917" t="n">
        <v>0</v>
      </c>
      <c r="J1917" t="n">
        <v>0</v>
      </c>
      <c r="K1917" t="n">
        <v>0</v>
      </c>
      <c r="L1917" t="n">
        <v>0</v>
      </c>
      <c r="M1917" t="n">
        <v>0</v>
      </c>
      <c r="N1917" t="n">
        <v>0</v>
      </c>
      <c r="O1917" t="n">
        <v>0</v>
      </c>
      <c r="P1917" t="n">
        <v>0</v>
      </c>
      <c r="Q1917" t="n">
        <v>0</v>
      </c>
      <c r="R1917" s="2" t="inlineStr"/>
    </row>
    <row r="1918" ht="15" customHeight="1">
      <c r="A1918" t="inlineStr">
        <is>
          <t>A 16186-2023</t>
        </is>
      </c>
      <c r="B1918" s="1" t="n">
        <v>45028</v>
      </c>
      <c r="C1918" s="1" t="n">
        <v>45633</v>
      </c>
      <c r="D1918" t="inlineStr">
        <is>
          <t>VÄSTERBOTTENS LÄN</t>
        </is>
      </c>
      <c r="E1918" t="inlineStr">
        <is>
          <t>SKELLEFTEÅ</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16239-2023</t>
        </is>
      </c>
      <c r="B1919" s="1" t="n">
        <v>45028</v>
      </c>
      <c r="C1919" s="1" t="n">
        <v>45633</v>
      </c>
      <c r="D1919" t="inlineStr">
        <is>
          <t>VÄSTERBOTTENS LÄN</t>
        </is>
      </c>
      <c r="E1919" t="inlineStr">
        <is>
          <t>SKELLEFTEÅ</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16237-2023</t>
        </is>
      </c>
      <c r="B1920" s="1" t="n">
        <v>45028</v>
      </c>
      <c r="C1920" s="1" t="n">
        <v>45633</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16494-2023</t>
        </is>
      </c>
      <c r="B1921" s="1" t="n">
        <v>45029</v>
      </c>
      <c r="C1921" s="1" t="n">
        <v>45633</v>
      </c>
      <c r="D1921" t="inlineStr">
        <is>
          <t>VÄSTERBOTTENS LÄN</t>
        </is>
      </c>
      <c r="E1921" t="inlineStr">
        <is>
          <t>SKELLEFTEÅ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16753-2023</t>
        </is>
      </c>
      <c r="B1922" s="1" t="n">
        <v>45031</v>
      </c>
      <c r="C1922" s="1" t="n">
        <v>45633</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17026-2023</t>
        </is>
      </c>
      <c r="B1923" s="1" t="n">
        <v>45030</v>
      </c>
      <c r="C1923" s="1" t="n">
        <v>45633</v>
      </c>
      <c r="D1923" t="inlineStr">
        <is>
          <t>VÄSTERBOTTENS LÄN</t>
        </is>
      </c>
      <c r="E1923" t="inlineStr">
        <is>
          <t>SKELLEFTEÅ</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17086-2023</t>
        </is>
      </c>
      <c r="B1924" s="1" t="n">
        <v>45030</v>
      </c>
      <c r="C1924" s="1" t="n">
        <v>45633</v>
      </c>
      <c r="D1924" t="inlineStr">
        <is>
          <t>VÄSTERBOTTENS LÄN</t>
        </is>
      </c>
      <c r="E1924" t="inlineStr">
        <is>
          <t>SKELLEFTEÅ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17071-2023</t>
        </is>
      </c>
      <c r="B1925" s="1" t="n">
        <v>45030</v>
      </c>
      <c r="C1925" s="1" t="n">
        <v>45633</v>
      </c>
      <c r="D1925" t="inlineStr">
        <is>
          <t>VÄSTERBOTTENS LÄN</t>
        </is>
      </c>
      <c r="E1925" t="inlineStr">
        <is>
          <t>SKELLEFTEÅ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16858-2023</t>
        </is>
      </c>
      <c r="B1926" s="1" t="n">
        <v>45033</v>
      </c>
      <c r="C1926" s="1" t="n">
        <v>45633</v>
      </c>
      <c r="D1926" t="inlineStr">
        <is>
          <t>VÄSTERBOTTENS LÄN</t>
        </is>
      </c>
      <c r="E1926" t="inlineStr">
        <is>
          <t>SKELLEFTEÅ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16998-2023</t>
        </is>
      </c>
      <c r="B1927" s="1" t="n">
        <v>45033</v>
      </c>
      <c r="C1927" s="1" t="n">
        <v>45633</v>
      </c>
      <c r="D1927" t="inlineStr">
        <is>
          <t>VÄSTERBOTTENS LÄN</t>
        </is>
      </c>
      <c r="E1927" t="inlineStr">
        <is>
          <t>SKELLEFTEÅ</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17208-2023</t>
        </is>
      </c>
      <c r="B1928" s="1" t="n">
        <v>45035</v>
      </c>
      <c r="C1928" s="1" t="n">
        <v>45633</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17205-2023</t>
        </is>
      </c>
      <c r="B1929" s="1" t="n">
        <v>45035</v>
      </c>
      <c r="C1929" s="1" t="n">
        <v>45633</v>
      </c>
      <c r="D1929" t="inlineStr">
        <is>
          <t>VÄSTERBOTTENS LÄN</t>
        </is>
      </c>
      <c r="E1929" t="inlineStr">
        <is>
          <t>SKELLEFTEÅ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17365-2023</t>
        </is>
      </c>
      <c r="B1930" s="1" t="n">
        <v>45034</v>
      </c>
      <c r="C1930" s="1" t="n">
        <v>45633</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17482-2023</t>
        </is>
      </c>
      <c r="B1931" s="1" t="n">
        <v>45034</v>
      </c>
      <c r="C1931" s="1" t="n">
        <v>45633</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17478-2023</t>
        </is>
      </c>
      <c r="B1932" s="1" t="n">
        <v>45034</v>
      </c>
      <c r="C1932" s="1" t="n">
        <v>45633</v>
      </c>
      <c r="D1932" t="inlineStr">
        <is>
          <t>VÄSTERBOTTENS LÄN</t>
        </is>
      </c>
      <c r="E1932" t="inlineStr">
        <is>
          <t>SKELLEFTEÅ</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17487-2023</t>
        </is>
      </c>
      <c r="B1933" s="1" t="n">
        <v>45034</v>
      </c>
      <c r="C1933" s="1" t="n">
        <v>45633</v>
      </c>
      <c r="D1933" t="inlineStr">
        <is>
          <t>VÄSTERBOTTENS LÄN</t>
        </is>
      </c>
      <c r="E1933" t="inlineStr">
        <is>
          <t>SKELLEFTEÅ</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17483-2023</t>
        </is>
      </c>
      <c r="B1934" s="1" t="n">
        <v>45034</v>
      </c>
      <c r="C1934" s="1" t="n">
        <v>45633</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17485-2023</t>
        </is>
      </c>
      <c r="B1935" s="1" t="n">
        <v>45034</v>
      </c>
      <c r="C1935" s="1" t="n">
        <v>45633</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17444-2023</t>
        </is>
      </c>
      <c r="B1936" s="1" t="n">
        <v>45036</v>
      </c>
      <c r="C1936" s="1" t="n">
        <v>45633</v>
      </c>
      <c r="D1936" t="inlineStr">
        <is>
          <t>VÄSTERBOTTENS LÄN</t>
        </is>
      </c>
      <c r="E1936" t="inlineStr">
        <is>
          <t>SKELLEFTEÅ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17446-2023</t>
        </is>
      </c>
      <c r="B1937" s="1" t="n">
        <v>45036</v>
      </c>
      <c r="C1937" s="1" t="n">
        <v>45633</v>
      </c>
      <c r="D1937" t="inlineStr">
        <is>
          <t>VÄSTERBOTTENS LÄN</t>
        </is>
      </c>
      <c r="E1937" t="inlineStr">
        <is>
          <t>SKELLEFTEÅ</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17659-2023</t>
        </is>
      </c>
      <c r="B1938" s="1" t="n">
        <v>45037</v>
      </c>
      <c r="C1938" s="1" t="n">
        <v>45633</v>
      </c>
      <c r="D1938" t="inlineStr">
        <is>
          <t>VÄSTERBOTTENS LÄN</t>
        </is>
      </c>
      <c r="E1938" t="inlineStr">
        <is>
          <t>SKELLEFTEÅ</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17755-2023</t>
        </is>
      </c>
      <c r="B1939" s="1" t="n">
        <v>45036</v>
      </c>
      <c r="C1939" s="1" t="n">
        <v>45633</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17842-2023</t>
        </is>
      </c>
      <c r="B1940" s="1" t="n">
        <v>45037</v>
      </c>
      <c r="C1940" s="1" t="n">
        <v>45633</v>
      </c>
      <c r="D1940" t="inlineStr">
        <is>
          <t>VÄSTERBOTTENS LÄN</t>
        </is>
      </c>
      <c r="E1940" t="inlineStr">
        <is>
          <t>SKELLEFTEÅ</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18035-2023</t>
        </is>
      </c>
      <c r="B1941" s="1" t="n">
        <v>45037</v>
      </c>
      <c r="C1941" s="1" t="n">
        <v>45633</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18016-2023</t>
        </is>
      </c>
      <c r="B1942" s="1" t="n">
        <v>45040</v>
      </c>
      <c r="C1942" s="1" t="n">
        <v>45633</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18357-2023</t>
        </is>
      </c>
      <c r="B1943" s="1" t="n">
        <v>45041</v>
      </c>
      <c r="C1943" s="1" t="n">
        <v>45633</v>
      </c>
      <c r="D1943" t="inlineStr">
        <is>
          <t>VÄSTERBOTTENS LÄN</t>
        </is>
      </c>
      <c r="E1943" t="inlineStr">
        <is>
          <t>SKELLEFTEÅ</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18455-2023</t>
        </is>
      </c>
      <c r="B1944" s="1" t="n">
        <v>45041</v>
      </c>
      <c r="C1944" s="1" t="n">
        <v>45633</v>
      </c>
      <c r="D1944" t="inlineStr">
        <is>
          <t>VÄSTERBOTTENS LÄN</t>
        </is>
      </c>
      <c r="E1944" t="inlineStr">
        <is>
          <t>SKELLEFTEÅ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18607-2023</t>
        </is>
      </c>
      <c r="B1945" s="1" t="n">
        <v>45041</v>
      </c>
      <c r="C1945" s="1" t="n">
        <v>45633</v>
      </c>
      <c r="D1945" t="inlineStr">
        <is>
          <t>VÄSTERBOTTENS LÄN</t>
        </is>
      </c>
      <c r="E1945" t="inlineStr">
        <is>
          <t>SKELLEFTEÅ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18479-2023</t>
        </is>
      </c>
      <c r="B1946" s="1" t="n">
        <v>45042</v>
      </c>
      <c r="C1946" s="1" t="n">
        <v>45633</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18501-2023</t>
        </is>
      </c>
      <c r="B1947" s="1" t="n">
        <v>45042</v>
      </c>
      <c r="C1947" s="1" t="n">
        <v>45633</v>
      </c>
      <c r="D1947" t="inlineStr">
        <is>
          <t>VÄSTERBOTTENS LÄN</t>
        </is>
      </c>
      <c r="E1947" t="inlineStr">
        <is>
          <t>SKELLEFTEÅ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18478-2023</t>
        </is>
      </c>
      <c r="B1948" s="1" t="n">
        <v>45042</v>
      </c>
      <c r="C1948" s="1" t="n">
        <v>45633</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18701-2023</t>
        </is>
      </c>
      <c r="B1949" s="1" t="n">
        <v>45042</v>
      </c>
      <c r="C1949" s="1" t="n">
        <v>45633</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18709-2023</t>
        </is>
      </c>
      <c r="B1950" s="1" t="n">
        <v>45043</v>
      </c>
      <c r="C1950" s="1" t="n">
        <v>45633</v>
      </c>
      <c r="D1950" t="inlineStr">
        <is>
          <t>VÄSTERBOTTENS LÄN</t>
        </is>
      </c>
      <c r="E1950" t="inlineStr">
        <is>
          <t>SKELLEFTEÅ</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19066-2023</t>
        </is>
      </c>
      <c r="B1951" s="1" t="n">
        <v>45043</v>
      </c>
      <c r="C1951" s="1" t="n">
        <v>45633</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18975-2023</t>
        </is>
      </c>
      <c r="B1952" s="1" t="n">
        <v>45044</v>
      </c>
      <c r="C1952" s="1" t="n">
        <v>45633</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18819-2023</t>
        </is>
      </c>
      <c r="B1953" s="1" t="n">
        <v>45044</v>
      </c>
      <c r="C1953" s="1" t="n">
        <v>45633</v>
      </c>
      <c r="D1953" t="inlineStr">
        <is>
          <t>VÄSTERBOTTENS LÄN</t>
        </is>
      </c>
      <c r="E1953" t="inlineStr">
        <is>
          <t>SKELLEFTEÅ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19073-2023</t>
        </is>
      </c>
      <c r="B1954" s="1" t="n">
        <v>45048</v>
      </c>
      <c r="C1954" s="1" t="n">
        <v>45633</v>
      </c>
      <c r="D1954" t="inlineStr">
        <is>
          <t>VÄSTERBOTTENS LÄN</t>
        </is>
      </c>
      <c r="E1954" t="inlineStr">
        <is>
          <t>SKELLEFTEÅ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19349-2023</t>
        </is>
      </c>
      <c r="B1955" s="1" t="n">
        <v>45049</v>
      </c>
      <c r="C1955" s="1" t="n">
        <v>45633</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19424-2023</t>
        </is>
      </c>
      <c r="B1956" s="1" t="n">
        <v>45050</v>
      </c>
      <c r="C1956" s="1" t="n">
        <v>45633</v>
      </c>
      <c r="D1956" t="inlineStr">
        <is>
          <t>VÄSTERBOTTENS LÄN</t>
        </is>
      </c>
      <c r="E1956" t="inlineStr">
        <is>
          <t>SKELLEFTEÅ</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19422-2023</t>
        </is>
      </c>
      <c r="B1957" s="1" t="n">
        <v>45049</v>
      </c>
      <c r="C1957" s="1" t="n">
        <v>45633</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19428-2023</t>
        </is>
      </c>
      <c r="B1958" s="1" t="n">
        <v>45050</v>
      </c>
      <c r="C1958" s="1" t="n">
        <v>45633</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19491-2023</t>
        </is>
      </c>
      <c r="B1959" s="1" t="n">
        <v>45049</v>
      </c>
      <c r="C1959" s="1" t="n">
        <v>45633</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19498-2023</t>
        </is>
      </c>
      <c r="B1960" s="1" t="n">
        <v>45049</v>
      </c>
      <c r="C1960" s="1" t="n">
        <v>45633</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20080-2023</t>
        </is>
      </c>
      <c r="B1961" s="1" t="n">
        <v>45055</v>
      </c>
      <c r="C1961" s="1" t="n">
        <v>45633</v>
      </c>
      <c r="D1961" t="inlineStr">
        <is>
          <t>VÄSTERBOTTENS LÄN</t>
        </is>
      </c>
      <c r="E1961" t="inlineStr">
        <is>
          <t>SKELLEFTEÅ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20301-2023</t>
        </is>
      </c>
      <c r="B1962" s="1" t="n">
        <v>45056</v>
      </c>
      <c r="C1962" s="1" t="n">
        <v>45633</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20290-2023</t>
        </is>
      </c>
      <c r="B1963" s="1" t="n">
        <v>45056</v>
      </c>
      <c r="C1963" s="1" t="n">
        <v>45633</v>
      </c>
      <c r="D1963" t="inlineStr">
        <is>
          <t>VÄSTERBOTTENS LÄN</t>
        </is>
      </c>
      <c r="E1963" t="inlineStr">
        <is>
          <t>SKELLEFTEÅ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20499-2023</t>
        </is>
      </c>
      <c r="B1964" s="1" t="n">
        <v>45057</v>
      </c>
      <c r="C1964" s="1" t="n">
        <v>45633</v>
      </c>
      <c r="D1964" t="inlineStr">
        <is>
          <t>VÄSTERBOTTENS LÄN</t>
        </is>
      </c>
      <c r="E1964" t="inlineStr">
        <is>
          <t>SKELLEFTEÅ</t>
        </is>
      </c>
      <c r="F1964" t="inlineStr">
        <is>
          <t>Sveaskog</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21238-2023</t>
        </is>
      </c>
      <c r="B1965" s="1" t="n">
        <v>45058</v>
      </c>
      <c r="C1965" s="1" t="n">
        <v>45633</v>
      </c>
      <c r="D1965" t="inlineStr">
        <is>
          <t>VÄSTERBOTTENS LÄN</t>
        </is>
      </c>
      <c r="E1965" t="inlineStr">
        <is>
          <t>SKELLEFTEÅ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21336-2023</t>
        </is>
      </c>
      <c r="B1966" s="1" t="n">
        <v>45062</v>
      </c>
      <c r="C1966" s="1" t="n">
        <v>45633</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21565-2023</t>
        </is>
      </c>
      <c r="B1967" s="1" t="n">
        <v>45062</v>
      </c>
      <c r="C1967" s="1" t="n">
        <v>45633</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21463-2023</t>
        </is>
      </c>
      <c r="B1968" s="1" t="n">
        <v>45063</v>
      </c>
      <c r="C1968" s="1" t="n">
        <v>45633</v>
      </c>
      <c r="D1968" t="inlineStr">
        <is>
          <t>VÄSTERBOTTENS LÄN</t>
        </is>
      </c>
      <c r="E1968" t="inlineStr">
        <is>
          <t>SKELLEFTEÅ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22341-2023</t>
        </is>
      </c>
      <c r="B1969" s="1" t="n">
        <v>45068</v>
      </c>
      <c r="C1969" s="1" t="n">
        <v>45633</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22351-2023</t>
        </is>
      </c>
      <c r="B1970" s="1" t="n">
        <v>45068</v>
      </c>
      <c r="C1970" s="1" t="n">
        <v>45633</v>
      </c>
      <c r="D1970" t="inlineStr">
        <is>
          <t>VÄSTERBOTTENS LÄN</t>
        </is>
      </c>
      <c r="E1970" t="inlineStr">
        <is>
          <t>SKELLEFTEÅ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22334-2023</t>
        </is>
      </c>
      <c r="B1971" s="1" t="n">
        <v>45068</v>
      </c>
      <c r="C1971" s="1" t="n">
        <v>45633</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22062-2023</t>
        </is>
      </c>
      <c r="B1972" s="1" t="n">
        <v>45069</v>
      </c>
      <c r="C1972" s="1" t="n">
        <v>45633</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22121-2023</t>
        </is>
      </c>
      <c r="B1973" s="1" t="n">
        <v>45069</v>
      </c>
      <c r="C1973" s="1" t="n">
        <v>45633</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22060-2023</t>
        </is>
      </c>
      <c r="B1974" s="1" t="n">
        <v>45069</v>
      </c>
      <c r="C1974" s="1" t="n">
        <v>45633</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22064-2023</t>
        </is>
      </c>
      <c r="B1975" s="1" t="n">
        <v>45069</v>
      </c>
      <c r="C1975" s="1" t="n">
        <v>45633</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22025-2023</t>
        </is>
      </c>
      <c r="B1976" s="1" t="n">
        <v>45069</v>
      </c>
      <c r="C1976" s="1" t="n">
        <v>45633</v>
      </c>
      <c r="D1976" t="inlineStr">
        <is>
          <t>VÄSTERBOTTENS LÄN</t>
        </is>
      </c>
      <c r="E1976" t="inlineStr">
        <is>
          <t>SKELLEFTEÅ</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22045-2023</t>
        </is>
      </c>
      <c r="B1977" s="1" t="n">
        <v>45069</v>
      </c>
      <c r="C1977" s="1" t="n">
        <v>45633</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22516-2023</t>
        </is>
      </c>
      <c r="B1978" s="1" t="n">
        <v>45069</v>
      </c>
      <c r="C1978" s="1" t="n">
        <v>45633</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22548-2023</t>
        </is>
      </c>
      <c r="B1979" s="1" t="n">
        <v>45069</v>
      </c>
      <c r="C1979" s="1" t="n">
        <v>45633</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22020-2023</t>
        </is>
      </c>
      <c r="B1980" s="1" t="n">
        <v>45069</v>
      </c>
      <c r="C1980" s="1" t="n">
        <v>45633</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22344-2023</t>
        </is>
      </c>
      <c r="B1981" s="1" t="n">
        <v>45070</v>
      </c>
      <c r="C1981" s="1" t="n">
        <v>45633</v>
      </c>
      <c r="D1981" t="inlineStr">
        <is>
          <t>VÄSTERBOTTENS LÄN</t>
        </is>
      </c>
      <c r="E1981" t="inlineStr">
        <is>
          <t>SKELLEFTEÅ</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22461-2023</t>
        </is>
      </c>
      <c r="B1982" s="1" t="n">
        <v>45071</v>
      </c>
      <c r="C1982" s="1" t="n">
        <v>45633</v>
      </c>
      <c r="D1982" t="inlineStr">
        <is>
          <t>VÄSTERBOTTENS LÄN</t>
        </is>
      </c>
      <c r="E1982" t="inlineStr">
        <is>
          <t>SKELLEFTEÅ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22579-2023</t>
        </is>
      </c>
      <c r="B1983" s="1" t="n">
        <v>45071</v>
      </c>
      <c r="C1983" s="1" t="n">
        <v>45633</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22735-2023</t>
        </is>
      </c>
      <c r="B1984" s="1" t="n">
        <v>45071</v>
      </c>
      <c r="C1984" s="1" t="n">
        <v>45633</v>
      </c>
      <c r="D1984" t="inlineStr">
        <is>
          <t>VÄSTERBOTTENS LÄN</t>
        </is>
      </c>
      <c r="E1984" t="inlineStr">
        <is>
          <t>SKELLEFTEÅ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23704-2023</t>
        </is>
      </c>
      <c r="B1985" s="1" t="n">
        <v>45075</v>
      </c>
      <c r="C1985" s="1" t="n">
        <v>45633</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23710-2023</t>
        </is>
      </c>
      <c r="B1986" s="1" t="n">
        <v>45075</v>
      </c>
      <c r="C1986" s="1" t="n">
        <v>45633</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23709-2023</t>
        </is>
      </c>
      <c r="B1987" s="1" t="n">
        <v>45075</v>
      </c>
      <c r="C1987" s="1" t="n">
        <v>45633</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23458-2023</t>
        </is>
      </c>
      <c r="B1988" s="1" t="n">
        <v>45076</v>
      </c>
      <c r="C1988" s="1" t="n">
        <v>45633</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23420-2023</t>
        </is>
      </c>
      <c r="B1989" s="1" t="n">
        <v>45076</v>
      </c>
      <c r="C1989" s="1" t="n">
        <v>45633</v>
      </c>
      <c r="D1989" t="inlineStr">
        <is>
          <t>VÄSTERBOTTENS LÄN</t>
        </is>
      </c>
      <c r="E1989" t="inlineStr">
        <is>
          <t>SKELLEFTEÅ</t>
        </is>
      </c>
      <c r="F1989" t="inlineStr">
        <is>
          <t>Holmen skog AB</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23430-2023</t>
        </is>
      </c>
      <c r="B1990" s="1" t="n">
        <v>45076</v>
      </c>
      <c r="C1990" s="1" t="n">
        <v>45633</v>
      </c>
      <c r="D1990" t="inlineStr">
        <is>
          <t>VÄSTERBOTTENS LÄN</t>
        </is>
      </c>
      <c r="E1990" t="inlineStr">
        <is>
          <t>SKELLEFTEÅ</t>
        </is>
      </c>
      <c r="F1990" t="inlineStr">
        <is>
          <t>Holmen skog AB</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24430-2023</t>
        </is>
      </c>
      <c r="B1991" s="1" t="n">
        <v>45076</v>
      </c>
      <c r="C1991" s="1" t="n">
        <v>45633</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23714-2023</t>
        </is>
      </c>
      <c r="B1992" s="1" t="n">
        <v>45077</v>
      </c>
      <c r="C1992" s="1" t="n">
        <v>45633</v>
      </c>
      <c r="D1992" t="inlineStr">
        <is>
          <t>VÄSTERBOTTENS LÄN</t>
        </is>
      </c>
      <c r="E1992" t="inlineStr">
        <is>
          <t>SKELLEFTEÅ</t>
        </is>
      </c>
      <c r="F1992" t="inlineStr">
        <is>
          <t>Holmen skog AB</t>
        </is>
      </c>
      <c r="G1992" t="n">
        <v>15.5</v>
      </c>
      <c r="H1992" t="n">
        <v>0</v>
      </c>
      <c r="I1992" t="n">
        <v>0</v>
      </c>
      <c r="J1992" t="n">
        <v>0</v>
      </c>
      <c r="K1992" t="n">
        <v>0</v>
      </c>
      <c r="L1992" t="n">
        <v>0</v>
      </c>
      <c r="M1992" t="n">
        <v>0</v>
      </c>
      <c r="N1992" t="n">
        <v>0</v>
      </c>
      <c r="O1992" t="n">
        <v>0</v>
      </c>
      <c r="P1992" t="n">
        <v>0</v>
      </c>
      <c r="Q1992" t="n">
        <v>0</v>
      </c>
      <c r="R1992" s="2" t="inlineStr"/>
    </row>
    <row r="1993" ht="15" customHeight="1">
      <c r="A1993" t="inlineStr">
        <is>
          <t>A 23757-2023</t>
        </is>
      </c>
      <c r="B1993" s="1" t="n">
        <v>45077</v>
      </c>
      <c r="C1993" s="1" t="n">
        <v>45633</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23761-2023</t>
        </is>
      </c>
      <c r="B1994" s="1" t="n">
        <v>45077</v>
      </c>
      <c r="C1994" s="1" t="n">
        <v>45633</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23760-2023</t>
        </is>
      </c>
      <c r="B1995" s="1" t="n">
        <v>45077</v>
      </c>
      <c r="C1995" s="1" t="n">
        <v>45633</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23750-2023</t>
        </is>
      </c>
      <c r="B1996" s="1" t="n">
        <v>45077</v>
      </c>
      <c r="C1996" s="1" t="n">
        <v>45633</v>
      </c>
      <c r="D1996" t="inlineStr">
        <is>
          <t>VÄSTERBOTTENS LÄN</t>
        </is>
      </c>
      <c r="E1996" t="inlineStr">
        <is>
          <t>SKELLEFTEÅ</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23759-2023</t>
        </is>
      </c>
      <c r="B1997" s="1" t="n">
        <v>45077</v>
      </c>
      <c r="C1997" s="1" t="n">
        <v>45633</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25256-2023</t>
        </is>
      </c>
      <c r="B1998" s="1" t="n">
        <v>45079</v>
      </c>
      <c r="C1998" s="1" t="n">
        <v>45633</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25237-2023</t>
        </is>
      </c>
      <c r="B1999" s="1" t="n">
        <v>45079</v>
      </c>
      <c r="C1999" s="1" t="n">
        <v>45633</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24327-2023</t>
        </is>
      </c>
      <c r="B2000" s="1" t="n">
        <v>45080</v>
      </c>
      <c r="C2000" s="1" t="n">
        <v>45633</v>
      </c>
      <c r="D2000" t="inlineStr">
        <is>
          <t>VÄSTERBOTTENS LÄN</t>
        </is>
      </c>
      <c r="E2000" t="inlineStr">
        <is>
          <t>SKELLEFTEÅ</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24320-2023</t>
        </is>
      </c>
      <c r="B2001" s="1" t="n">
        <v>45080</v>
      </c>
      <c r="C2001" s="1" t="n">
        <v>45633</v>
      </c>
      <c r="D2001" t="inlineStr">
        <is>
          <t>VÄSTERBOTTENS LÄN</t>
        </is>
      </c>
      <c r="E2001" t="inlineStr">
        <is>
          <t>SKELLEFTEÅ</t>
        </is>
      </c>
      <c r="F2001" t="inlineStr">
        <is>
          <t>Sveaskog</t>
        </is>
      </c>
      <c r="G2001" t="n">
        <v>27.5</v>
      </c>
      <c r="H2001" t="n">
        <v>0</v>
      </c>
      <c r="I2001" t="n">
        <v>0</v>
      </c>
      <c r="J2001" t="n">
        <v>0</v>
      </c>
      <c r="K2001" t="n">
        <v>0</v>
      </c>
      <c r="L2001" t="n">
        <v>0</v>
      </c>
      <c r="M2001" t="n">
        <v>0</v>
      </c>
      <c r="N2001" t="n">
        <v>0</v>
      </c>
      <c r="O2001" t="n">
        <v>0</v>
      </c>
      <c r="P2001" t="n">
        <v>0</v>
      </c>
      <c r="Q2001" t="n">
        <v>0</v>
      </c>
      <c r="R2001" s="2" t="inlineStr"/>
    </row>
    <row r="2002" ht="15" customHeight="1">
      <c r="A2002" t="inlineStr">
        <is>
          <t>A 24805-2023</t>
        </is>
      </c>
      <c r="B2002" s="1" t="n">
        <v>45084</v>
      </c>
      <c r="C2002" s="1" t="n">
        <v>45633</v>
      </c>
      <c r="D2002" t="inlineStr">
        <is>
          <t>VÄSTERBOTTENS LÄN</t>
        </is>
      </c>
      <c r="E2002" t="inlineStr">
        <is>
          <t>SKELLEFTEÅ</t>
        </is>
      </c>
      <c r="F2002" t="inlineStr">
        <is>
          <t>Sveaskog</t>
        </is>
      </c>
      <c r="G2002" t="n">
        <v>16.7</v>
      </c>
      <c r="H2002" t="n">
        <v>0</v>
      </c>
      <c r="I2002" t="n">
        <v>0</v>
      </c>
      <c r="J2002" t="n">
        <v>0</v>
      </c>
      <c r="K2002" t="n">
        <v>0</v>
      </c>
      <c r="L2002" t="n">
        <v>0</v>
      </c>
      <c r="M2002" t="n">
        <v>0</v>
      </c>
      <c r="N2002" t="n">
        <v>0</v>
      </c>
      <c r="O2002" t="n">
        <v>0</v>
      </c>
      <c r="P2002" t="n">
        <v>0</v>
      </c>
      <c r="Q2002" t="n">
        <v>0</v>
      </c>
      <c r="R2002" s="2" t="inlineStr"/>
    </row>
    <row r="2003" ht="15" customHeight="1">
      <c r="A2003" t="inlineStr">
        <is>
          <t>A 25632-2023</t>
        </is>
      </c>
      <c r="B2003" s="1" t="n">
        <v>45084</v>
      </c>
      <c r="C2003" s="1" t="n">
        <v>45633</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25634-2023</t>
        </is>
      </c>
      <c r="B2004" s="1" t="n">
        <v>45084</v>
      </c>
      <c r="C2004" s="1" t="n">
        <v>45633</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25626-2023</t>
        </is>
      </c>
      <c r="B2005" s="1" t="n">
        <v>45084</v>
      </c>
      <c r="C2005" s="1" t="n">
        <v>45633</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25638-2023</t>
        </is>
      </c>
      <c r="B2006" s="1" t="n">
        <v>45084</v>
      </c>
      <c r="C2006" s="1" t="n">
        <v>45633</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24963-2023</t>
        </is>
      </c>
      <c r="B2007" s="1" t="n">
        <v>45085</v>
      </c>
      <c r="C2007" s="1" t="n">
        <v>45633</v>
      </c>
      <c r="D2007" t="inlineStr">
        <is>
          <t>VÄSTERBOTTENS LÄN</t>
        </is>
      </c>
      <c r="E2007" t="inlineStr">
        <is>
          <t>SKELLEFTEÅ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25019-2023</t>
        </is>
      </c>
      <c r="B2008" s="1" t="n">
        <v>45085</v>
      </c>
      <c r="C2008" s="1" t="n">
        <v>45633</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25401-2023</t>
        </is>
      </c>
      <c r="B2009" s="1" t="n">
        <v>45089</v>
      </c>
      <c r="C2009" s="1" t="n">
        <v>45633</v>
      </c>
      <c r="D2009" t="inlineStr">
        <is>
          <t>VÄSTERBOTTENS LÄN</t>
        </is>
      </c>
      <c r="E2009" t="inlineStr">
        <is>
          <t>SKELLEFTEÅ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25787-2023</t>
        </is>
      </c>
      <c r="B2010" s="1" t="n">
        <v>45090</v>
      </c>
      <c r="C2010" s="1" t="n">
        <v>45633</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26783-2023</t>
        </is>
      </c>
      <c r="B2011" s="1" t="n">
        <v>45090</v>
      </c>
      <c r="C2011" s="1" t="n">
        <v>45633</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26767-2023</t>
        </is>
      </c>
      <c r="B2012" s="1" t="n">
        <v>45090</v>
      </c>
      <c r="C2012" s="1" t="n">
        <v>45633</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26160-2023</t>
        </is>
      </c>
      <c r="B2013" s="1" t="n">
        <v>45091</v>
      </c>
      <c r="C2013" s="1" t="n">
        <v>45633</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26217-2023</t>
        </is>
      </c>
      <c r="B2014" s="1" t="n">
        <v>45091</v>
      </c>
      <c r="C2014" s="1" t="n">
        <v>45633</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26334-2023</t>
        </is>
      </c>
      <c r="B2015" s="1" t="n">
        <v>45091</v>
      </c>
      <c r="C2015" s="1" t="n">
        <v>45633</v>
      </c>
      <c r="D2015" t="inlineStr">
        <is>
          <t>VÄSTERBOTTENS LÄN</t>
        </is>
      </c>
      <c r="E2015" t="inlineStr">
        <is>
          <t>SKELLEFTEÅ</t>
        </is>
      </c>
      <c r="F2015" t="inlineStr">
        <is>
          <t>Sveaskog</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26019-2023</t>
        </is>
      </c>
      <c r="B2016" s="1" t="n">
        <v>45091</v>
      </c>
      <c r="C2016" s="1" t="n">
        <v>45633</v>
      </c>
      <c r="D2016" t="inlineStr">
        <is>
          <t>VÄSTERBOTTENS LÄN</t>
        </is>
      </c>
      <c r="E2016" t="inlineStr">
        <is>
          <t>SKELLEFTEÅ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26062-2023</t>
        </is>
      </c>
      <c r="B2017" s="1" t="n">
        <v>45091</v>
      </c>
      <c r="C2017" s="1" t="n">
        <v>45633</v>
      </c>
      <c r="D2017" t="inlineStr">
        <is>
          <t>VÄSTERBOTTENS LÄN</t>
        </is>
      </c>
      <c r="E2017" t="inlineStr">
        <is>
          <t>SKELLEFTEÅ</t>
        </is>
      </c>
      <c r="F2017" t="inlineStr">
        <is>
          <t>Holmen skog AB</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26095-2023</t>
        </is>
      </c>
      <c r="B2018" s="1" t="n">
        <v>45091</v>
      </c>
      <c r="C2018" s="1" t="n">
        <v>45633</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26154-2023</t>
        </is>
      </c>
      <c r="B2019" s="1" t="n">
        <v>45091</v>
      </c>
      <c r="C2019" s="1" t="n">
        <v>45633</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26955-2023</t>
        </is>
      </c>
      <c r="B2020" s="1" t="n">
        <v>45091</v>
      </c>
      <c r="C2020" s="1" t="n">
        <v>45633</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26978-2023</t>
        </is>
      </c>
      <c r="B2021" s="1" t="n">
        <v>45091</v>
      </c>
      <c r="C2021" s="1" t="n">
        <v>45633</v>
      </c>
      <c r="D2021" t="inlineStr">
        <is>
          <t>VÄSTERBOTTENS LÄN</t>
        </is>
      </c>
      <c r="E2021" t="inlineStr">
        <is>
          <t>SKELLEFTEÅ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26462-2023</t>
        </is>
      </c>
      <c r="B2022" s="1" t="n">
        <v>45092</v>
      </c>
      <c r="C2022" s="1" t="n">
        <v>45633</v>
      </c>
      <c r="D2022" t="inlineStr">
        <is>
          <t>VÄSTERBOTTENS LÄN</t>
        </is>
      </c>
      <c r="E2022" t="inlineStr">
        <is>
          <t>SKELLEFTEÅ</t>
        </is>
      </c>
      <c r="F2022" t="inlineStr">
        <is>
          <t>Holmen skog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26632-2023</t>
        </is>
      </c>
      <c r="B2023" s="1" t="n">
        <v>45092</v>
      </c>
      <c r="C2023" s="1" t="n">
        <v>45633</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26648-2023</t>
        </is>
      </c>
      <c r="B2024" s="1" t="n">
        <v>45093</v>
      </c>
      <c r="C2024" s="1" t="n">
        <v>45633</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26649-2023</t>
        </is>
      </c>
      <c r="B2025" s="1" t="n">
        <v>45093</v>
      </c>
      <c r="C2025" s="1" t="n">
        <v>45633</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26645-2023</t>
        </is>
      </c>
      <c r="B2026" s="1" t="n">
        <v>45093</v>
      </c>
      <c r="C2026" s="1" t="n">
        <v>45633</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26631-2023</t>
        </is>
      </c>
      <c r="B2027" s="1" t="n">
        <v>45092</v>
      </c>
      <c r="C2027" s="1" t="n">
        <v>45633</v>
      </c>
      <c r="D2027" t="inlineStr">
        <is>
          <t>VÄSTERBOTTENS LÄN</t>
        </is>
      </c>
      <c r="E2027" t="inlineStr">
        <is>
          <t>SKELLEFTEÅ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26686-2023</t>
        </is>
      </c>
      <c r="B2028" s="1" t="n">
        <v>45093</v>
      </c>
      <c r="C2028" s="1" t="n">
        <v>45633</v>
      </c>
      <c r="D2028" t="inlineStr">
        <is>
          <t>VÄSTERBOTTENS LÄN</t>
        </is>
      </c>
      <c r="E2028" t="inlineStr">
        <is>
          <t>SKELLEFTEÅ</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26690-2023</t>
        </is>
      </c>
      <c r="B2029" s="1" t="n">
        <v>45093</v>
      </c>
      <c r="C2029" s="1" t="n">
        <v>45633</v>
      </c>
      <c r="D2029" t="inlineStr">
        <is>
          <t>VÄSTERBOTTENS LÄN</t>
        </is>
      </c>
      <c r="E2029" t="inlineStr">
        <is>
          <t>SKELLEFTEÅ</t>
        </is>
      </c>
      <c r="F2029" t="inlineStr">
        <is>
          <t>Kyrkan</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26869-2023</t>
        </is>
      </c>
      <c r="B2030" s="1" t="n">
        <v>45093</v>
      </c>
      <c r="C2030" s="1" t="n">
        <v>45633</v>
      </c>
      <c r="D2030" t="inlineStr">
        <is>
          <t>VÄSTERBOTTENS LÄN</t>
        </is>
      </c>
      <c r="E2030" t="inlineStr">
        <is>
          <t>SKELLEFTEÅ</t>
        </is>
      </c>
      <c r="F2030" t="inlineStr">
        <is>
          <t>Holmen skog AB</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26720-2023</t>
        </is>
      </c>
      <c r="B2031" s="1" t="n">
        <v>45093</v>
      </c>
      <c r="C2031" s="1" t="n">
        <v>45633</v>
      </c>
      <c r="D2031" t="inlineStr">
        <is>
          <t>VÄSTERBOTTENS LÄN</t>
        </is>
      </c>
      <c r="E2031" t="inlineStr">
        <is>
          <t>SKELLEFTEÅ</t>
        </is>
      </c>
      <c r="F2031" t="inlineStr">
        <is>
          <t>Kyrkan</t>
        </is>
      </c>
      <c r="G2031" t="n">
        <v>25.4</v>
      </c>
      <c r="H2031" t="n">
        <v>0</v>
      </c>
      <c r="I2031" t="n">
        <v>0</v>
      </c>
      <c r="J2031" t="n">
        <v>0</v>
      </c>
      <c r="K2031" t="n">
        <v>0</v>
      </c>
      <c r="L2031" t="n">
        <v>0</v>
      </c>
      <c r="M2031" t="n">
        <v>0</v>
      </c>
      <c r="N2031" t="n">
        <v>0</v>
      </c>
      <c r="O2031" t="n">
        <v>0</v>
      </c>
      <c r="P2031" t="n">
        <v>0</v>
      </c>
      <c r="Q2031" t="n">
        <v>0</v>
      </c>
      <c r="R2031" s="2" t="inlineStr"/>
    </row>
    <row r="2032" ht="15" customHeight="1">
      <c r="A2032" t="inlineStr">
        <is>
          <t>A 26900-2023</t>
        </is>
      </c>
      <c r="B2032" s="1" t="n">
        <v>45093</v>
      </c>
      <c r="C2032" s="1" t="n">
        <v>45633</v>
      </c>
      <c r="D2032" t="inlineStr">
        <is>
          <t>VÄSTERBOTTENS LÄN</t>
        </is>
      </c>
      <c r="E2032" t="inlineStr">
        <is>
          <t>SKELLEFTEÅ</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26784-2023</t>
        </is>
      </c>
      <c r="B2033" s="1" t="n">
        <v>45093</v>
      </c>
      <c r="C2033" s="1" t="n">
        <v>45633</v>
      </c>
      <c r="D2033" t="inlineStr">
        <is>
          <t>VÄSTERBOTTENS LÄN</t>
        </is>
      </c>
      <c r="E2033" t="inlineStr">
        <is>
          <t>SKELLEFTEÅ</t>
        </is>
      </c>
      <c r="G2033" t="n">
        <v>19.5</v>
      </c>
      <c r="H2033" t="n">
        <v>0</v>
      </c>
      <c r="I2033" t="n">
        <v>0</v>
      </c>
      <c r="J2033" t="n">
        <v>0</v>
      </c>
      <c r="K2033" t="n">
        <v>0</v>
      </c>
      <c r="L2033" t="n">
        <v>0</v>
      </c>
      <c r="M2033" t="n">
        <v>0</v>
      </c>
      <c r="N2033" t="n">
        <v>0</v>
      </c>
      <c r="O2033" t="n">
        <v>0</v>
      </c>
      <c r="P2033" t="n">
        <v>0</v>
      </c>
      <c r="Q2033" t="n">
        <v>0</v>
      </c>
      <c r="R2033" s="2" t="inlineStr"/>
    </row>
    <row r="2034" ht="15" customHeight="1">
      <c r="A2034" t="inlineStr">
        <is>
          <t>A 27785-2023</t>
        </is>
      </c>
      <c r="B2034" s="1" t="n">
        <v>45093</v>
      </c>
      <c r="C2034" s="1" t="n">
        <v>45633</v>
      </c>
      <c r="D2034" t="inlineStr">
        <is>
          <t>VÄSTERBOTTENS LÄN</t>
        </is>
      </c>
      <c r="E2034" t="inlineStr">
        <is>
          <t>SKELLEFTEÅ</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27097-2023</t>
        </is>
      </c>
      <c r="B2035" s="1" t="n">
        <v>45096</v>
      </c>
      <c r="C2035" s="1" t="n">
        <v>45633</v>
      </c>
      <c r="D2035" t="inlineStr">
        <is>
          <t>VÄSTERBOTTENS LÄN</t>
        </is>
      </c>
      <c r="E2035" t="inlineStr">
        <is>
          <t>SKELLEFTEÅ</t>
        </is>
      </c>
      <c r="F2035" t="inlineStr">
        <is>
          <t>Holmen skog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27134-2023</t>
        </is>
      </c>
      <c r="B2036" s="1" t="n">
        <v>45096</v>
      </c>
      <c r="C2036" s="1" t="n">
        <v>45633</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27210-2023</t>
        </is>
      </c>
      <c r="B2037" s="1" t="n">
        <v>45096</v>
      </c>
      <c r="C2037" s="1" t="n">
        <v>45633</v>
      </c>
      <c r="D2037" t="inlineStr">
        <is>
          <t>VÄSTERBOTTENS LÄN</t>
        </is>
      </c>
      <c r="E2037" t="inlineStr">
        <is>
          <t>SKELLEFTEÅ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27200-2023</t>
        </is>
      </c>
      <c r="B2038" s="1" t="n">
        <v>45096</v>
      </c>
      <c r="C2038" s="1" t="n">
        <v>45633</v>
      </c>
      <c r="D2038" t="inlineStr">
        <is>
          <t>VÄSTERBOTTENS LÄN</t>
        </is>
      </c>
      <c r="E2038" t="inlineStr">
        <is>
          <t>SKELLEFTEÅ</t>
        </is>
      </c>
      <c r="F2038" t="inlineStr">
        <is>
          <t>Holmen skog AB</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27333-2023</t>
        </is>
      </c>
      <c r="B2039" s="1" t="n">
        <v>45096</v>
      </c>
      <c r="C2039" s="1" t="n">
        <v>45633</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27323-2023</t>
        </is>
      </c>
      <c r="B2040" s="1" t="n">
        <v>45096</v>
      </c>
      <c r="C2040" s="1" t="n">
        <v>45633</v>
      </c>
      <c r="D2040" t="inlineStr">
        <is>
          <t>VÄSTERBOTTENS LÄN</t>
        </is>
      </c>
      <c r="E2040" t="inlineStr">
        <is>
          <t>SKELLEFTEÅ</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28153-2023</t>
        </is>
      </c>
      <c r="B2041" s="1" t="n">
        <v>45096</v>
      </c>
      <c r="C2041" s="1" t="n">
        <v>45633</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28166-2023</t>
        </is>
      </c>
      <c r="B2042" s="1" t="n">
        <v>45096</v>
      </c>
      <c r="C2042" s="1" t="n">
        <v>45633</v>
      </c>
      <c r="D2042" t="inlineStr">
        <is>
          <t>VÄSTERBOTTENS LÄN</t>
        </is>
      </c>
      <c r="E2042" t="inlineStr">
        <is>
          <t>SKELLEFTEÅ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28113-2023</t>
        </is>
      </c>
      <c r="B2043" s="1" t="n">
        <v>45096</v>
      </c>
      <c r="C2043" s="1" t="n">
        <v>45633</v>
      </c>
      <c r="D2043" t="inlineStr">
        <is>
          <t>VÄSTERBOTTENS LÄN</t>
        </is>
      </c>
      <c r="E2043" t="inlineStr">
        <is>
          <t>SKELLEFTEÅ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28158-2023</t>
        </is>
      </c>
      <c r="B2044" s="1" t="n">
        <v>45096</v>
      </c>
      <c r="C2044" s="1" t="n">
        <v>45633</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28171-2023</t>
        </is>
      </c>
      <c r="B2045" s="1" t="n">
        <v>45096</v>
      </c>
      <c r="C2045" s="1" t="n">
        <v>45633</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28203-2023</t>
        </is>
      </c>
      <c r="B2046" s="1" t="n">
        <v>45096</v>
      </c>
      <c r="C2046" s="1" t="n">
        <v>45633</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27322-2023</t>
        </is>
      </c>
      <c r="B2047" s="1" t="n">
        <v>45096</v>
      </c>
      <c r="C2047" s="1" t="n">
        <v>45633</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28191-2023</t>
        </is>
      </c>
      <c r="B2048" s="1" t="n">
        <v>45096</v>
      </c>
      <c r="C2048" s="1" t="n">
        <v>45633</v>
      </c>
      <c r="D2048" t="inlineStr">
        <is>
          <t>VÄSTERBOTTENS LÄN</t>
        </is>
      </c>
      <c r="E2048" t="inlineStr">
        <is>
          <t>SKELLEFTEÅ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28192-2023</t>
        </is>
      </c>
      <c r="B2049" s="1" t="n">
        <v>45096</v>
      </c>
      <c r="C2049" s="1" t="n">
        <v>45633</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28175-2023</t>
        </is>
      </c>
      <c r="B2050" s="1" t="n">
        <v>45096</v>
      </c>
      <c r="C2050" s="1" t="n">
        <v>45633</v>
      </c>
      <c r="D2050" t="inlineStr">
        <is>
          <t>VÄSTERBOTTENS LÄN</t>
        </is>
      </c>
      <c r="E2050" t="inlineStr">
        <is>
          <t>SKELLEFTEÅ</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27433-2023</t>
        </is>
      </c>
      <c r="B2051" s="1" t="n">
        <v>45097</v>
      </c>
      <c r="C2051" s="1" t="n">
        <v>45633</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27504-2023</t>
        </is>
      </c>
      <c r="B2052" s="1" t="n">
        <v>45097</v>
      </c>
      <c r="C2052" s="1" t="n">
        <v>45633</v>
      </c>
      <c r="D2052" t="inlineStr">
        <is>
          <t>VÄSTERBOTTENS LÄN</t>
        </is>
      </c>
      <c r="E2052" t="inlineStr">
        <is>
          <t>SKELLEFTEÅ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27508-2023</t>
        </is>
      </c>
      <c r="B2053" s="1" t="n">
        <v>45097</v>
      </c>
      <c r="C2053" s="1" t="n">
        <v>45633</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27614-2023</t>
        </is>
      </c>
      <c r="B2054" s="1" t="n">
        <v>45097</v>
      </c>
      <c r="C2054" s="1" t="n">
        <v>45633</v>
      </c>
      <c r="D2054" t="inlineStr">
        <is>
          <t>VÄSTERBOTTENS LÄN</t>
        </is>
      </c>
      <c r="E2054" t="inlineStr">
        <is>
          <t>SKELLEFTEÅ</t>
        </is>
      </c>
      <c r="F2054" t="inlineStr">
        <is>
          <t>Holmen skog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27670-2023</t>
        </is>
      </c>
      <c r="B2055" s="1" t="n">
        <v>45097</v>
      </c>
      <c r="C2055" s="1" t="n">
        <v>45633</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27766-2023</t>
        </is>
      </c>
      <c r="B2056" s="1" t="n">
        <v>45098</v>
      </c>
      <c r="C2056" s="1" t="n">
        <v>45633</v>
      </c>
      <c r="D2056" t="inlineStr">
        <is>
          <t>VÄSTERBOTTENS LÄN</t>
        </is>
      </c>
      <c r="E2056" t="inlineStr">
        <is>
          <t>SKELLEFTEÅ</t>
        </is>
      </c>
      <c r="F2056" t="inlineStr">
        <is>
          <t>Holmen skog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27829-2023</t>
        </is>
      </c>
      <c r="B2057" s="1" t="n">
        <v>45098</v>
      </c>
      <c r="C2057" s="1" t="n">
        <v>45633</v>
      </c>
      <c r="D2057" t="inlineStr">
        <is>
          <t>VÄSTERBOTTENS LÄN</t>
        </is>
      </c>
      <c r="E2057" t="inlineStr">
        <is>
          <t>SKELLEFTEÅ</t>
        </is>
      </c>
      <c r="F2057" t="inlineStr">
        <is>
          <t>Holmen skog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27807-2023</t>
        </is>
      </c>
      <c r="B2058" s="1" t="n">
        <v>45098</v>
      </c>
      <c r="C2058" s="1" t="n">
        <v>45633</v>
      </c>
      <c r="D2058" t="inlineStr">
        <is>
          <t>VÄSTERBOTTENS LÄN</t>
        </is>
      </c>
      <c r="E2058" t="inlineStr">
        <is>
          <t>SKELLEFTEÅ</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27900-2023</t>
        </is>
      </c>
      <c r="B2059" s="1" t="n">
        <v>45098</v>
      </c>
      <c r="C2059" s="1" t="n">
        <v>45633</v>
      </c>
      <c r="D2059" t="inlineStr">
        <is>
          <t>VÄSTERBOTTENS LÄN</t>
        </is>
      </c>
      <c r="E2059" t="inlineStr">
        <is>
          <t>SKELLEFTEÅ</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27925-2023</t>
        </is>
      </c>
      <c r="B2060" s="1" t="n">
        <v>45098</v>
      </c>
      <c r="C2060" s="1" t="n">
        <v>45633</v>
      </c>
      <c r="D2060" t="inlineStr">
        <is>
          <t>VÄSTERBOTTENS LÄN</t>
        </is>
      </c>
      <c r="E2060" t="inlineStr">
        <is>
          <t>SKELLEFTEÅ</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27794-2023</t>
        </is>
      </c>
      <c r="B2061" s="1" t="n">
        <v>45098</v>
      </c>
      <c r="C2061" s="1" t="n">
        <v>45633</v>
      </c>
      <c r="D2061" t="inlineStr">
        <is>
          <t>VÄSTERBOTTENS LÄN</t>
        </is>
      </c>
      <c r="E2061" t="inlineStr">
        <is>
          <t>SKELLEFTEÅ</t>
        </is>
      </c>
      <c r="F2061" t="inlineStr">
        <is>
          <t>Holmen skog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29601-2023</t>
        </is>
      </c>
      <c r="B2062" s="1" t="n">
        <v>45098</v>
      </c>
      <c r="C2062" s="1" t="n">
        <v>45633</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28148-2023</t>
        </is>
      </c>
      <c r="B2063" s="1" t="n">
        <v>45099</v>
      </c>
      <c r="C2063" s="1" t="n">
        <v>45633</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28142-2023</t>
        </is>
      </c>
      <c r="B2064" s="1" t="n">
        <v>45099</v>
      </c>
      <c r="C2064" s="1" t="n">
        <v>45633</v>
      </c>
      <c r="D2064" t="inlineStr">
        <is>
          <t>VÄSTERBOTTENS LÄN</t>
        </is>
      </c>
      <c r="E2064" t="inlineStr">
        <is>
          <t>SKELLEFTEÅ</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28185-2023</t>
        </is>
      </c>
      <c r="B2065" s="1" t="n">
        <v>45099</v>
      </c>
      <c r="C2065" s="1" t="n">
        <v>45633</v>
      </c>
      <c r="D2065" t="inlineStr">
        <is>
          <t>VÄSTERBOTTENS LÄN</t>
        </is>
      </c>
      <c r="E2065" t="inlineStr">
        <is>
          <t>SKELLEFTEÅ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28242-2023</t>
        </is>
      </c>
      <c r="B2066" s="1" t="n">
        <v>45099</v>
      </c>
      <c r="C2066" s="1" t="n">
        <v>45633</v>
      </c>
      <c r="D2066" t="inlineStr">
        <is>
          <t>VÄSTERBOTTENS LÄN</t>
        </is>
      </c>
      <c r="E2066" t="inlineStr">
        <is>
          <t>SKELLEFTEÅ</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28160-2023</t>
        </is>
      </c>
      <c r="B2067" s="1" t="n">
        <v>45099</v>
      </c>
      <c r="C2067" s="1" t="n">
        <v>45633</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28199-2023</t>
        </is>
      </c>
      <c r="B2068" s="1" t="n">
        <v>45099</v>
      </c>
      <c r="C2068" s="1" t="n">
        <v>45633</v>
      </c>
      <c r="D2068" t="inlineStr">
        <is>
          <t>VÄSTERBOTTENS LÄN</t>
        </is>
      </c>
      <c r="E2068" t="inlineStr">
        <is>
          <t>SKELLEFTEÅ</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28360-2023</t>
        </is>
      </c>
      <c r="B2069" s="1" t="n">
        <v>45100</v>
      </c>
      <c r="C2069" s="1" t="n">
        <v>45633</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28358-2023</t>
        </is>
      </c>
      <c r="B2070" s="1" t="n">
        <v>45100</v>
      </c>
      <c r="C2070" s="1" t="n">
        <v>45633</v>
      </c>
      <c r="D2070" t="inlineStr">
        <is>
          <t>VÄSTERBOTTENS LÄN</t>
        </is>
      </c>
      <c r="E2070" t="inlineStr">
        <is>
          <t>SKELLEFTEÅ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29921-2023</t>
        </is>
      </c>
      <c r="B2071" s="1" t="n">
        <v>45099</v>
      </c>
      <c r="C2071" s="1" t="n">
        <v>45633</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30097-2023</t>
        </is>
      </c>
      <c r="B2072" s="1" t="n">
        <v>45099</v>
      </c>
      <c r="C2072" s="1" t="n">
        <v>45633</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30103-2023</t>
        </is>
      </c>
      <c r="B2073" s="1" t="n">
        <v>45099</v>
      </c>
      <c r="C2073" s="1" t="n">
        <v>45633</v>
      </c>
      <c r="D2073" t="inlineStr">
        <is>
          <t>VÄSTERBOTTENS LÄN</t>
        </is>
      </c>
      <c r="E2073" t="inlineStr">
        <is>
          <t>SKELLEFTEÅ</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30437-2023</t>
        </is>
      </c>
      <c r="B2074" s="1" t="n">
        <v>45099</v>
      </c>
      <c r="C2074" s="1" t="n">
        <v>45633</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30378-2023</t>
        </is>
      </c>
      <c r="B2075" s="1" t="n">
        <v>45099</v>
      </c>
      <c r="C2075" s="1" t="n">
        <v>45633</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28431-2023</t>
        </is>
      </c>
      <c r="B2076" s="1" t="n">
        <v>45102</v>
      </c>
      <c r="C2076" s="1" t="n">
        <v>45633</v>
      </c>
      <c r="D2076" t="inlineStr">
        <is>
          <t>VÄSTERBOTTENS LÄN</t>
        </is>
      </c>
      <c r="E2076" t="inlineStr">
        <is>
          <t>SKELLEFTEÅ</t>
        </is>
      </c>
      <c r="G2076" t="n">
        <v>8.9</v>
      </c>
      <c r="H2076" t="n">
        <v>0</v>
      </c>
      <c r="I2076" t="n">
        <v>0</v>
      </c>
      <c r="J2076" t="n">
        <v>0</v>
      </c>
      <c r="K2076" t="n">
        <v>0</v>
      </c>
      <c r="L2076" t="n">
        <v>0</v>
      </c>
      <c r="M2076" t="n">
        <v>0</v>
      </c>
      <c r="N2076" t="n">
        <v>0</v>
      </c>
      <c r="O2076" t="n">
        <v>0</v>
      </c>
      <c r="P2076" t="n">
        <v>0</v>
      </c>
      <c r="Q2076" t="n">
        <v>0</v>
      </c>
      <c r="R2076" s="2" t="inlineStr"/>
      <c r="U2076">
        <f>HYPERLINK("https://klasma.github.io/Logging_2482/knärot/A 28431-2023 karta knärot.png", "A 28431-2023")</f>
        <v/>
      </c>
      <c r="V2076">
        <f>HYPERLINK("https://klasma.github.io/Logging_2482/klagomål/A 28431-2023 FSC-klagomål.docx", "A 28431-2023")</f>
        <v/>
      </c>
      <c r="W2076">
        <f>HYPERLINK("https://klasma.github.io/Logging_2482/klagomålsmail/A 28431-2023 FSC-klagomål mail.docx", "A 28431-2023")</f>
        <v/>
      </c>
      <c r="X2076">
        <f>HYPERLINK("https://klasma.github.io/Logging_2482/tillsyn/A 28431-2023 tillsynsbegäran.docx", "A 28431-2023")</f>
        <v/>
      </c>
      <c r="Y2076">
        <f>HYPERLINK("https://klasma.github.io/Logging_2482/tillsynsmail/A 28431-2023 tillsynsbegäran mail.docx", "A 28431-2023")</f>
        <v/>
      </c>
    </row>
    <row r="2077" ht="15" customHeight="1">
      <c r="A2077" t="inlineStr">
        <is>
          <t>A 28433-2023</t>
        </is>
      </c>
      <c r="B2077" s="1" t="n">
        <v>45102</v>
      </c>
      <c r="C2077" s="1" t="n">
        <v>45633</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28509-2023</t>
        </is>
      </c>
      <c r="B2078" s="1" t="n">
        <v>45103</v>
      </c>
      <c r="C2078" s="1" t="n">
        <v>45633</v>
      </c>
      <c r="D2078" t="inlineStr">
        <is>
          <t>VÄSTERBOTTENS LÄN</t>
        </is>
      </c>
      <c r="E2078" t="inlineStr">
        <is>
          <t>SKELLEFTEÅ</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28641-2023</t>
        </is>
      </c>
      <c r="B2079" s="1" t="n">
        <v>45103</v>
      </c>
      <c r="C2079" s="1" t="n">
        <v>45633</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28710-2023</t>
        </is>
      </c>
      <c r="B2080" s="1" t="n">
        <v>45103</v>
      </c>
      <c r="C2080" s="1" t="n">
        <v>45633</v>
      </c>
      <c r="D2080" t="inlineStr">
        <is>
          <t>VÄSTERBOTTENS LÄN</t>
        </is>
      </c>
      <c r="E2080" t="inlineStr">
        <is>
          <t>SKELLEFTEÅ</t>
        </is>
      </c>
      <c r="F2080" t="inlineStr">
        <is>
          <t>Sveaskog</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31006-2023</t>
        </is>
      </c>
      <c r="B2081" s="1" t="n">
        <v>45103</v>
      </c>
      <c r="C2081" s="1" t="n">
        <v>45633</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31555-2023</t>
        </is>
      </c>
      <c r="B2082" s="1" t="n">
        <v>45104</v>
      </c>
      <c r="C2082" s="1" t="n">
        <v>45633</v>
      </c>
      <c r="D2082" t="inlineStr">
        <is>
          <t>VÄSTERBOTTENS LÄN</t>
        </is>
      </c>
      <c r="E2082" t="inlineStr">
        <is>
          <t>SKELLEFTEÅ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31558-2023</t>
        </is>
      </c>
      <c r="B2083" s="1" t="n">
        <v>45104</v>
      </c>
      <c r="C2083" s="1" t="n">
        <v>45633</v>
      </c>
      <c r="D2083" t="inlineStr">
        <is>
          <t>VÄSTERBOTTENS LÄN</t>
        </is>
      </c>
      <c r="E2083" t="inlineStr">
        <is>
          <t>SKELLEFTEÅ</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29152-2023</t>
        </is>
      </c>
      <c r="B2084" s="1" t="n">
        <v>45105</v>
      </c>
      <c r="C2084" s="1" t="n">
        <v>45633</v>
      </c>
      <c r="D2084" t="inlineStr">
        <is>
          <t>VÄSTERBOTTENS LÄN</t>
        </is>
      </c>
      <c r="E2084" t="inlineStr">
        <is>
          <t>SKELLEFTEÅ</t>
        </is>
      </c>
      <c r="F2084" t="inlineStr">
        <is>
          <t>Holmen skog AB</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29313-2023</t>
        </is>
      </c>
      <c r="B2085" s="1" t="n">
        <v>45106</v>
      </c>
      <c r="C2085" s="1" t="n">
        <v>45633</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29355-2023</t>
        </is>
      </c>
      <c r="B2086" s="1" t="n">
        <v>45106</v>
      </c>
      <c r="C2086" s="1" t="n">
        <v>45633</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29520-2023</t>
        </is>
      </c>
      <c r="B2087" s="1" t="n">
        <v>45106</v>
      </c>
      <c r="C2087" s="1" t="n">
        <v>45633</v>
      </c>
      <c r="D2087" t="inlineStr">
        <is>
          <t>VÄSTERBOTTENS LÄN</t>
        </is>
      </c>
      <c r="E2087" t="inlineStr">
        <is>
          <t>SKELLEFTEÅ</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29596-2023</t>
        </is>
      </c>
      <c r="B2088" s="1" t="n">
        <v>45107</v>
      </c>
      <c r="C2088" s="1" t="n">
        <v>45633</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29595-2023</t>
        </is>
      </c>
      <c r="B2089" s="1" t="n">
        <v>45107</v>
      </c>
      <c r="C2089" s="1" t="n">
        <v>45633</v>
      </c>
      <c r="D2089" t="inlineStr">
        <is>
          <t>VÄSTERBOTTENS LÄN</t>
        </is>
      </c>
      <c r="E2089" t="inlineStr">
        <is>
          <t>SKELLEFTEÅ</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31760-2023</t>
        </is>
      </c>
      <c r="B2090" s="1" t="n">
        <v>45106</v>
      </c>
      <c r="C2090" s="1" t="n">
        <v>45633</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29887-2023</t>
        </is>
      </c>
      <c r="B2091" s="1" t="n">
        <v>45107</v>
      </c>
      <c r="C2091" s="1" t="n">
        <v>45633</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29891-2023</t>
        </is>
      </c>
      <c r="B2092" s="1" t="n">
        <v>45107</v>
      </c>
      <c r="C2092" s="1" t="n">
        <v>45633</v>
      </c>
      <c r="D2092" t="inlineStr">
        <is>
          <t>VÄSTERBOTTENS LÄN</t>
        </is>
      </c>
      <c r="E2092" t="inlineStr">
        <is>
          <t>SKELLEFTEÅ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29890-2023</t>
        </is>
      </c>
      <c r="B2093" s="1" t="n">
        <v>45107</v>
      </c>
      <c r="C2093" s="1" t="n">
        <v>45633</v>
      </c>
      <c r="D2093" t="inlineStr">
        <is>
          <t>VÄSTERBOTTENS LÄN</t>
        </is>
      </c>
      <c r="E2093" t="inlineStr">
        <is>
          <t>SKELLEFTEÅ</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29932-2023</t>
        </is>
      </c>
      <c r="B2094" s="1" t="n">
        <v>45107</v>
      </c>
      <c r="C2094" s="1" t="n">
        <v>45633</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29967-2023</t>
        </is>
      </c>
      <c r="B2095" s="1" t="n">
        <v>45108</v>
      </c>
      <c r="C2095" s="1" t="n">
        <v>45633</v>
      </c>
      <c r="D2095" t="inlineStr">
        <is>
          <t>VÄSTERBOTTENS LÄN</t>
        </is>
      </c>
      <c r="E2095" t="inlineStr">
        <is>
          <t>SKELLEFTEÅ</t>
        </is>
      </c>
      <c r="F2095" t="inlineStr">
        <is>
          <t>Holmen skog AB</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29968-2023</t>
        </is>
      </c>
      <c r="B2096" s="1" t="n">
        <v>45108</v>
      </c>
      <c r="C2096" s="1" t="n">
        <v>45633</v>
      </c>
      <c r="D2096" t="inlineStr">
        <is>
          <t>VÄSTERBOTTENS LÄN</t>
        </is>
      </c>
      <c r="E2096" t="inlineStr">
        <is>
          <t>SKELLEFTEÅ</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29976-2023</t>
        </is>
      </c>
      <c r="B2097" s="1" t="n">
        <v>45108</v>
      </c>
      <c r="C2097" s="1" t="n">
        <v>45633</v>
      </c>
      <c r="D2097" t="inlineStr">
        <is>
          <t>VÄSTERBOTTENS LÄN</t>
        </is>
      </c>
      <c r="E2097" t="inlineStr">
        <is>
          <t>SKELLEFTEÅ</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29970-2023</t>
        </is>
      </c>
      <c r="B2098" s="1" t="n">
        <v>45108</v>
      </c>
      <c r="C2098" s="1" t="n">
        <v>45633</v>
      </c>
      <c r="D2098" t="inlineStr">
        <is>
          <t>VÄSTERBOTTENS LÄN</t>
        </is>
      </c>
      <c r="E2098" t="inlineStr">
        <is>
          <t>SKELLEFTEÅ</t>
        </is>
      </c>
      <c r="F2098" t="inlineStr">
        <is>
          <t>Holmen skog AB</t>
        </is>
      </c>
      <c r="G2098" t="n">
        <v>20.6</v>
      </c>
      <c r="H2098" t="n">
        <v>0</v>
      </c>
      <c r="I2098" t="n">
        <v>0</v>
      </c>
      <c r="J2098" t="n">
        <v>0</v>
      </c>
      <c r="K2098" t="n">
        <v>0</v>
      </c>
      <c r="L2098" t="n">
        <v>0</v>
      </c>
      <c r="M2098" t="n">
        <v>0</v>
      </c>
      <c r="N2098" t="n">
        <v>0</v>
      </c>
      <c r="O2098" t="n">
        <v>0</v>
      </c>
      <c r="P2098" t="n">
        <v>0</v>
      </c>
      <c r="Q2098" t="n">
        <v>0</v>
      </c>
      <c r="R2098" s="2" t="inlineStr"/>
    </row>
    <row r="2099" ht="15" customHeight="1">
      <c r="A2099" t="inlineStr">
        <is>
          <t>A 29974-2023</t>
        </is>
      </c>
      <c r="B2099" s="1" t="n">
        <v>45108</v>
      </c>
      <c r="C2099" s="1" t="n">
        <v>45633</v>
      </c>
      <c r="D2099" t="inlineStr">
        <is>
          <t>VÄSTERBOTTENS LÄN</t>
        </is>
      </c>
      <c r="E2099" t="inlineStr">
        <is>
          <t>SKELLEFTEÅ</t>
        </is>
      </c>
      <c r="F2099" t="inlineStr">
        <is>
          <t>Holmen skog AB</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30010-2023</t>
        </is>
      </c>
      <c r="B2100" s="1" t="n">
        <v>45109</v>
      </c>
      <c r="C2100" s="1" t="n">
        <v>45633</v>
      </c>
      <c r="D2100" t="inlineStr">
        <is>
          <t>VÄSTERBOTTENS LÄN</t>
        </is>
      </c>
      <c r="E2100" t="inlineStr">
        <is>
          <t>SKELLEFTEÅ</t>
        </is>
      </c>
      <c r="F2100" t="inlineStr">
        <is>
          <t>Sveaskog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30212-2023</t>
        </is>
      </c>
      <c r="B2101" s="1" t="n">
        <v>45110</v>
      </c>
      <c r="C2101" s="1" t="n">
        <v>45633</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30485-2023</t>
        </is>
      </c>
      <c r="B2102" s="1" t="n">
        <v>45111</v>
      </c>
      <c r="C2102" s="1" t="n">
        <v>45633</v>
      </c>
      <c r="D2102" t="inlineStr">
        <is>
          <t>VÄSTERBOTTENS LÄN</t>
        </is>
      </c>
      <c r="E2102" t="inlineStr">
        <is>
          <t>SKELLEFTEÅ</t>
        </is>
      </c>
      <c r="F2102" t="inlineStr">
        <is>
          <t>Sveaskog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30329-2023</t>
        </is>
      </c>
      <c r="B2103" s="1" t="n">
        <v>45111</v>
      </c>
      <c r="C2103" s="1" t="n">
        <v>45633</v>
      </c>
      <c r="D2103" t="inlineStr">
        <is>
          <t>VÄSTERBOTTENS LÄN</t>
        </is>
      </c>
      <c r="E2103" t="inlineStr">
        <is>
          <t>SKELLEFTEÅ</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30540-2023</t>
        </is>
      </c>
      <c r="B2104" s="1" t="n">
        <v>45111</v>
      </c>
      <c r="C2104" s="1" t="n">
        <v>45633</v>
      </c>
      <c r="D2104" t="inlineStr">
        <is>
          <t>VÄSTERBOTTENS LÄN</t>
        </is>
      </c>
      <c r="E2104" t="inlineStr">
        <is>
          <t>SKELLEFTEÅ</t>
        </is>
      </c>
      <c r="F2104" t="inlineStr">
        <is>
          <t>Holmen skog AB</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30369-2023</t>
        </is>
      </c>
      <c r="B2105" s="1" t="n">
        <v>45111</v>
      </c>
      <c r="C2105" s="1" t="n">
        <v>45633</v>
      </c>
      <c r="D2105" t="inlineStr">
        <is>
          <t>VÄSTERBOTTENS LÄN</t>
        </is>
      </c>
      <c r="E2105" t="inlineStr">
        <is>
          <t>SKELLEFTEÅ</t>
        </is>
      </c>
      <c r="F2105" t="inlineStr">
        <is>
          <t>Holmen skog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30686-2023</t>
        </is>
      </c>
      <c r="B2106" s="1" t="n">
        <v>45112</v>
      </c>
      <c r="C2106" s="1" t="n">
        <v>45633</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30698-2023</t>
        </is>
      </c>
      <c r="B2107" s="1" t="n">
        <v>45112</v>
      </c>
      <c r="C2107" s="1" t="n">
        <v>45633</v>
      </c>
      <c r="D2107" t="inlineStr">
        <is>
          <t>VÄSTERBOTTENS LÄN</t>
        </is>
      </c>
      <c r="E2107" t="inlineStr">
        <is>
          <t>SKELLEFTEÅ</t>
        </is>
      </c>
      <c r="F2107" t="inlineStr">
        <is>
          <t>Sveaskog</t>
        </is>
      </c>
      <c r="G2107" t="n">
        <v>20.9</v>
      </c>
      <c r="H2107" t="n">
        <v>0</v>
      </c>
      <c r="I2107" t="n">
        <v>0</v>
      </c>
      <c r="J2107" t="n">
        <v>0</v>
      </c>
      <c r="K2107" t="n">
        <v>0</v>
      </c>
      <c r="L2107" t="n">
        <v>0</v>
      </c>
      <c r="M2107" t="n">
        <v>0</v>
      </c>
      <c r="N2107" t="n">
        <v>0</v>
      </c>
      <c r="O2107" t="n">
        <v>0</v>
      </c>
      <c r="P2107" t="n">
        <v>0</v>
      </c>
      <c r="Q2107" t="n">
        <v>0</v>
      </c>
      <c r="R2107" s="2" t="inlineStr"/>
    </row>
    <row r="2108" ht="15" customHeight="1">
      <c r="A2108" t="inlineStr">
        <is>
          <t>A 30743-2023</t>
        </is>
      </c>
      <c r="B2108" s="1" t="n">
        <v>45112</v>
      </c>
      <c r="C2108" s="1" t="n">
        <v>45633</v>
      </c>
      <c r="D2108" t="inlineStr">
        <is>
          <t>VÄSTERBOTTENS LÄN</t>
        </is>
      </c>
      <c r="E2108" t="inlineStr">
        <is>
          <t>SKELLEFTEÅ</t>
        </is>
      </c>
      <c r="F2108" t="inlineStr">
        <is>
          <t>Sveaskog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30786-2023</t>
        </is>
      </c>
      <c r="B2109" s="1" t="n">
        <v>45112</v>
      </c>
      <c r="C2109" s="1" t="n">
        <v>45633</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32817-2023</t>
        </is>
      </c>
      <c r="B2110" s="1" t="n">
        <v>45112</v>
      </c>
      <c r="C2110" s="1" t="n">
        <v>45633</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32820-2023</t>
        </is>
      </c>
      <c r="B2111" s="1" t="n">
        <v>45112</v>
      </c>
      <c r="C2111" s="1" t="n">
        <v>45633</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30953-2023</t>
        </is>
      </c>
      <c r="B2112" s="1" t="n">
        <v>45113</v>
      </c>
      <c r="C2112" s="1" t="n">
        <v>45633</v>
      </c>
      <c r="D2112" t="inlineStr">
        <is>
          <t>VÄSTERBOTTENS LÄN</t>
        </is>
      </c>
      <c r="E2112" t="inlineStr">
        <is>
          <t>SKELLEFTEÅ</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31027-2023</t>
        </is>
      </c>
      <c r="B2113" s="1" t="n">
        <v>45113</v>
      </c>
      <c r="C2113" s="1" t="n">
        <v>45633</v>
      </c>
      <c r="D2113" t="inlineStr">
        <is>
          <t>VÄSTERBOTTENS LÄN</t>
        </is>
      </c>
      <c r="E2113" t="inlineStr">
        <is>
          <t>SKELLEFTEÅ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31035-2023</t>
        </is>
      </c>
      <c r="B2114" s="1" t="n">
        <v>45113</v>
      </c>
      <c r="C2114" s="1" t="n">
        <v>45633</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31033-2023</t>
        </is>
      </c>
      <c r="B2115" s="1" t="n">
        <v>45113</v>
      </c>
      <c r="C2115" s="1" t="n">
        <v>45633</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31028-2023</t>
        </is>
      </c>
      <c r="B2116" s="1" t="n">
        <v>45113</v>
      </c>
      <c r="C2116" s="1" t="n">
        <v>45633</v>
      </c>
      <c r="D2116" t="inlineStr">
        <is>
          <t>VÄSTERBOTTENS LÄN</t>
        </is>
      </c>
      <c r="E2116" t="inlineStr">
        <is>
          <t>SKELLEFTEÅ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31155-2023</t>
        </is>
      </c>
      <c r="B2117" s="1" t="n">
        <v>45113</v>
      </c>
      <c r="C2117" s="1" t="n">
        <v>45633</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32969-2023</t>
        </is>
      </c>
      <c r="B2118" s="1" t="n">
        <v>45113</v>
      </c>
      <c r="C2118" s="1" t="n">
        <v>45633</v>
      </c>
      <c r="D2118" t="inlineStr">
        <is>
          <t>VÄSTERBOTTENS LÄN</t>
        </is>
      </c>
      <c r="E2118" t="inlineStr">
        <is>
          <t>SKELLEFTEÅ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31257-2023</t>
        </is>
      </c>
      <c r="B2119" s="1" t="n">
        <v>45114</v>
      </c>
      <c r="C2119" s="1" t="n">
        <v>45633</v>
      </c>
      <c r="D2119" t="inlineStr">
        <is>
          <t>VÄSTERBOTTENS LÄN</t>
        </is>
      </c>
      <c r="E2119" t="inlineStr">
        <is>
          <t>SKELLEFTEÅ</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33184-2023</t>
        </is>
      </c>
      <c r="B2120" s="1" t="n">
        <v>45114</v>
      </c>
      <c r="C2120" s="1" t="n">
        <v>45633</v>
      </c>
      <c r="D2120" t="inlineStr">
        <is>
          <t>VÄSTERBOTTENS LÄN</t>
        </is>
      </c>
      <c r="E2120" t="inlineStr">
        <is>
          <t>SKELLEFTEÅ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33289-2023</t>
        </is>
      </c>
      <c r="B2121" s="1" t="n">
        <v>45116</v>
      </c>
      <c r="C2121" s="1" t="n">
        <v>45633</v>
      </c>
      <c r="D2121" t="inlineStr">
        <is>
          <t>VÄSTERBOTTENS LÄN</t>
        </is>
      </c>
      <c r="E2121" t="inlineStr">
        <is>
          <t>SKELLEFTEÅ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31672-2023</t>
        </is>
      </c>
      <c r="B2122" s="1" t="n">
        <v>45117</v>
      </c>
      <c r="C2122" s="1" t="n">
        <v>45633</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32206-2023</t>
        </is>
      </c>
      <c r="B2123" s="1" t="n">
        <v>45119</v>
      </c>
      <c r="C2123" s="1" t="n">
        <v>45633</v>
      </c>
      <c r="D2123" t="inlineStr">
        <is>
          <t>VÄSTERBOTTENS LÄN</t>
        </is>
      </c>
      <c r="E2123" t="inlineStr">
        <is>
          <t>SKELLEFTEÅ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32205-2023</t>
        </is>
      </c>
      <c r="B2124" s="1" t="n">
        <v>45119</v>
      </c>
      <c r="C2124" s="1" t="n">
        <v>45633</v>
      </c>
      <c r="D2124" t="inlineStr">
        <is>
          <t>VÄSTERBOTTENS LÄN</t>
        </is>
      </c>
      <c r="E2124" t="inlineStr">
        <is>
          <t>SKELLEFTEÅ</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33778-2023</t>
        </is>
      </c>
      <c r="B2125" s="1" t="n">
        <v>45120</v>
      </c>
      <c r="C2125" s="1" t="n">
        <v>45633</v>
      </c>
      <c r="D2125" t="inlineStr">
        <is>
          <t>VÄSTERBOTTENS LÄN</t>
        </is>
      </c>
      <c r="E2125" t="inlineStr">
        <is>
          <t>SKELLEFTEÅ</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32535-2023</t>
        </is>
      </c>
      <c r="B2126" s="1" t="n">
        <v>45121</v>
      </c>
      <c r="C2126" s="1" t="n">
        <v>45633</v>
      </c>
      <c r="D2126" t="inlineStr">
        <is>
          <t>VÄSTERBOTTENS LÄN</t>
        </is>
      </c>
      <c r="E2126" t="inlineStr">
        <is>
          <t>SKELLEFTEÅ</t>
        </is>
      </c>
      <c r="F2126" t="inlineStr">
        <is>
          <t>Holmen skog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32556-2023</t>
        </is>
      </c>
      <c r="B2127" s="1" t="n">
        <v>45121</v>
      </c>
      <c r="C2127" s="1" t="n">
        <v>45633</v>
      </c>
      <c r="D2127" t="inlineStr">
        <is>
          <t>VÄSTERBOTTENS LÄN</t>
        </is>
      </c>
      <c r="E2127" t="inlineStr">
        <is>
          <t>SKELLEFTEÅ</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32589-2023</t>
        </is>
      </c>
      <c r="B2128" s="1" t="n">
        <v>45121</v>
      </c>
      <c r="C2128" s="1" t="n">
        <v>45633</v>
      </c>
      <c r="D2128" t="inlineStr">
        <is>
          <t>VÄSTERBOTTENS LÄN</t>
        </is>
      </c>
      <c r="E2128" t="inlineStr">
        <is>
          <t>SKELLEFTEÅ</t>
        </is>
      </c>
      <c r="F2128" t="inlineStr">
        <is>
          <t>Holmen skog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32575-2023</t>
        </is>
      </c>
      <c r="B2129" s="1" t="n">
        <v>45121</v>
      </c>
      <c r="C2129" s="1" t="n">
        <v>45633</v>
      </c>
      <c r="D2129" t="inlineStr">
        <is>
          <t>VÄSTERBOTTENS LÄN</t>
        </is>
      </c>
      <c r="E2129" t="inlineStr">
        <is>
          <t>SKELLEFTEÅ</t>
        </is>
      </c>
      <c r="F2129" t="inlineStr">
        <is>
          <t>Holmen skog AB</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32590-2023</t>
        </is>
      </c>
      <c r="B2130" s="1" t="n">
        <v>45121</v>
      </c>
      <c r="C2130" s="1" t="n">
        <v>45633</v>
      </c>
      <c r="D2130" t="inlineStr">
        <is>
          <t>VÄSTERBOTTENS LÄN</t>
        </is>
      </c>
      <c r="E2130" t="inlineStr">
        <is>
          <t>SKELLEFTEÅ</t>
        </is>
      </c>
      <c r="F2130" t="inlineStr">
        <is>
          <t>Holmen skog AB</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32746-2023</t>
        </is>
      </c>
      <c r="B2131" s="1" t="n">
        <v>45122</v>
      </c>
      <c r="C2131" s="1" t="n">
        <v>45633</v>
      </c>
      <c r="D2131" t="inlineStr">
        <is>
          <t>VÄSTERBOTTENS LÄN</t>
        </is>
      </c>
      <c r="E2131" t="inlineStr">
        <is>
          <t>SKELLEFTEÅ</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32743-2023</t>
        </is>
      </c>
      <c r="B2132" s="1" t="n">
        <v>45122</v>
      </c>
      <c r="C2132" s="1" t="n">
        <v>45633</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32747-2023</t>
        </is>
      </c>
      <c r="B2133" s="1" t="n">
        <v>45122</v>
      </c>
      <c r="C2133" s="1" t="n">
        <v>45633</v>
      </c>
      <c r="D2133" t="inlineStr">
        <is>
          <t>VÄSTERBOTTENS LÄN</t>
        </is>
      </c>
      <c r="E2133" t="inlineStr">
        <is>
          <t>SKELLEFTEÅ</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32745-2023</t>
        </is>
      </c>
      <c r="B2134" s="1" t="n">
        <v>45122</v>
      </c>
      <c r="C2134" s="1" t="n">
        <v>45633</v>
      </c>
      <c r="D2134" t="inlineStr">
        <is>
          <t>VÄSTERBOTTENS LÄN</t>
        </is>
      </c>
      <c r="E2134" t="inlineStr">
        <is>
          <t>SKELLEFTEÅ</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33911-2023</t>
        </is>
      </c>
      <c r="B2135" s="1" t="n">
        <v>45123</v>
      </c>
      <c r="C2135" s="1" t="n">
        <v>45633</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33027-2023</t>
        </is>
      </c>
      <c r="B2136" s="1" t="n">
        <v>45126</v>
      </c>
      <c r="C2136" s="1" t="n">
        <v>45633</v>
      </c>
      <c r="D2136" t="inlineStr">
        <is>
          <t>VÄSTERBOTTENS LÄN</t>
        </is>
      </c>
      <c r="E2136" t="inlineStr">
        <is>
          <t>SKELLEFTEÅ</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33078-2023</t>
        </is>
      </c>
      <c r="B2137" s="1" t="n">
        <v>45126</v>
      </c>
      <c r="C2137" s="1" t="n">
        <v>45633</v>
      </c>
      <c r="D2137" t="inlineStr">
        <is>
          <t>VÄSTERBOTTENS LÄN</t>
        </is>
      </c>
      <c r="E2137" t="inlineStr">
        <is>
          <t>SKELLEFTEÅ</t>
        </is>
      </c>
      <c r="F2137" t="inlineStr">
        <is>
          <t>Holmen skog AB</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33129-2023</t>
        </is>
      </c>
      <c r="B2138" s="1" t="n">
        <v>45126</v>
      </c>
      <c r="C2138" s="1" t="n">
        <v>45633</v>
      </c>
      <c r="D2138" t="inlineStr">
        <is>
          <t>VÄSTERBOTTENS LÄN</t>
        </is>
      </c>
      <c r="E2138" t="inlineStr">
        <is>
          <t>SKELLEFTEÅ</t>
        </is>
      </c>
      <c r="F2138" t="inlineStr">
        <is>
          <t>Holmen skog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33274-2023</t>
        </is>
      </c>
      <c r="B2139" s="1" t="n">
        <v>45127</v>
      </c>
      <c r="C2139" s="1" t="n">
        <v>45633</v>
      </c>
      <c r="D2139" t="inlineStr">
        <is>
          <t>VÄSTERBOTTENS LÄN</t>
        </is>
      </c>
      <c r="E2139" t="inlineStr">
        <is>
          <t>SKELLEFTEÅ</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33710-2023</t>
        </is>
      </c>
      <c r="B2140" s="1" t="n">
        <v>45133</v>
      </c>
      <c r="C2140" s="1" t="n">
        <v>45633</v>
      </c>
      <c r="D2140" t="inlineStr">
        <is>
          <t>VÄSTERBOTTENS LÄN</t>
        </is>
      </c>
      <c r="E2140" t="inlineStr">
        <is>
          <t>SKELLEFTEÅ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33708-2023</t>
        </is>
      </c>
      <c r="B2141" s="1" t="n">
        <v>45133</v>
      </c>
      <c r="C2141" s="1" t="n">
        <v>45633</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33791-2023</t>
        </is>
      </c>
      <c r="B2142" s="1" t="n">
        <v>45133</v>
      </c>
      <c r="C2142" s="1" t="n">
        <v>45633</v>
      </c>
      <c r="D2142" t="inlineStr">
        <is>
          <t>VÄSTERBOTTENS LÄN</t>
        </is>
      </c>
      <c r="E2142" t="inlineStr">
        <is>
          <t>SKELLEFTEÅ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33739-2023</t>
        </is>
      </c>
      <c r="B2143" s="1" t="n">
        <v>45133</v>
      </c>
      <c r="C2143" s="1" t="n">
        <v>45633</v>
      </c>
      <c r="D2143" t="inlineStr">
        <is>
          <t>VÄSTERBOTTENS LÄN</t>
        </is>
      </c>
      <c r="E2143" t="inlineStr">
        <is>
          <t>SKELLEFTEÅ</t>
        </is>
      </c>
      <c r="F2143" t="inlineStr">
        <is>
          <t>Holmen skog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33768-2023</t>
        </is>
      </c>
      <c r="B2144" s="1" t="n">
        <v>45133</v>
      </c>
      <c r="C2144" s="1" t="n">
        <v>45633</v>
      </c>
      <c r="D2144" t="inlineStr">
        <is>
          <t>VÄSTERBOTTENS LÄN</t>
        </is>
      </c>
      <c r="E2144" t="inlineStr">
        <is>
          <t>SKELLEFTEÅ</t>
        </is>
      </c>
      <c r="F2144" t="inlineStr">
        <is>
          <t>Holmen skog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33838-2023</t>
        </is>
      </c>
      <c r="B2145" s="1" t="n">
        <v>45133</v>
      </c>
      <c r="C2145" s="1" t="n">
        <v>45633</v>
      </c>
      <c r="D2145" t="inlineStr">
        <is>
          <t>VÄSTERBOTTENS LÄN</t>
        </is>
      </c>
      <c r="E2145" t="inlineStr">
        <is>
          <t>SKELLEFTEÅ</t>
        </is>
      </c>
      <c r="F2145" t="inlineStr">
        <is>
          <t>Holmen skog AB</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33843-2023</t>
        </is>
      </c>
      <c r="B2146" s="1" t="n">
        <v>45133</v>
      </c>
      <c r="C2146" s="1" t="n">
        <v>45633</v>
      </c>
      <c r="D2146" t="inlineStr">
        <is>
          <t>VÄSTERBOTTENS LÄN</t>
        </is>
      </c>
      <c r="E2146" t="inlineStr">
        <is>
          <t>SKELLEFTEÅ</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33728-2023</t>
        </is>
      </c>
      <c r="B2147" s="1" t="n">
        <v>45133</v>
      </c>
      <c r="C2147" s="1" t="n">
        <v>45633</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34508-2023</t>
        </is>
      </c>
      <c r="B2148" s="1" t="n">
        <v>45133</v>
      </c>
      <c r="C2148" s="1" t="n">
        <v>45633</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33771-2023</t>
        </is>
      </c>
      <c r="B2149" s="1" t="n">
        <v>45133</v>
      </c>
      <c r="C2149" s="1" t="n">
        <v>45633</v>
      </c>
      <c r="D2149" t="inlineStr">
        <is>
          <t>VÄSTERBOTTENS LÄN</t>
        </is>
      </c>
      <c r="E2149" t="inlineStr">
        <is>
          <t>SKELLEFTEÅ</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33820-2023</t>
        </is>
      </c>
      <c r="B2150" s="1" t="n">
        <v>45133</v>
      </c>
      <c r="C2150" s="1" t="n">
        <v>45633</v>
      </c>
      <c r="D2150" t="inlineStr">
        <is>
          <t>VÄSTERBOTTENS LÄN</t>
        </is>
      </c>
      <c r="E2150" t="inlineStr">
        <is>
          <t>SKELLEFTEÅ</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34507-2023</t>
        </is>
      </c>
      <c r="B2151" s="1" t="n">
        <v>45133</v>
      </c>
      <c r="C2151" s="1" t="n">
        <v>45633</v>
      </c>
      <c r="D2151" t="inlineStr">
        <is>
          <t>VÄSTERBOTTENS LÄN</t>
        </is>
      </c>
      <c r="E2151" t="inlineStr">
        <is>
          <t>SKELLEFTEÅ</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33956-2023</t>
        </is>
      </c>
      <c r="B2152" s="1" t="n">
        <v>45134</v>
      </c>
      <c r="C2152" s="1" t="n">
        <v>45633</v>
      </c>
      <c r="D2152" t="inlineStr">
        <is>
          <t>VÄSTERBOTTENS LÄN</t>
        </is>
      </c>
      <c r="E2152" t="inlineStr">
        <is>
          <t>SKELLEFTEÅ</t>
        </is>
      </c>
      <c r="F2152" t="inlineStr">
        <is>
          <t>Holmen skog AB</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34036-2023</t>
        </is>
      </c>
      <c r="B2153" s="1" t="n">
        <v>45135</v>
      </c>
      <c r="C2153" s="1" t="n">
        <v>45633</v>
      </c>
      <c r="D2153" t="inlineStr">
        <is>
          <t>VÄSTERBOTTENS LÄN</t>
        </is>
      </c>
      <c r="E2153" t="inlineStr">
        <is>
          <t>SKELLEFTEÅ</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34051-2023</t>
        </is>
      </c>
      <c r="B2154" s="1" t="n">
        <v>45135</v>
      </c>
      <c r="C2154" s="1" t="n">
        <v>45633</v>
      </c>
      <c r="D2154" t="inlineStr">
        <is>
          <t>VÄSTERBOTTENS LÄN</t>
        </is>
      </c>
      <c r="E2154" t="inlineStr">
        <is>
          <t>SKELLEFTEÅ</t>
        </is>
      </c>
      <c r="F2154" t="inlineStr">
        <is>
          <t>Holmen skog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34025-2023</t>
        </is>
      </c>
      <c r="B2155" s="1" t="n">
        <v>45135</v>
      </c>
      <c r="C2155" s="1" t="n">
        <v>45633</v>
      </c>
      <c r="D2155" t="inlineStr">
        <is>
          <t>VÄSTERBOTTENS LÄN</t>
        </is>
      </c>
      <c r="E2155" t="inlineStr">
        <is>
          <t>SKELLEFTEÅ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34063-2023</t>
        </is>
      </c>
      <c r="B2156" s="1" t="n">
        <v>45135</v>
      </c>
      <c r="C2156" s="1" t="n">
        <v>45633</v>
      </c>
      <c r="D2156" t="inlineStr">
        <is>
          <t>VÄSTERBOTTENS LÄN</t>
        </is>
      </c>
      <c r="E2156" t="inlineStr">
        <is>
          <t>SKELLEFTEÅ</t>
        </is>
      </c>
      <c r="F2156" t="inlineStr">
        <is>
          <t>Holmen skog AB</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34035-2023</t>
        </is>
      </c>
      <c r="B2157" s="1" t="n">
        <v>45135</v>
      </c>
      <c r="C2157" s="1" t="n">
        <v>45633</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34572-2023</t>
        </is>
      </c>
      <c r="B2158" s="1" t="n">
        <v>45135</v>
      </c>
      <c r="C2158" s="1" t="n">
        <v>45633</v>
      </c>
      <c r="D2158" t="inlineStr">
        <is>
          <t>VÄSTERBOTTENS LÄN</t>
        </is>
      </c>
      <c r="E2158" t="inlineStr">
        <is>
          <t>SKELLEFTEÅ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34195-2023</t>
        </is>
      </c>
      <c r="B2159" s="1" t="n">
        <v>45135</v>
      </c>
      <c r="C2159" s="1" t="n">
        <v>45633</v>
      </c>
      <c r="D2159" t="inlineStr">
        <is>
          <t>VÄSTERBOTTENS LÄN</t>
        </is>
      </c>
      <c r="E2159" t="inlineStr">
        <is>
          <t>SKELLEFTEÅ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34455-2023</t>
        </is>
      </c>
      <c r="B2160" s="1" t="n">
        <v>45139</v>
      </c>
      <c r="C2160" s="1" t="n">
        <v>45633</v>
      </c>
      <c r="D2160" t="inlineStr">
        <is>
          <t>VÄSTERBOTTENS LÄN</t>
        </is>
      </c>
      <c r="E2160" t="inlineStr">
        <is>
          <t>SKELLEFTEÅ</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34583-2023</t>
        </is>
      </c>
      <c r="B2161" s="1" t="n">
        <v>45140</v>
      </c>
      <c r="C2161" s="1" t="n">
        <v>45633</v>
      </c>
      <c r="D2161" t="inlineStr">
        <is>
          <t>VÄSTERBOTTENS LÄN</t>
        </is>
      </c>
      <c r="E2161" t="inlineStr">
        <is>
          <t>SKELLEFTEÅ</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34597-2023</t>
        </is>
      </c>
      <c r="B2162" s="1" t="n">
        <v>45140</v>
      </c>
      <c r="C2162" s="1" t="n">
        <v>45633</v>
      </c>
      <c r="D2162" t="inlineStr">
        <is>
          <t>VÄSTERBOTTENS LÄN</t>
        </is>
      </c>
      <c r="E2162" t="inlineStr">
        <is>
          <t>SKELLEFTEÅ</t>
        </is>
      </c>
      <c r="F2162" t="inlineStr">
        <is>
          <t>Holmen skog AB</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34616-2023</t>
        </is>
      </c>
      <c r="B2163" s="1" t="n">
        <v>45140</v>
      </c>
      <c r="C2163" s="1" t="n">
        <v>45633</v>
      </c>
      <c r="D2163" t="inlineStr">
        <is>
          <t>VÄSTERBOTTENS LÄN</t>
        </is>
      </c>
      <c r="E2163" t="inlineStr">
        <is>
          <t>SKELLEFTEÅ</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34669-2023</t>
        </is>
      </c>
      <c r="B2164" s="1" t="n">
        <v>45140</v>
      </c>
      <c r="C2164" s="1" t="n">
        <v>45633</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34670-2023</t>
        </is>
      </c>
      <c r="B2165" s="1" t="n">
        <v>45140</v>
      </c>
      <c r="C2165" s="1" t="n">
        <v>45633</v>
      </c>
      <c r="D2165" t="inlineStr">
        <is>
          <t>VÄSTERBOTTENS LÄN</t>
        </is>
      </c>
      <c r="E2165" t="inlineStr">
        <is>
          <t>SKELLEFTEÅ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34638-2023</t>
        </is>
      </c>
      <c r="B2166" s="1" t="n">
        <v>45140</v>
      </c>
      <c r="C2166" s="1" t="n">
        <v>45633</v>
      </c>
      <c r="D2166" t="inlineStr">
        <is>
          <t>VÄSTERBOTTENS LÄN</t>
        </is>
      </c>
      <c r="E2166" t="inlineStr">
        <is>
          <t>SKELLEFTEÅ</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34672-2023</t>
        </is>
      </c>
      <c r="B2167" s="1" t="n">
        <v>45140</v>
      </c>
      <c r="C2167" s="1" t="n">
        <v>45633</v>
      </c>
      <c r="D2167" t="inlineStr">
        <is>
          <t>VÄSTERBOTTENS LÄN</t>
        </is>
      </c>
      <c r="E2167" t="inlineStr">
        <is>
          <t>SKELLEFTEÅ</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34986-2023</t>
        </is>
      </c>
      <c r="B2168" s="1" t="n">
        <v>45142</v>
      </c>
      <c r="C2168" s="1" t="n">
        <v>45633</v>
      </c>
      <c r="D2168" t="inlineStr">
        <is>
          <t>VÄSTERBOTTENS LÄN</t>
        </is>
      </c>
      <c r="E2168" t="inlineStr">
        <is>
          <t>SKELLEFTEÅ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35068-2023</t>
        </is>
      </c>
      <c r="B2169" s="1" t="n">
        <v>45142</v>
      </c>
      <c r="C2169" s="1" t="n">
        <v>45633</v>
      </c>
      <c r="D2169" t="inlineStr">
        <is>
          <t>VÄSTERBOTTENS LÄN</t>
        </is>
      </c>
      <c r="E2169" t="inlineStr">
        <is>
          <t>SKELLEFTEÅ</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35070-2023</t>
        </is>
      </c>
      <c r="B2170" s="1" t="n">
        <v>45142</v>
      </c>
      <c r="C2170" s="1" t="n">
        <v>45633</v>
      </c>
      <c r="D2170" t="inlineStr">
        <is>
          <t>VÄSTERBOTTENS LÄN</t>
        </is>
      </c>
      <c r="E2170" t="inlineStr">
        <is>
          <t>SKELLEFTEÅ</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35031-2023</t>
        </is>
      </c>
      <c r="B2171" s="1" t="n">
        <v>45145</v>
      </c>
      <c r="C2171" s="1" t="n">
        <v>45633</v>
      </c>
      <c r="D2171" t="inlineStr">
        <is>
          <t>VÄSTERBOTTENS LÄN</t>
        </is>
      </c>
      <c r="E2171" t="inlineStr">
        <is>
          <t>SKELLEFTEÅ</t>
        </is>
      </c>
      <c r="F2171" t="inlineStr">
        <is>
          <t>Holmen skog AB</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35102-2023</t>
        </is>
      </c>
      <c r="B2172" s="1" t="n">
        <v>45145</v>
      </c>
      <c r="C2172" s="1" t="n">
        <v>45633</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35032-2023</t>
        </is>
      </c>
      <c r="B2173" s="1" t="n">
        <v>45145</v>
      </c>
      <c r="C2173" s="1" t="n">
        <v>45633</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35331-2023</t>
        </is>
      </c>
      <c r="B2174" s="1" t="n">
        <v>45145</v>
      </c>
      <c r="C2174" s="1" t="n">
        <v>45633</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35206-2023</t>
        </is>
      </c>
      <c r="B2175" s="1" t="n">
        <v>45145</v>
      </c>
      <c r="C2175" s="1" t="n">
        <v>45633</v>
      </c>
      <c r="D2175" t="inlineStr">
        <is>
          <t>VÄSTERBOTTENS LÄN</t>
        </is>
      </c>
      <c r="E2175" t="inlineStr">
        <is>
          <t>SKELLEFTEÅ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35338-2023</t>
        </is>
      </c>
      <c r="B2176" s="1" t="n">
        <v>45145</v>
      </c>
      <c r="C2176" s="1" t="n">
        <v>45633</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35439-2023</t>
        </is>
      </c>
      <c r="B2177" s="1" t="n">
        <v>45146</v>
      </c>
      <c r="C2177" s="1" t="n">
        <v>45633</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35301-2023</t>
        </is>
      </c>
      <c r="B2178" s="1" t="n">
        <v>45146</v>
      </c>
      <c r="C2178" s="1" t="n">
        <v>45633</v>
      </c>
      <c r="D2178" t="inlineStr">
        <is>
          <t>VÄSTERBOTTENS LÄN</t>
        </is>
      </c>
      <c r="E2178" t="inlineStr">
        <is>
          <t>SKELLEFTEÅ</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35401-2023</t>
        </is>
      </c>
      <c r="B2179" s="1" t="n">
        <v>45146</v>
      </c>
      <c r="C2179" s="1" t="n">
        <v>45633</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35437-2023</t>
        </is>
      </c>
      <c r="B2180" s="1" t="n">
        <v>45146</v>
      </c>
      <c r="C2180" s="1" t="n">
        <v>45633</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35430-2023</t>
        </is>
      </c>
      <c r="B2181" s="1" t="n">
        <v>45146</v>
      </c>
      <c r="C2181" s="1" t="n">
        <v>45633</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35731-2023</t>
        </is>
      </c>
      <c r="B2182" s="1" t="n">
        <v>45147</v>
      </c>
      <c r="C2182" s="1" t="n">
        <v>45633</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35732-2023</t>
        </is>
      </c>
      <c r="B2183" s="1" t="n">
        <v>45147</v>
      </c>
      <c r="C2183" s="1" t="n">
        <v>45633</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35736-2023</t>
        </is>
      </c>
      <c r="B2184" s="1" t="n">
        <v>45147</v>
      </c>
      <c r="C2184" s="1" t="n">
        <v>45633</v>
      </c>
      <c r="D2184" t="inlineStr">
        <is>
          <t>VÄSTERBOTTENS LÄN</t>
        </is>
      </c>
      <c r="E2184" t="inlineStr">
        <is>
          <t>SKELLEFTEÅ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35952-2023</t>
        </is>
      </c>
      <c r="B2185" s="1" t="n">
        <v>45148</v>
      </c>
      <c r="C2185" s="1" t="n">
        <v>45633</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36078-2023</t>
        </is>
      </c>
      <c r="B2186" s="1" t="n">
        <v>45149</v>
      </c>
      <c r="C2186" s="1" t="n">
        <v>45633</v>
      </c>
      <c r="D2186" t="inlineStr">
        <is>
          <t>VÄSTERBOTTENS LÄN</t>
        </is>
      </c>
      <c r="E2186" t="inlineStr">
        <is>
          <t>SKELLEFTEÅ</t>
        </is>
      </c>
      <c r="F2186" t="inlineStr">
        <is>
          <t>Holmen skog AB</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36113-2023</t>
        </is>
      </c>
      <c r="B2187" s="1" t="n">
        <v>45149</v>
      </c>
      <c r="C2187" s="1" t="n">
        <v>45633</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36091-2023</t>
        </is>
      </c>
      <c r="B2188" s="1" t="n">
        <v>45149</v>
      </c>
      <c r="C2188" s="1" t="n">
        <v>45633</v>
      </c>
      <c r="D2188" t="inlineStr">
        <is>
          <t>VÄSTERBOTTENS LÄN</t>
        </is>
      </c>
      <c r="E2188" t="inlineStr">
        <is>
          <t>SKELLEFTEÅ</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36099-2023</t>
        </is>
      </c>
      <c r="B2189" s="1" t="n">
        <v>45149</v>
      </c>
      <c r="C2189" s="1" t="n">
        <v>45633</v>
      </c>
      <c r="D2189" t="inlineStr">
        <is>
          <t>VÄSTERBOTTENS LÄN</t>
        </is>
      </c>
      <c r="E2189" t="inlineStr">
        <is>
          <t>SKELLEFTEÅ</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36286-2023</t>
        </is>
      </c>
      <c r="B2190" s="1" t="n">
        <v>45152</v>
      </c>
      <c r="C2190" s="1" t="n">
        <v>45633</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36327-2023</t>
        </is>
      </c>
      <c r="B2191" s="1" t="n">
        <v>45152</v>
      </c>
      <c r="C2191" s="1" t="n">
        <v>45633</v>
      </c>
      <c r="D2191" t="inlineStr">
        <is>
          <t>VÄSTERBOTTENS LÄN</t>
        </is>
      </c>
      <c r="E2191" t="inlineStr">
        <is>
          <t>SKELLEFTEÅ</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36275-2023</t>
        </is>
      </c>
      <c r="B2192" s="1" t="n">
        <v>45152</v>
      </c>
      <c r="C2192" s="1" t="n">
        <v>45633</v>
      </c>
      <c r="D2192" t="inlineStr">
        <is>
          <t>VÄSTERBOTTENS LÄN</t>
        </is>
      </c>
      <c r="E2192" t="inlineStr">
        <is>
          <t>SKELLEFTEÅ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36495-2023</t>
        </is>
      </c>
      <c r="B2193" s="1" t="n">
        <v>45153</v>
      </c>
      <c r="C2193" s="1" t="n">
        <v>45633</v>
      </c>
      <c r="D2193" t="inlineStr">
        <is>
          <t>VÄSTERBOTTENS LÄN</t>
        </is>
      </c>
      <c r="E2193" t="inlineStr">
        <is>
          <t>SKELLEFTEÅ</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36404-2023</t>
        </is>
      </c>
      <c r="B2194" s="1" t="n">
        <v>45152</v>
      </c>
      <c r="C2194" s="1" t="n">
        <v>45633</v>
      </c>
      <c r="D2194" t="inlineStr">
        <is>
          <t>VÄSTERBOTTENS LÄN</t>
        </is>
      </c>
      <c r="E2194" t="inlineStr">
        <is>
          <t>SKELLEFTEÅ</t>
        </is>
      </c>
      <c r="F2194" t="inlineStr">
        <is>
          <t>Holmen skog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36493-2023</t>
        </is>
      </c>
      <c r="B2195" s="1" t="n">
        <v>45153</v>
      </c>
      <c r="C2195" s="1" t="n">
        <v>45633</v>
      </c>
      <c r="D2195" t="inlineStr">
        <is>
          <t>VÄSTERBOTTENS LÄN</t>
        </is>
      </c>
      <c r="E2195" t="inlineStr">
        <is>
          <t>SKELLEFTEÅ</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36556-2023</t>
        </is>
      </c>
      <c r="B2196" s="1" t="n">
        <v>45153</v>
      </c>
      <c r="C2196" s="1" t="n">
        <v>45633</v>
      </c>
      <c r="D2196" t="inlineStr">
        <is>
          <t>VÄSTERBOTTENS LÄN</t>
        </is>
      </c>
      <c r="E2196" t="inlineStr">
        <is>
          <t>SKELLEFTEÅ</t>
        </is>
      </c>
      <c r="G2196" t="n">
        <v>10</v>
      </c>
      <c r="H2196" t="n">
        <v>0</v>
      </c>
      <c r="I2196" t="n">
        <v>0</v>
      </c>
      <c r="J2196" t="n">
        <v>0</v>
      </c>
      <c r="K2196" t="n">
        <v>0</v>
      </c>
      <c r="L2196" t="n">
        <v>0</v>
      </c>
      <c r="M2196" t="n">
        <v>0</v>
      </c>
      <c r="N2196" t="n">
        <v>0</v>
      </c>
      <c r="O2196" t="n">
        <v>0</v>
      </c>
      <c r="P2196" t="n">
        <v>0</v>
      </c>
      <c r="Q2196" t="n">
        <v>0</v>
      </c>
      <c r="R2196" s="2" t="inlineStr"/>
    </row>
    <row r="2197" ht="15" customHeight="1">
      <c r="A2197" t="inlineStr">
        <is>
          <t>A 36804-2023</t>
        </is>
      </c>
      <c r="B2197" s="1" t="n">
        <v>45154</v>
      </c>
      <c r="C2197" s="1" t="n">
        <v>45633</v>
      </c>
      <c r="D2197" t="inlineStr">
        <is>
          <t>VÄSTERBOTTENS LÄN</t>
        </is>
      </c>
      <c r="E2197" t="inlineStr">
        <is>
          <t>SKELLEFTEÅ</t>
        </is>
      </c>
      <c r="F2197" t="inlineStr">
        <is>
          <t>Holmen skog AB</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37134-2023</t>
        </is>
      </c>
      <c r="B2198" s="1" t="n">
        <v>45155</v>
      </c>
      <c r="C2198" s="1" t="n">
        <v>45633</v>
      </c>
      <c r="D2198" t="inlineStr">
        <is>
          <t>VÄSTERBOTTENS LÄN</t>
        </is>
      </c>
      <c r="E2198" t="inlineStr">
        <is>
          <t>SKELLEFTEÅ</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37229-2023</t>
        </is>
      </c>
      <c r="B2199" s="1" t="n">
        <v>45155</v>
      </c>
      <c r="C2199" s="1" t="n">
        <v>45633</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37774-2023</t>
        </is>
      </c>
      <c r="B2200" s="1" t="n">
        <v>45156</v>
      </c>
      <c r="C2200" s="1" t="n">
        <v>45633</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37474-2023</t>
        </is>
      </c>
      <c r="B2201" s="1" t="n">
        <v>45157</v>
      </c>
      <c r="C2201" s="1" t="n">
        <v>45633</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37796-2023</t>
        </is>
      </c>
      <c r="B2202" s="1" t="n">
        <v>45160</v>
      </c>
      <c r="C2202" s="1" t="n">
        <v>45633</v>
      </c>
      <c r="D2202" t="inlineStr">
        <is>
          <t>VÄSTERBOTTENS LÄN</t>
        </is>
      </c>
      <c r="E2202" t="inlineStr">
        <is>
          <t>SKELLEFTEÅ</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38140-2023</t>
        </is>
      </c>
      <c r="B2203" s="1" t="n">
        <v>45159</v>
      </c>
      <c r="C2203" s="1" t="n">
        <v>45633</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38134-2023</t>
        </is>
      </c>
      <c r="B2204" s="1" t="n">
        <v>45159</v>
      </c>
      <c r="C2204" s="1" t="n">
        <v>45633</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37883-2023</t>
        </is>
      </c>
      <c r="B2205" s="1" t="n">
        <v>45160</v>
      </c>
      <c r="C2205" s="1" t="n">
        <v>45633</v>
      </c>
      <c r="D2205" t="inlineStr">
        <is>
          <t>VÄSTERBOTTENS LÄN</t>
        </is>
      </c>
      <c r="E2205" t="inlineStr">
        <is>
          <t>SKELLEFTEÅ</t>
        </is>
      </c>
      <c r="F2205" t="inlineStr">
        <is>
          <t>Holmen skog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37838-2023</t>
        </is>
      </c>
      <c r="B2206" s="1" t="n">
        <v>45160</v>
      </c>
      <c r="C2206" s="1" t="n">
        <v>45633</v>
      </c>
      <c r="D2206" t="inlineStr">
        <is>
          <t>VÄSTERBOTTENS LÄN</t>
        </is>
      </c>
      <c r="E2206" t="inlineStr">
        <is>
          <t>SKELLEFTEÅ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37914-2023</t>
        </is>
      </c>
      <c r="B2207" s="1" t="n">
        <v>45160</v>
      </c>
      <c r="C2207" s="1" t="n">
        <v>45633</v>
      </c>
      <c r="D2207" t="inlineStr">
        <is>
          <t>VÄSTERBOTTENS LÄN</t>
        </is>
      </c>
      <c r="E2207" t="inlineStr">
        <is>
          <t>SKELLEFTEÅ</t>
        </is>
      </c>
      <c r="F2207" t="inlineStr">
        <is>
          <t>Holmen skog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37855-2023</t>
        </is>
      </c>
      <c r="B2208" s="1" t="n">
        <v>45160</v>
      </c>
      <c r="C2208" s="1" t="n">
        <v>45633</v>
      </c>
      <c r="D2208" t="inlineStr">
        <is>
          <t>VÄSTERBOTTENS LÄN</t>
        </is>
      </c>
      <c r="E2208" t="inlineStr">
        <is>
          <t>SKELLEFTEÅ</t>
        </is>
      </c>
      <c r="F2208" t="inlineStr">
        <is>
          <t>Holmen skog AB</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38009-2023</t>
        </is>
      </c>
      <c r="B2209" s="1" t="n">
        <v>45160</v>
      </c>
      <c r="C2209" s="1" t="n">
        <v>45633</v>
      </c>
      <c r="D2209" t="inlineStr">
        <is>
          <t>VÄSTERBOTTENS LÄN</t>
        </is>
      </c>
      <c r="E2209" t="inlineStr">
        <is>
          <t>SKELLEFTEÅ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38013-2023</t>
        </is>
      </c>
      <c r="B2210" s="1" t="n">
        <v>45160</v>
      </c>
      <c r="C2210" s="1" t="n">
        <v>45633</v>
      </c>
      <c r="D2210" t="inlineStr">
        <is>
          <t>VÄSTERBOTTENS LÄN</t>
        </is>
      </c>
      <c r="E2210" t="inlineStr">
        <is>
          <t>SKELLEFTEÅ</t>
        </is>
      </c>
      <c r="F2210" t="inlineStr">
        <is>
          <t>Holmen skog AB</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38301-2023</t>
        </is>
      </c>
      <c r="B2211" s="1" t="n">
        <v>45160</v>
      </c>
      <c r="C2211" s="1" t="n">
        <v>45633</v>
      </c>
      <c r="D2211" t="inlineStr">
        <is>
          <t>VÄSTERBOTTENS LÄN</t>
        </is>
      </c>
      <c r="E2211" t="inlineStr">
        <is>
          <t>SKELLEFTEÅ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38314-2023</t>
        </is>
      </c>
      <c r="B2212" s="1" t="n">
        <v>45160</v>
      </c>
      <c r="C2212" s="1" t="n">
        <v>45633</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38309-2023</t>
        </is>
      </c>
      <c r="B2213" s="1" t="n">
        <v>45160</v>
      </c>
      <c r="C2213" s="1" t="n">
        <v>45633</v>
      </c>
      <c r="D2213" t="inlineStr">
        <is>
          <t>VÄSTERBOTTENS LÄN</t>
        </is>
      </c>
      <c r="E2213" t="inlineStr">
        <is>
          <t>SKELLEFTEÅ</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38031-2023</t>
        </is>
      </c>
      <c r="B2214" s="1" t="n">
        <v>45160</v>
      </c>
      <c r="C2214" s="1" t="n">
        <v>45633</v>
      </c>
      <c r="D2214" t="inlineStr">
        <is>
          <t>VÄSTERBOTTENS LÄN</t>
        </is>
      </c>
      <c r="E2214" t="inlineStr">
        <is>
          <t>SKELLEFTEÅ</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38258-2023</t>
        </is>
      </c>
      <c r="B2215" s="1" t="n">
        <v>45160</v>
      </c>
      <c r="C2215" s="1" t="n">
        <v>45633</v>
      </c>
      <c r="D2215" t="inlineStr">
        <is>
          <t>VÄSTERBOTTENS LÄN</t>
        </is>
      </c>
      <c r="E2215" t="inlineStr">
        <is>
          <t>SKELLEFTEÅ</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38311-2023</t>
        </is>
      </c>
      <c r="B2216" s="1" t="n">
        <v>45160</v>
      </c>
      <c r="C2216" s="1" t="n">
        <v>45633</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38253-2023</t>
        </is>
      </c>
      <c r="B2217" s="1" t="n">
        <v>45160</v>
      </c>
      <c r="C2217" s="1" t="n">
        <v>45633</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38305-2023</t>
        </is>
      </c>
      <c r="B2218" s="1" t="n">
        <v>45160</v>
      </c>
      <c r="C2218" s="1" t="n">
        <v>45633</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38717-2023</t>
        </is>
      </c>
      <c r="B2219" s="1" t="n">
        <v>45160</v>
      </c>
      <c r="C2219" s="1" t="n">
        <v>45633</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38826-2023</t>
        </is>
      </c>
      <c r="B2220" s="1" t="n">
        <v>45161</v>
      </c>
      <c r="C2220" s="1" t="n">
        <v>45633</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38304-2023</t>
        </is>
      </c>
      <c r="B2221" s="1" t="n">
        <v>45161</v>
      </c>
      <c r="C2221" s="1" t="n">
        <v>45633</v>
      </c>
      <c r="D2221" t="inlineStr">
        <is>
          <t>VÄSTERBOTTENS LÄN</t>
        </is>
      </c>
      <c r="E2221" t="inlineStr">
        <is>
          <t>SKELLEFTEÅ</t>
        </is>
      </c>
      <c r="F2221" t="inlineStr">
        <is>
          <t>Holmen skog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38356-2023</t>
        </is>
      </c>
      <c r="B2222" s="1" t="n">
        <v>45161</v>
      </c>
      <c r="C2222" s="1" t="n">
        <v>45633</v>
      </c>
      <c r="D2222" t="inlineStr">
        <is>
          <t>VÄSTERBOTTENS LÄN</t>
        </is>
      </c>
      <c r="E2222" t="inlineStr">
        <is>
          <t>SKELLEFTEÅ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38574-2023</t>
        </is>
      </c>
      <c r="B2223" s="1" t="n">
        <v>45161</v>
      </c>
      <c r="C2223" s="1" t="n">
        <v>45633</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38811-2023</t>
        </is>
      </c>
      <c r="B2224" s="1" t="n">
        <v>45161</v>
      </c>
      <c r="C2224" s="1" t="n">
        <v>45633</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38577-2023</t>
        </is>
      </c>
      <c r="B2225" s="1" t="n">
        <v>45161</v>
      </c>
      <c r="C2225" s="1" t="n">
        <v>45633</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38809-2023</t>
        </is>
      </c>
      <c r="B2226" s="1" t="n">
        <v>45161</v>
      </c>
      <c r="C2226" s="1" t="n">
        <v>45633</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38805-2023</t>
        </is>
      </c>
      <c r="B2227" s="1" t="n">
        <v>45161</v>
      </c>
      <c r="C2227" s="1" t="n">
        <v>45633</v>
      </c>
      <c r="D2227" t="inlineStr">
        <is>
          <t>VÄSTERBOTTENS LÄN</t>
        </is>
      </c>
      <c r="E2227" t="inlineStr">
        <is>
          <t>SKELLEFTEÅ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38818-2023</t>
        </is>
      </c>
      <c r="B2228" s="1" t="n">
        <v>45161</v>
      </c>
      <c r="C2228" s="1" t="n">
        <v>45633</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38396-2023</t>
        </is>
      </c>
      <c r="B2229" s="1" t="n">
        <v>45162</v>
      </c>
      <c r="C2229" s="1" t="n">
        <v>45633</v>
      </c>
      <c r="D2229" t="inlineStr">
        <is>
          <t>VÄSTERBOTTENS LÄN</t>
        </is>
      </c>
      <c r="E2229" t="inlineStr">
        <is>
          <t>SKELLEFTEÅ</t>
        </is>
      </c>
      <c r="F2229" t="inlineStr">
        <is>
          <t>Sveaskog</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38421-2023</t>
        </is>
      </c>
      <c r="B2230" s="1" t="n">
        <v>45162</v>
      </c>
      <c r="C2230" s="1" t="n">
        <v>45633</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38395-2023</t>
        </is>
      </c>
      <c r="B2231" s="1" t="n">
        <v>45162</v>
      </c>
      <c r="C2231" s="1" t="n">
        <v>45633</v>
      </c>
      <c r="D2231" t="inlineStr">
        <is>
          <t>VÄSTERBOTTENS LÄN</t>
        </is>
      </c>
      <c r="E2231" t="inlineStr">
        <is>
          <t>SKELLEFTEÅ</t>
        </is>
      </c>
      <c r="F2231" t="inlineStr">
        <is>
          <t>Sveaskog</t>
        </is>
      </c>
      <c r="G2231" t="n">
        <v>18.9</v>
      </c>
      <c r="H2231" t="n">
        <v>0</v>
      </c>
      <c r="I2231" t="n">
        <v>0</v>
      </c>
      <c r="J2231" t="n">
        <v>0</v>
      </c>
      <c r="K2231" t="n">
        <v>0</v>
      </c>
      <c r="L2231" t="n">
        <v>0</v>
      </c>
      <c r="M2231" t="n">
        <v>0</v>
      </c>
      <c r="N2231" t="n">
        <v>0</v>
      </c>
      <c r="O2231" t="n">
        <v>0</v>
      </c>
      <c r="P2231" t="n">
        <v>0</v>
      </c>
      <c r="Q2231" t="n">
        <v>0</v>
      </c>
      <c r="R2231" s="2" t="inlineStr"/>
    </row>
    <row r="2232" ht="15" customHeight="1">
      <c r="A2232" t="inlineStr">
        <is>
          <t>A 38450-2023</t>
        </is>
      </c>
      <c r="B2232" s="1" t="n">
        <v>45162</v>
      </c>
      <c r="C2232" s="1" t="n">
        <v>45633</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38393-2023</t>
        </is>
      </c>
      <c r="B2233" s="1" t="n">
        <v>45162</v>
      </c>
      <c r="C2233" s="1" t="n">
        <v>45633</v>
      </c>
      <c r="D2233" t="inlineStr">
        <is>
          <t>VÄSTERBOTTENS LÄN</t>
        </is>
      </c>
      <c r="E2233" t="inlineStr">
        <is>
          <t>SKELLEFTEÅ</t>
        </is>
      </c>
      <c r="F2233" t="inlineStr">
        <is>
          <t>Holmen skog AB</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38397-2023</t>
        </is>
      </c>
      <c r="B2234" s="1" t="n">
        <v>45162</v>
      </c>
      <c r="C2234" s="1" t="n">
        <v>45633</v>
      </c>
      <c r="D2234" t="inlineStr">
        <is>
          <t>VÄSTERBOTTENS LÄN</t>
        </is>
      </c>
      <c r="E2234" t="inlineStr">
        <is>
          <t>SKELLEFTEÅ</t>
        </is>
      </c>
      <c r="F2234" t="inlineStr">
        <is>
          <t>Sveaskog</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38445-2023</t>
        </is>
      </c>
      <c r="B2235" s="1" t="n">
        <v>45162</v>
      </c>
      <c r="C2235" s="1" t="n">
        <v>45633</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38473-2023</t>
        </is>
      </c>
      <c r="B2236" s="1" t="n">
        <v>45162</v>
      </c>
      <c r="C2236" s="1" t="n">
        <v>45633</v>
      </c>
      <c r="D2236" t="inlineStr">
        <is>
          <t>VÄSTERBOTTENS LÄN</t>
        </is>
      </c>
      <c r="E2236" t="inlineStr">
        <is>
          <t>SKELLEFTEÅ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38952-2023</t>
        </is>
      </c>
      <c r="B2237" s="1" t="n">
        <v>45163</v>
      </c>
      <c r="C2237" s="1" t="n">
        <v>45633</v>
      </c>
      <c r="D2237" t="inlineStr">
        <is>
          <t>VÄSTERBOTTENS LÄN</t>
        </is>
      </c>
      <c r="E2237" t="inlineStr">
        <is>
          <t>SKELLEFTEÅ</t>
        </is>
      </c>
      <c r="F2237" t="inlineStr">
        <is>
          <t>Sveaskog</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38830-2023</t>
        </is>
      </c>
      <c r="B2238" s="1" t="n">
        <v>45163</v>
      </c>
      <c r="C2238" s="1" t="n">
        <v>45633</v>
      </c>
      <c r="D2238" t="inlineStr">
        <is>
          <t>VÄSTERBOTTENS LÄN</t>
        </is>
      </c>
      <c r="E2238" t="inlineStr">
        <is>
          <t>SKELLEFTEÅ</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38833-2023</t>
        </is>
      </c>
      <c r="B2239" s="1" t="n">
        <v>45163</v>
      </c>
      <c r="C2239" s="1" t="n">
        <v>45633</v>
      </c>
      <c r="D2239" t="inlineStr">
        <is>
          <t>VÄSTERBOTTENS LÄN</t>
        </is>
      </c>
      <c r="E2239" t="inlineStr">
        <is>
          <t>SKELLEFTEÅ</t>
        </is>
      </c>
      <c r="F2239" t="inlineStr">
        <is>
          <t>Sveaskog</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38837-2023</t>
        </is>
      </c>
      <c r="B2240" s="1" t="n">
        <v>45163</v>
      </c>
      <c r="C2240" s="1" t="n">
        <v>45633</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38949-2023</t>
        </is>
      </c>
      <c r="B2241" s="1" t="n">
        <v>45163</v>
      </c>
      <c r="C2241" s="1" t="n">
        <v>45633</v>
      </c>
      <c r="D2241" t="inlineStr">
        <is>
          <t>VÄSTERBOTTENS LÄN</t>
        </is>
      </c>
      <c r="E2241" t="inlineStr">
        <is>
          <t>SKELLEFTEÅ</t>
        </is>
      </c>
      <c r="F2241" t="inlineStr">
        <is>
          <t>Sveaskog</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39018-2023</t>
        </is>
      </c>
      <c r="B2242" s="1" t="n">
        <v>45163</v>
      </c>
      <c r="C2242" s="1" t="n">
        <v>45633</v>
      </c>
      <c r="D2242" t="inlineStr">
        <is>
          <t>VÄSTERBOTTENS LÄN</t>
        </is>
      </c>
      <c r="E2242" t="inlineStr">
        <is>
          <t>SKELLEFTEÅ</t>
        </is>
      </c>
      <c r="F2242" t="inlineStr">
        <is>
          <t>Sveaskog</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39026-2023</t>
        </is>
      </c>
      <c r="B2243" s="1" t="n">
        <v>45163</v>
      </c>
      <c r="C2243" s="1" t="n">
        <v>45633</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39034-2023</t>
        </is>
      </c>
      <c r="B2244" s="1" t="n">
        <v>45163</v>
      </c>
      <c r="C2244" s="1" t="n">
        <v>45633</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39412-2023</t>
        </is>
      </c>
      <c r="B2245" s="1" t="n">
        <v>45163</v>
      </c>
      <c r="C2245" s="1" t="n">
        <v>45633</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39420-2023</t>
        </is>
      </c>
      <c r="B2246" s="1" t="n">
        <v>45163</v>
      </c>
      <c r="C2246" s="1" t="n">
        <v>45633</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38790-2023</t>
        </is>
      </c>
      <c r="B2247" s="1" t="n">
        <v>45163</v>
      </c>
      <c r="C2247" s="1" t="n">
        <v>45633</v>
      </c>
      <c r="D2247" t="inlineStr">
        <is>
          <t>VÄSTERBOTTENS LÄN</t>
        </is>
      </c>
      <c r="E2247" t="inlineStr">
        <is>
          <t>SKELLEFTEÅ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39132-2023</t>
        </is>
      </c>
      <c r="B2248" s="1" t="n">
        <v>45165</v>
      </c>
      <c r="C2248" s="1" t="n">
        <v>45633</v>
      </c>
      <c r="D2248" t="inlineStr">
        <is>
          <t>VÄSTERBOTTENS LÄN</t>
        </is>
      </c>
      <c r="E2248" t="inlineStr">
        <is>
          <t>SKELLEFTEÅ</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39135-2023</t>
        </is>
      </c>
      <c r="B2249" s="1" t="n">
        <v>45165</v>
      </c>
      <c r="C2249" s="1" t="n">
        <v>45633</v>
      </c>
      <c r="D2249" t="inlineStr">
        <is>
          <t>VÄSTERBOTTENS LÄN</t>
        </is>
      </c>
      <c r="E2249" t="inlineStr">
        <is>
          <t>SKELLEFTEÅ</t>
        </is>
      </c>
      <c r="F2249" t="inlineStr">
        <is>
          <t>Holmen skog AB</t>
        </is>
      </c>
      <c r="G2249" t="n">
        <v>20.5</v>
      </c>
      <c r="H2249" t="n">
        <v>0</v>
      </c>
      <c r="I2249" t="n">
        <v>0</v>
      </c>
      <c r="J2249" t="n">
        <v>0</v>
      </c>
      <c r="K2249" t="n">
        <v>0</v>
      </c>
      <c r="L2249" t="n">
        <v>0</v>
      </c>
      <c r="M2249" t="n">
        <v>0</v>
      </c>
      <c r="N2249" t="n">
        <v>0</v>
      </c>
      <c r="O2249" t="n">
        <v>0</v>
      </c>
      <c r="P2249" t="n">
        <v>0</v>
      </c>
      <c r="Q2249" t="n">
        <v>0</v>
      </c>
      <c r="R2249" s="2" t="inlineStr"/>
    </row>
    <row r="2250" ht="15" customHeight="1">
      <c r="A2250" t="inlineStr">
        <is>
          <t>A 39147-2023</t>
        </is>
      </c>
      <c r="B2250" s="1" t="n">
        <v>45166</v>
      </c>
      <c r="C2250" s="1" t="n">
        <v>45633</v>
      </c>
      <c r="D2250" t="inlineStr">
        <is>
          <t>VÄSTERBOTTENS LÄN</t>
        </is>
      </c>
      <c r="E2250" t="inlineStr">
        <is>
          <t>SKELLEFTEÅ</t>
        </is>
      </c>
      <c r="F2250" t="inlineStr">
        <is>
          <t>Holmen skog AB</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39156-2023</t>
        </is>
      </c>
      <c r="B2251" s="1" t="n">
        <v>45166</v>
      </c>
      <c r="C2251" s="1" t="n">
        <v>45633</v>
      </c>
      <c r="D2251" t="inlineStr">
        <is>
          <t>VÄSTERBOTTENS LÄN</t>
        </is>
      </c>
      <c r="E2251" t="inlineStr">
        <is>
          <t>SKELLEFTEÅ</t>
        </is>
      </c>
      <c r="F2251" t="inlineStr">
        <is>
          <t>Sveaskog</t>
        </is>
      </c>
      <c r="G2251" t="n">
        <v>43.7</v>
      </c>
      <c r="H2251" t="n">
        <v>0</v>
      </c>
      <c r="I2251" t="n">
        <v>0</v>
      </c>
      <c r="J2251" t="n">
        <v>0</v>
      </c>
      <c r="K2251" t="n">
        <v>0</v>
      </c>
      <c r="L2251" t="n">
        <v>0</v>
      </c>
      <c r="M2251" t="n">
        <v>0</v>
      </c>
      <c r="N2251" t="n">
        <v>0</v>
      </c>
      <c r="O2251" t="n">
        <v>0</v>
      </c>
      <c r="P2251" t="n">
        <v>0</v>
      </c>
      <c r="Q2251" t="n">
        <v>0</v>
      </c>
      <c r="R2251" s="2" t="inlineStr"/>
    </row>
    <row r="2252" ht="15" customHeight="1">
      <c r="A2252" t="inlineStr">
        <is>
          <t>A 39695-2023</t>
        </is>
      </c>
      <c r="B2252" s="1" t="n">
        <v>45166</v>
      </c>
      <c r="C2252" s="1" t="n">
        <v>45633</v>
      </c>
      <c r="D2252" t="inlineStr">
        <is>
          <t>VÄSTERBOTTENS LÄN</t>
        </is>
      </c>
      <c r="E2252" t="inlineStr">
        <is>
          <t>SKELLEFTEÅ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39513-2023</t>
        </is>
      </c>
      <c r="B2253" s="1" t="n">
        <v>45167</v>
      </c>
      <c r="C2253" s="1" t="n">
        <v>45633</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39553-2023</t>
        </is>
      </c>
      <c r="B2254" s="1" t="n">
        <v>45167</v>
      </c>
      <c r="C2254" s="1" t="n">
        <v>45633</v>
      </c>
      <c r="D2254" t="inlineStr">
        <is>
          <t>VÄSTERBOTTENS LÄN</t>
        </is>
      </c>
      <c r="E2254" t="inlineStr">
        <is>
          <t>SKELLEFTEÅ</t>
        </is>
      </c>
      <c r="F2254" t="inlineStr">
        <is>
          <t>Holmen skog AB</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39589-2023</t>
        </is>
      </c>
      <c r="B2255" s="1" t="n">
        <v>45167</v>
      </c>
      <c r="C2255" s="1" t="n">
        <v>45633</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39544-2023</t>
        </is>
      </c>
      <c r="B2256" s="1" t="n">
        <v>45167</v>
      </c>
      <c r="C2256" s="1" t="n">
        <v>45633</v>
      </c>
      <c r="D2256" t="inlineStr">
        <is>
          <t>VÄSTERBOTTENS LÄN</t>
        </is>
      </c>
      <c r="E2256" t="inlineStr">
        <is>
          <t>SKELLEFTEÅ</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39846-2023</t>
        </is>
      </c>
      <c r="B2257" s="1" t="n">
        <v>45168</v>
      </c>
      <c r="C2257" s="1" t="n">
        <v>45633</v>
      </c>
      <c r="D2257" t="inlineStr">
        <is>
          <t>VÄSTERBOTTENS LÄN</t>
        </is>
      </c>
      <c r="E2257" t="inlineStr">
        <is>
          <t>SKELLEFTEÅ</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40189-2023</t>
        </is>
      </c>
      <c r="B2258" s="1" t="n">
        <v>45169</v>
      </c>
      <c r="C2258" s="1" t="n">
        <v>45633</v>
      </c>
      <c r="D2258" t="inlineStr">
        <is>
          <t>VÄSTERBOTTENS LÄN</t>
        </is>
      </c>
      <c r="E2258" t="inlineStr">
        <is>
          <t>SKELLEFTEÅ</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40373-2023</t>
        </is>
      </c>
      <c r="B2259" s="1" t="n">
        <v>45169</v>
      </c>
      <c r="C2259" s="1" t="n">
        <v>45633</v>
      </c>
      <c r="D2259" t="inlineStr">
        <is>
          <t>VÄSTERBOTTENS LÄN</t>
        </is>
      </c>
      <c r="E2259" t="inlineStr">
        <is>
          <t>SKELLEFTEÅ</t>
        </is>
      </c>
      <c r="F2259" t="inlineStr">
        <is>
          <t>Sveaskog</t>
        </is>
      </c>
      <c r="G2259" t="n">
        <v>16.6</v>
      </c>
      <c r="H2259" t="n">
        <v>0</v>
      </c>
      <c r="I2259" t="n">
        <v>0</v>
      </c>
      <c r="J2259" t="n">
        <v>0</v>
      </c>
      <c r="K2259" t="n">
        <v>0</v>
      </c>
      <c r="L2259" t="n">
        <v>0</v>
      </c>
      <c r="M2259" t="n">
        <v>0</v>
      </c>
      <c r="N2259" t="n">
        <v>0</v>
      </c>
      <c r="O2259" t="n">
        <v>0</v>
      </c>
      <c r="P2259" t="n">
        <v>0</v>
      </c>
      <c r="Q2259" t="n">
        <v>0</v>
      </c>
      <c r="R2259" s="2" t="inlineStr"/>
    </row>
    <row r="2260" ht="15" customHeight="1">
      <c r="A2260" t="inlineStr">
        <is>
          <t>A 40132-2023</t>
        </is>
      </c>
      <c r="B2260" s="1" t="n">
        <v>45169</v>
      </c>
      <c r="C2260" s="1" t="n">
        <v>45633</v>
      </c>
      <c r="D2260" t="inlineStr">
        <is>
          <t>VÄSTERBOTTENS LÄN</t>
        </is>
      </c>
      <c r="E2260" t="inlineStr">
        <is>
          <t>SKELLEFTEÅ</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40274-2023</t>
        </is>
      </c>
      <c r="B2261" s="1" t="n">
        <v>45169</v>
      </c>
      <c r="C2261" s="1" t="n">
        <v>45633</v>
      </c>
      <c r="D2261" t="inlineStr">
        <is>
          <t>VÄSTERBOTTENS LÄN</t>
        </is>
      </c>
      <c r="E2261" t="inlineStr">
        <is>
          <t>SKELLEFTEÅ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40393-2023</t>
        </is>
      </c>
      <c r="B2262" s="1" t="n">
        <v>45169</v>
      </c>
      <c r="C2262" s="1" t="n">
        <v>45633</v>
      </c>
      <c r="D2262" t="inlineStr">
        <is>
          <t>VÄSTERBOTTENS LÄN</t>
        </is>
      </c>
      <c r="E2262" t="inlineStr">
        <is>
          <t>SKELLEFTEÅ</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40442-2023</t>
        </is>
      </c>
      <c r="B2263" s="1" t="n">
        <v>45170</v>
      </c>
      <c r="C2263" s="1" t="n">
        <v>45633</v>
      </c>
      <c r="D2263" t="inlineStr">
        <is>
          <t>VÄSTERBOTTENS LÄN</t>
        </is>
      </c>
      <c r="E2263" t="inlineStr">
        <is>
          <t>SKELLEFTEÅ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41109-2023</t>
        </is>
      </c>
      <c r="B2264" s="1" t="n">
        <v>45170</v>
      </c>
      <c r="C2264" s="1" t="n">
        <v>45633</v>
      </c>
      <c r="D2264" t="inlineStr">
        <is>
          <t>VÄSTERBOTTENS LÄN</t>
        </is>
      </c>
      <c r="E2264" t="inlineStr">
        <is>
          <t>SKELLEFTEÅ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41006-2023</t>
        </is>
      </c>
      <c r="B2265" s="1" t="n">
        <v>45173</v>
      </c>
      <c r="C2265" s="1" t="n">
        <v>45633</v>
      </c>
      <c r="D2265" t="inlineStr">
        <is>
          <t>VÄSTERBOTTENS LÄN</t>
        </is>
      </c>
      <c r="E2265" t="inlineStr">
        <is>
          <t>SKELLEFTEÅ</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41092-2023</t>
        </is>
      </c>
      <c r="B2266" s="1" t="n">
        <v>45173</v>
      </c>
      <c r="C2266" s="1" t="n">
        <v>45633</v>
      </c>
      <c r="D2266" t="inlineStr">
        <is>
          <t>VÄSTERBOTTENS LÄN</t>
        </is>
      </c>
      <c r="E2266" t="inlineStr">
        <is>
          <t>SKELLEFTEÅ</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41397-2023</t>
        </is>
      </c>
      <c r="B2267" s="1" t="n">
        <v>45174</v>
      </c>
      <c r="C2267" s="1" t="n">
        <v>45633</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41645-2023</t>
        </is>
      </c>
      <c r="B2268" s="1" t="n">
        <v>45175</v>
      </c>
      <c r="C2268" s="1" t="n">
        <v>45633</v>
      </c>
      <c r="D2268" t="inlineStr">
        <is>
          <t>VÄSTERBOTTENS LÄN</t>
        </is>
      </c>
      <c r="E2268" t="inlineStr">
        <is>
          <t>SKELLEFTEÅ</t>
        </is>
      </c>
      <c r="G2268" t="n">
        <v>26.4</v>
      </c>
      <c r="H2268" t="n">
        <v>0</v>
      </c>
      <c r="I2268" t="n">
        <v>0</v>
      </c>
      <c r="J2268" t="n">
        <v>0</v>
      </c>
      <c r="K2268" t="n">
        <v>0</v>
      </c>
      <c r="L2268" t="n">
        <v>0</v>
      </c>
      <c r="M2268" t="n">
        <v>0</v>
      </c>
      <c r="N2268" t="n">
        <v>0</v>
      </c>
      <c r="O2268" t="n">
        <v>0</v>
      </c>
      <c r="P2268" t="n">
        <v>0</v>
      </c>
      <c r="Q2268" t="n">
        <v>0</v>
      </c>
      <c r="R2268" s="2" t="inlineStr"/>
    </row>
    <row r="2269" ht="15" customHeight="1">
      <c r="A2269" t="inlineStr">
        <is>
          <t>A 41617-2023</t>
        </is>
      </c>
      <c r="B2269" s="1" t="n">
        <v>45175</v>
      </c>
      <c r="C2269" s="1" t="n">
        <v>45633</v>
      </c>
      <c r="D2269" t="inlineStr">
        <is>
          <t>VÄSTERBOTTENS LÄN</t>
        </is>
      </c>
      <c r="E2269" t="inlineStr">
        <is>
          <t>SKELLEFTEÅ</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42329-2023</t>
        </is>
      </c>
      <c r="B2270" s="1" t="n">
        <v>45175</v>
      </c>
      <c r="C2270" s="1" t="n">
        <v>45633</v>
      </c>
      <c r="D2270" t="inlineStr">
        <is>
          <t>VÄSTERBOTTENS LÄN</t>
        </is>
      </c>
      <c r="E2270" t="inlineStr">
        <is>
          <t>SKELLEFTEÅ</t>
        </is>
      </c>
      <c r="F2270" t="inlineStr">
        <is>
          <t>Kyrkan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42433-2023</t>
        </is>
      </c>
      <c r="B2271" s="1" t="n">
        <v>45175</v>
      </c>
      <c r="C2271" s="1" t="n">
        <v>45633</v>
      </c>
      <c r="D2271" t="inlineStr">
        <is>
          <t>VÄSTERBOTTENS LÄN</t>
        </is>
      </c>
      <c r="E2271" t="inlineStr">
        <is>
          <t>SKELLEFTEÅ</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41904-2023</t>
        </is>
      </c>
      <c r="B2272" s="1" t="n">
        <v>45177</v>
      </c>
      <c r="C2272" s="1" t="n">
        <v>45633</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42587-2023</t>
        </is>
      </c>
      <c r="B2273" s="1" t="n">
        <v>45176</v>
      </c>
      <c r="C2273" s="1" t="n">
        <v>45633</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42595-2023</t>
        </is>
      </c>
      <c r="B2274" s="1" t="n">
        <v>45176</v>
      </c>
      <c r="C2274" s="1" t="n">
        <v>45633</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42138-2023</t>
        </is>
      </c>
      <c r="B2275" s="1" t="n">
        <v>45177</v>
      </c>
      <c r="C2275" s="1" t="n">
        <v>45633</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42822-2023</t>
        </is>
      </c>
      <c r="B2276" s="1" t="n">
        <v>45177</v>
      </c>
      <c r="C2276" s="1" t="n">
        <v>45633</v>
      </c>
      <c r="D2276" t="inlineStr">
        <is>
          <t>VÄSTERBOTTENS LÄN</t>
        </is>
      </c>
      <c r="E2276" t="inlineStr">
        <is>
          <t>SKELLEFTEÅ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42136-2023</t>
        </is>
      </c>
      <c r="B2277" s="1" t="n">
        <v>45177</v>
      </c>
      <c r="C2277" s="1" t="n">
        <v>45633</v>
      </c>
      <c r="D2277" t="inlineStr">
        <is>
          <t>VÄSTERBOTTENS LÄN</t>
        </is>
      </c>
      <c r="E2277" t="inlineStr">
        <is>
          <t>SKELLEFTEÅ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42144-2023</t>
        </is>
      </c>
      <c r="B2278" s="1" t="n">
        <v>45177</v>
      </c>
      <c r="C2278" s="1" t="n">
        <v>45633</v>
      </c>
      <c r="D2278" t="inlineStr">
        <is>
          <t>VÄSTERBOTTENS LÄN</t>
        </is>
      </c>
      <c r="E2278" t="inlineStr">
        <is>
          <t>SKELLEFTEÅ</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42137-2023</t>
        </is>
      </c>
      <c r="B2279" s="1" t="n">
        <v>45177</v>
      </c>
      <c r="C2279" s="1" t="n">
        <v>45633</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42842-2023</t>
        </is>
      </c>
      <c r="B2280" s="1" t="n">
        <v>45177</v>
      </c>
      <c r="C2280" s="1" t="n">
        <v>45633</v>
      </c>
      <c r="D2280" t="inlineStr">
        <is>
          <t>VÄSTERBOTTENS LÄN</t>
        </is>
      </c>
      <c r="E2280" t="inlineStr">
        <is>
          <t>SKELLEFTEÅ</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42421-2023</t>
        </is>
      </c>
      <c r="B2281" s="1" t="n">
        <v>45180</v>
      </c>
      <c r="C2281" s="1" t="n">
        <v>45633</v>
      </c>
      <c r="D2281" t="inlineStr">
        <is>
          <t>VÄSTERBOTTENS LÄN</t>
        </is>
      </c>
      <c r="E2281" t="inlineStr">
        <is>
          <t>SKELLEFTEÅ</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42982-2023</t>
        </is>
      </c>
      <c r="B2282" s="1" t="n">
        <v>45180</v>
      </c>
      <c r="C2282" s="1" t="n">
        <v>45633</v>
      </c>
      <c r="D2282" t="inlineStr">
        <is>
          <t>VÄSTERBOTTENS LÄN</t>
        </is>
      </c>
      <c r="E2282" t="inlineStr">
        <is>
          <t>SKELLEFTEÅ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43060-2023</t>
        </is>
      </c>
      <c r="B2283" s="1" t="n">
        <v>45180</v>
      </c>
      <c r="C2283" s="1" t="n">
        <v>45633</v>
      </c>
      <c r="D2283" t="inlineStr">
        <is>
          <t>VÄSTERBOTTENS LÄN</t>
        </is>
      </c>
      <c r="E2283" t="inlineStr">
        <is>
          <t>SKELLEFTEÅ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43568-2023</t>
        </is>
      </c>
      <c r="B2284" s="1" t="n">
        <v>45181</v>
      </c>
      <c r="C2284" s="1" t="n">
        <v>45633</v>
      </c>
      <c r="D2284" t="inlineStr">
        <is>
          <t>VÄSTERBOTTENS LÄN</t>
        </is>
      </c>
      <c r="E2284" t="inlineStr">
        <is>
          <t>SKELLEFTEÅ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43563-2023</t>
        </is>
      </c>
      <c r="B2285" s="1" t="n">
        <v>45181</v>
      </c>
      <c r="C2285" s="1" t="n">
        <v>45633</v>
      </c>
      <c r="D2285" t="inlineStr">
        <is>
          <t>VÄSTERBOTTENS LÄN</t>
        </is>
      </c>
      <c r="E2285" t="inlineStr">
        <is>
          <t>SKELLEFTEÅ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43598-2023</t>
        </is>
      </c>
      <c r="B2286" s="1" t="n">
        <v>45181</v>
      </c>
      <c r="C2286" s="1" t="n">
        <v>45633</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43603-2023</t>
        </is>
      </c>
      <c r="B2287" s="1" t="n">
        <v>45181</v>
      </c>
      <c r="C2287" s="1" t="n">
        <v>45633</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42640-2023</t>
        </is>
      </c>
      <c r="B2288" s="1" t="n">
        <v>45181</v>
      </c>
      <c r="C2288" s="1" t="n">
        <v>45633</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42650-2023</t>
        </is>
      </c>
      <c r="B2289" s="1" t="n">
        <v>45181</v>
      </c>
      <c r="C2289" s="1" t="n">
        <v>45633</v>
      </c>
      <c r="D2289" t="inlineStr">
        <is>
          <t>VÄSTERBOTTENS LÄN</t>
        </is>
      </c>
      <c r="E2289" t="inlineStr">
        <is>
          <t>SKELLEFTEÅ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42787-2023</t>
        </is>
      </c>
      <c r="B2290" s="1" t="n">
        <v>45181</v>
      </c>
      <c r="C2290" s="1" t="n">
        <v>45633</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42789-2023</t>
        </is>
      </c>
      <c r="B2291" s="1" t="n">
        <v>45181</v>
      </c>
      <c r="C2291" s="1" t="n">
        <v>45633</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43057-2023</t>
        </is>
      </c>
      <c r="B2292" s="1" t="n">
        <v>45182</v>
      </c>
      <c r="C2292" s="1" t="n">
        <v>45633</v>
      </c>
      <c r="D2292" t="inlineStr">
        <is>
          <t>VÄSTERBOTTENS LÄN</t>
        </is>
      </c>
      <c r="E2292" t="inlineStr">
        <is>
          <t>SKELLEFTEÅ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43059-2023</t>
        </is>
      </c>
      <c r="B2293" s="1" t="n">
        <v>45182</v>
      </c>
      <c r="C2293" s="1" t="n">
        <v>45633</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44025-2023</t>
        </is>
      </c>
      <c r="B2294" s="1" t="n">
        <v>45182</v>
      </c>
      <c r="C2294" s="1" t="n">
        <v>45633</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43435-2023</t>
        </is>
      </c>
      <c r="B2295" s="1" t="n">
        <v>45184</v>
      </c>
      <c r="C2295" s="1" t="n">
        <v>45633</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43439-2023</t>
        </is>
      </c>
      <c r="B2296" s="1" t="n">
        <v>45184</v>
      </c>
      <c r="C2296" s="1" t="n">
        <v>45633</v>
      </c>
      <c r="D2296" t="inlineStr">
        <is>
          <t>VÄSTERBOTTENS LÄN</t>
        </is>
      </c>
      <c r="E2296" t="inlineStr">
        <is>
          <t>SKELLEFTEÅ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43438-2023</t>
        </is>
      </c>
      <c r="B2297" s="1" t="n">
        <v>45184</v>
      </c>
      <c r="C2297" s="1" t="n">
        <v>45633</v>
      </c>
      <c r="D2297" t="inlineStr">
        <is>
          <t>VÄSTERBOTTENS LÄN</t>
        </is>
      </c>
      <c r="E2297" t="inlineStr">
        <is>
          <t>SKELLEFTEÅ</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43474-2023</t>
        </is>
      </c>
      <c r="B2298" s="1" t="n">
        <v>45184</v>
      </c>
      <c r="C2298" s="1" t="n">
        <v>45633</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43578-2023</t>
        </is>
      </c>
      <c r="B2299" s="1" t="n">
        <v>45184</v>
      </c>
      <c r="C2299" s="1" t="n">
        <v>45633</v>
      </c>
      <c r="D2299" t="inlineStr">
        <is>
          <t>VÄSTERBOTTENS LÄN</t>
        </is>
      </c>
      <c r="E2299" t="inlineStr">
        <is>
          <t>SKELLEFTEÅ</t>
        </is>
      </c>
      <c r="F2299" t="inlineStr">
        <is>
          <t>Holmen skog AB</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43631-2023</t>
        </is>
      </c>
      <c r="B2300" s="1" t="n">
        <v>45185</v>
      </c>
      <c r="C2300" s="1" t="n">
        <v>45633</v>
      </c>
      <c r="D2300" t="inlineStr">
        <is>
          <t>VÄSTERBOTTENS LÄN</t>
        </is>
      </c>
      <c r="E2300" t="inlineStr">
        <is>
          <t>SKELLEFTEÅ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43751-2023</t>
        </is>
      </c>
      <c r="B2301" s="1" t="n">
        <v>45187</v>
      </c>
      <c r="C2301" s="1" t="n">
        <v>45633</v>
      </c>
      <c r="D2301" t="inlineStr">
        <is>
          <t>VÄSTERBOTTENS LÄN</t>
        </is>
      </c>
      <c r="E2301" t="inlineStr">
        <is>
          <t>SKELLEFTEÅ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43686-2023</t>
        </is>
      </c>
      <c r="B2302" s="1" t="n">
        <v>45187</v>
      </c>
      <c r="C2302" s="1" t="n">
        <v>45633</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45079-2023</t>
        </is>
      </c>
      <c r="B2303" s="1" t="n">
        <v>45187</v>
      </c>
      <c r="C2303" s="1" t="n">
        <v>45633</v>
      </c>
      <c r="D2303" t="inlineStr">
        <is>
          <t>VÄSTERBOTTENS LÄN</t>
        </is>
      </c>
      <c r="E2303" t="inlineStr">
        <is>
          <t>SKELLEFTEÅ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44145-2023</t>
        </is>
      </c>
      <c r="B2304" s="1" t="n">
        <v>45188</v>
      </c>
      <c r="C2304" s="1" t="n">
        <v>45633</v>
      </c>
      <c r="D2304" t="inlineStr">
        <is>
          <t>VÄSTERBOTTENS LÄN</t>
        </is>
      </c>
      <c r="E2304" t="inlineStr">
        <is>
          <t>SKELLEFTEÅ</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44225-2023</t>
        </is>
      </c>
      <c r="B2305" s="1" t="n">
        <v>45188</v>
      </c>
      <c r="C2305" s="1" t="n">
        <v>45633</v>
      </c>
      <c r="D2305" t="inlineStr">
        <is>
          <t>VÄSTERBOTTENS LÄN</t>
        </is>
      </c>
      <c r="E2305" t="inlineStr">
        <is>
          <t>SKELLEFTEÅ</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44078-2023</t>
        </is>
      </c>
      <c r="B2306" s="1" t="n">
        <v>45188</v>
      </c>
      <c r="C2306" s="1" t="n">
        <v>45633</v>
      </c>
      <c r="D2306" t="inlineStr">
        <is>
          <t>VÄSTERBOTTENS LÄN</t>
        </is>
      </c>
      <c r="E2306" t="inlineStr">
        <is>
          <t>SKELLEFTEÅ</t>
        </is>
      </c>
      <c r="F2306" t="inlineStr">
        <is>
          <t>Holmen skog AB</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44250-2023</t>
        </is>
      </c>
      <c r="B2307" s="1" t="n">
        <v>45188</v>
      </c>
      <c r="C2307" s="1" t="n">
        <v>45633</v>
      </c>
      <c r="D2307" t="inlineStr">
        <is>
          <t>VÄSTERBOTTENS LÄN</t>
        </is>
      </c>
      <c r="E2307" t="inlineStr">
        <is>
          <t>SKELLEFTEÅ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44263-2023</t>
        </is>
      </c>
      <c r="B2308" s="1" t="n">
        <v>45188</v>
      </c>
      <c r="C2308" s="1" t="n">
        <v>45633</v>
      </c>
      <c r="D2308" t="inlineStr">
        <is>
          <t>VÄSTERBOTTENS LÄN</t>
        </is>
      </c>
      <c r="E2308" t="inlineStr">
        <is>
          <t>SKELLEFTEÅ</t>
        </is>
      </c>
      <c r="F2308" t="inlineStr">
        <is>
          <t>Holmen skog AB</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44296-2023</t>
        </is>
      </c>
      <c r="B2309" s="1" t="n">
        <v>45188</v>
      </c>
      <c r="C2309" s="1" t="n">
        <v>45633</v>
      </c>
      <c r="D2309" t="inlineStr">
        <is>
          <t>VÄSTERBOTTENS LÄN</t>
        </is>
      </c>
      <c r="E2309" t="inlineStr">
        <is>
          <t>SKELLEFTEÅ</t>
        </is>
      </c>
      <c r="F2309" t="inlineStr">
        <is>
          <t>Holmen skog AB</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44301-2023</t>
        </is>
      </c>
      <c r="B2310" s="1" t="n">
        <v>45188</v>
      </c>
      <c r="C2310" s="1" t="n">
        <v>45633</v>
      </c>
      <c r="D2310" t="inlineStr">
        <is>
          <t>VÄSTERBOTTENS LÄN</t>
        </is>
      </c>
      <c r="E2310" t="inlineStr">
        <is>
          <t>SKELLEFTEÅ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44335-2023</t>
        </is>
      </c>
      <c r="B2311" s="1" t="n">
        <v>45188</v>
      </c>
      <c r="C2311" s="1" t="n">
        <v>45633</v>
      </c>
      <c r="D2311" t="inlineStr">
        <is>
          <t>VÄSTERBOTTENS LÄN</t>
        </is>
      </c>
      <c r="E2311" t="inlineStr">
        <is>
          <t>SKELLEFTEÅ</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45581-2023</t>
        </is>
      </c>
      <c r="B2312" s="1" t="n">
        <v>45188</v>
      </c>
      <c r="C2312" s="1" t="n">
        <v>45633</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45576-2023</t>
        </is>
      </c>
      <c r="B2313" s="1" t="n">
        <v>45188</v>
      </c>
      <c r="C2313" s="1" t="n">
        <v>45633</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44483-2023</t>
        </is>
      </c>
      <c r="B2314" s="1" t="n">
        <v>45189</v>
      </c>
      <c r="C2314" s="1" t="n">
        <v>45633</v>
      </c>
      <c r="D2314" t="inlineStr">
        <is>
          <t>VÄSTERBOTTENS LÄN</t>
        </is>
      </c>
      <c r="E2314" t="inlineStr">
        <is>
          <t>SKELLEFTEÅ</t>
        </is>
      </c>
      <c r="F2314" t="inlineStr">
        <is>
          <t>Holmen skog AB</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44545-2023</t>
        </is>
      </c>
      <c r="B2315" s="1" t="n">
        <v>45189</v>
      </c>
      <c r="C2315" s="1" t="n">
        <v>45633</v>
      </c>
      <c r="D2315" t="inlineStr">
        <is>
          <t>VÄSTERBOTTENS LÄN</t>
        </is>
      </c>
      <c r="E2315" t="inlineStr">
        <is>
          <t>SKELLEFTEÅ</t>
        </is>
      </c>
      <c r="F2315" t="inlineStr">
        <is>
          <t>Holmen skog AB</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44561-2023</t>
        </is>
      </c>
      <c r="B2316" s="1" t="n">
        <v>45189</v>
      </c>
      <c r="C2316" s="1" t="n">
        <v>45633</v>
      </c>
      <c r="D2316" t="inlineStr">
        <is>
          <t>VÄSTERBOTTENS LÄN</t>
        </is>
      </c>
      <c r="E2316" t="inlineStr">
        <is>
          <t>SKELLEFTEÅ</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45727-2023</t>
        </is>
      </c>
      <c r="B2317" s="1" t="n">
        <v>45189</v>
      </c>
      <c r="C2317" s="1" t="n">
        <v>45633</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44567-2023</t>
        </is>
      </c>
      <c r="B2318" s="1" t="n">
        <v>45189</v>
      </c>
      <c r="C2318" s="1" t="n">
        <v>45633</v>
      </c>
      <c r="D2318" t="inlineStr">
        <is>
          <t>VÄSTERBOTTENS LÄN</t>
        </is>
      </c>
      <c r="E2318" t="inlineStr">
        <is>
          <t>SKELLEFTEÅ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44745-2023</t>
        </is>
      </c>
      <c r="B2319" s="1" t="n">
        <v>45190</v>
      </c>
      <c r="C2319" s="1" t="n">
        <v>45633</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44912-2023</t>
        </is>
      </c>
      <c r="B2320" s="1" t="n">
        <v>45190</v>
      </c>
      <c r="C2320" s="1" t="n">
        <v>45633</v>
      </c>
      <c r="D2320" t="inlineStr">
        <is>
          <t>VÄSTERBOTTENS LÄN</t>
        </is>
      </c>
      <c r="E2320" t="inlineStr">
        <is>
          <t>SKELLEFTEÅ</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44959-2023</t>
        </is>
      </c>
      <c r="B2321" s="1" t="n">
        <v>45190</v>
      </c>
      <c r="C2321" s="1" t="n">
        <v>45633</v>
      </c>
      <c r="D2321" t="inlineStr">
        <is>
          <t>VÄSTERBOTTENS LÄN</t>
        </is>
      </c>
      <c r="E2321" t="inlineStr">
        <is>
          <t>SKELLEFTEÅ</t>
        </is>
      </c>
      <c r="F2321" t="inlineStr">
        <is>
          <t>Sveaskog</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44856-2023</t>
        </is>
      </c>
      <c r="B2322" s="1" t="n">
        <v>45190</v>
      </c>
      <c r="C2322" s="1" t="n">
        <v>45633</v>
      </c>
      <c r="D2322" t="inlineStr">
        <is>
          <t>VÄSTERBOTTENS LÄN</t>
        </is>
      </c>
      <c r="E2322" t="inlineStr">
        <is>
          <t>SKELLEFTEÅ</t>
        </is>
      </c>
      <c r="G2322" t="n">
        <v>13.4</v>
      </c>
      <c r="H2322" t="n">
        <v>0</v>
      </c>
      <c r="I2322" t="n">
        <v>0</v>
      </c>
      <c r="J2322" t="n">
        <v>0</v>
      </c>
      <c r="K2322" t="n">
        <v>0</v>
      </c>
      <c r="L2322" t="n">
        <v>0</v>
      </c>
      <c r="M2322" t="n">
        <v>0</v>
      </c>
      <c r="N2322" t="n">
        <v>0</v>
      </c>
      <c r="O2322" t="n">
        <v>0</v>
      </c>
      <c r="P2322" t="n">
        <v>0</v>
      </c>
      <c r="Q2322" t="n">
        <v>0</v>
      </c>
      <c r="R2322" s="2" t="inlineStr"/>
    </row>
    <row r="2323" ht="15" customHeight="1">
      <c r="A2323" t="inlineStr">
        <is>
          <t>A 44872-2023</t>
        </is>
      </c>
      <c r="B2323" s="1" t="n">
        <v>45190</v>
      </c>
      <c r="C2323" s="1" t="n">
        <v>45633</v>
      </c>
      <c r="D2323" t="inlineStr">
        <is>
          <t>VÄSTERBOTTENS LÄN</t>
        </is>
      </c>
      <c r="E2323" t="inlineStr">
        <is>
          <t>SKELLEFTEÅ</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44877-2023</t>
        </is>
      </c>
      <c r="B2324" s="1" t="n">
        <v>45190</v>
      </c>
      <c r="C2324" s="1" t="n">
        <v>45633</v>
      </c>
      <c r="D2324" t="inlineStr">
        <is>
          <t>VÄSTERBOTTENS LÄN</t>
        </is>
      </c>
      <c r="E2324" t="inlineStr">
        <is>
          <t>SKELLEFTEÅ</t>
        </is>
      </c>
      <c r="F2324" t="inlineStr">
        <is>
          <t>Holmen skog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44775-2023</t>
        </is>
      </c>
      <c r="B2325" s="1" t="n">
        <v>45190</v>
      </c>
      <c r="C2325" s="1" t="n">
        <v>45633</v>
      </c>
      <c r="D2325" t="inlineStr">
        <is>
          <t>VÄSTERBOTTENS LÄN</t>
        </is>
      </c>
      <c r="E2325" t="inlineStr">
        <is>
          <t>SKELLEFTEÅ</t>
        </is>
      </c>
      <c r="F2325" t="inlineStr">
        <is>
          <t>Sveaskog</t>
        </is>
      </c>
      <c r="G2325" t="n">
        <v>20.4</v>
      </c>
      <c r="H2325" t="n">
        <v>0</v>
      </c>
      <c r="I2325" t="n">
        <v>0</v>
      </c>
      <c r="J2325" t="n">
        <v>0</v>
      </c>
      <c r="K2325" t="n">
        <v>0</v>
      </c>
      <c r="L2325" t="n">
        <v>0</v>
      </c>
      <c r="M2325" t="n">
        <v>0</v>
      </c>
      <c r="N2325" t="n">
        <v>0</v>
      </c>
      <c r="O2325" t="n">
        <v>0</v>
      </c>
      <c r="P2325" t="n">
        <v>0</v>
      </c>
      <c r="Q2325" t="n">
        <v>0</v>
      </c>
      <c r="R2325" s="2" t="inlineStr"/>
    </row>
    <row r="2326" ht="15" customHeight="1">
      <c r="A2326" t="inlineStr">
        <is>
          <t>A 44825-2023</t>
        </is>
      </c>
      <c r="B2326" s="1" t="n">
        <v>45190</v>
      </c>
      <c r="C2326" s="1" t="n">
        <v>45633</v>
      </c>
      <c r="D2326" t="inlineStr">
        <is>
          <t>VÄSTERBOTTENS LÄN</t>
        </is>
      </c>
      <c r="E2326" t="inlineStr">
        <is>
          <t>SKELLEFTEÅ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46191-2023</t>
        </is>
      </c>
      <c r="B2327" s="1" t="n">
        <v>45190</v>
      </c>
      <c r="C2327" s="1" t="n">
        <v>45633</v>
      </c>
      <c r="D2327" t="inlineStr">
        <is>
          <t>VÄSTERBOTTENS LÄN</t>
        </is>
      </c>
      <c r="E2327" t="inlineStr">
        <is>
          <t>SKELLEFTEÅ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46084-2023</t>
        </is>
      </c>
      <c r="B2328" s="1" t="n">
        <v>45190</v>
      </c>
      <c r="C2328" s="1" t="n">
        <v>45633</v>
      </c>
      <c r="D2328" t="inlineStr">
        <is>
          <t>VÄSTERBOTTENS LÄN</t>
        </is>
      </c>
      <c r="E2328" t="inlineStr">
        <is>
          <t>SKELLEFTEÅ</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46107-2023</t>
        </is>
      </c>
      <c r="B2329" s="1" t="n">
        <v>45190</v>
      </c>
      <c r="C2329" s="1" t="n">
        <v>45633</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45039-2023</t>
        </is>
      </c>
      <c r="B2330" s="1" t="n">
        <v>45191</v>
      </c>
      <c r="C2330" s="1" t="n">
        <v>45633</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46302-2023</t>
        </is>
      </c>
      <c r="B2331" s="1" t="n">
        <v>45191</v>
      </c>
      <c r="C2331" s="1" t="n">
        <v>45633</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45552-2023</t>
        </is>
      </c>
      <c r="B2332" s="1" t="n">
        <v>45194</v>
      </c>
      <c r="C2332" s="1" t="n">
        <v>45633</v>
      </c>
      <c r="D2332" t="inlineStr">
        <is>
          <t>VÄSTERBOTTENS LÄN</t>
        </is>
      </c>
      <c r="E2332" t="inlineStr">
        <is>
          <t>SKELLEFTEÅ</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46504-2023</t>
        </is>
      </c>
      <c r="B2333" s="1" t="n">
        <v>45194</v>
      </c>
      <c r="C2333" s="1" t="n">
        <v>45633</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45498-2023</t>
        </is>
      </c>
      <c r="B2334" s="1" t="n">
        <v>45194</v>
      </c>
      <c r="C2334" s="1" t="n">
        <v>45633</v>
      </c>
      <c r="D2334" t="inlineStr">
        <is>
          <t>VÄSTERBOTTENS LÄN</t>
        </is>
      </c>
      <c r="E2334" t="inlineStr">
        <is>
          <t>SKELLEFTEÅ</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46492-2023</t>
        </is>
      </c>
      <c r="B2335" s="1" t="n">
        <v>45194</v>
      </c>
      <c r="C2335" s="1" t="n">
        <v>45633</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46440-2023</t>
        </is>
      </c>
      <c r="B2336" s="1" t="n">
        <v>45197</v>
      </c>
      <c r="C2336" s="1" t="n">
        <v>45633</v>
      </c>
      <c r="D2336" t="inlineStr">
        <is>
          <t>VÄSTERBOTTENS LÄN</t>
        </is>
      </c>
      <c r="E2336" t="inlineStr">
        <is>
          <t>SKELLEFTEÅ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46540-2023</t>
        </is>
      </c>
      <c r="B2337" s="1" t="n">
        <v>45198</v>
      </c>
      <c r="C2337" s="1" t="n">
        <v>45633</v>
      </c>
      <c r="D2337" t="inlineStr">
        <is>
          <t>VÄSTERBOTTENS LÄN</t>
        </is>
      </c>
      <c r="E2337" t="inlineStr">
        <is>
          <t>SKELLEFTEÅ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46539-2023</t>
        </is>
      </c>
      <c r="B2338" s="1" t="n">
        <v>45198</v>
      </c>
      <c r="C2338" s="1" t="n">
        <v>45633</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46541-2023</t>
        </is>
      </c>
      <c r="B2339" s="1" t="n">
        <v>45198</v>
      </c>
      <c r="C2339" s="1" t="n">
        <v>45633</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46448-2023</t>
        </is>
      </c>
      <c r="B2340" s="1" t="n">
        <v>45197</v>
      </c>
      <c r="C2340" s="1" t="n">
        <v>45633</v>
      </c>
      <c r="D2340" t="inlineStr">
        <is>
          <t>VÄSTERBOTTENS LÄN</t>
        </is>
      </c>
      <c r="E2340" t="inlineStr">
        <is>
          <t>SKELLEFTEÅ</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46538-2023</t>
        </is>
      </c>
      <c r="B2341" s="1" t="n">
        <v>45198</v>
      </c>
      <c r="C2341" s="1" t="n">
        <v>45633</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47447-2023</t>
        </is>
      </c>
      <c r="B2342" s="1" t="n">
        <v>45197</v>
      </c>
      <c r="C2342" s="1" t="n">
        <v>45633</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46584-2023</t>
        </is>
      </c>
      <c r="B2343" s="1" t="n">
        <v>45198</v>
      </c>
      <c r="C2343" s="1" t="n">
        <v>45633</v>
      </c>
      <c r="D2343" t="inlineStr">
        <is>
          <t>VÄSTERBOTTENS LÄN</t>
        </is>
      </c>
      <c r="E2343" t="inlineStr">
        <is>
          <t>SKELLEFTEÅ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46590-2023</t>
        </is>
      </c>
      <c r="B2344" s="1" t="n">
        <v>45198</v>
      </c>
      <c r="C2344" s="1" t="n">
        <v>45633</v>
      </c>
      <c r="D2344" t="inlineStr">
        <is>
          <t>VÄSTERBOTTENS LÄN</t>
        </is>
      </c>
      <c r="E2344" t="inlineStr">
        <is>
          <t>SKELLEFTEÅ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47924-2023</t>
        </is>
      </c>
      <c r="B2345" s="1" t="n">
        <v>45198</v>
      </c>
      <c r="C2345" s="1" t="n">
        <v>45633</v>
      </c>
      <c r="D2345" t="inlineStr">
        <is>
          <t>VÄSTERBOTTENS LÄN</t>
        </is>
      </c>
      <c r="E2345" t="inlineStr">
        <is>
          <t>SKELLEFTEÅ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47923-2023</t>
        </is>
      </c>
      <c r="B2346" s="1" t="n">
        <v>45198</v>
      </c>
      <c r="C2346" s="1" t="n">
        <v>45633</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47925-2023</t>
        </is>
      </c>
      <c r="B2347" s="1" t="n">
        <v>45198</v>
      </c>
      <c r="C2347" s="1" t="n">
        <v>45633</v>
      </c>
      <c r="D2347" t="inlineStr">
        <is>
          <t>VÄSTERBOTTENS LÄN</t>
        </is>
      </c>
      <c r="E2347" t="inlineStr">
        <is>
          <t>SKELLEFTEÅ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47155-2023</t>
        </is>
      </c>
      <c r="B2348" s="1" t="n">
        <v>45202</v>
      </c>
      <c r="C2348" s="1" t="n">
        <v>45633</v>
      </c>
      <c r="D2348" t="inlineStr">
        <is>
          <t>VÄSTERBOTTENS LÄN</t>
        </is>
      </c>
      <c r="E2348" t="inlineStr">
        <is>
          <t>SKELLEFTEÅ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47154-2023</t>
        </is>
      </c>
      <c r="B2349" s="1" t="n">
        <v>45202</v>
      </c>
      <c r="C2349" s="1" t="n">
        <v>45633</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47139-2023</t>
        </is>
      </c>
      <c r="B2350" s="1" t="n">
        <v>45201</v>
      </c>
      <c r="C2350" s="1" t="n">
        <v>45633</v>
      </c>
      <c r="D2350" t="inlineStr">
        <is>
          <t>VÄSTERBOTTENS LÄN</t>
        </is>
      </c>
      <c r="E2350" t="inlineStr">
        <is>
          <t>SKELLEFTEÅ</t>
        </is>
      </c>
      <c r="F2350" t="inlineStr">
        <is>
          <t>Sveaskog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46965-2023</t>
        </is>
      </c>
      <c r="B2351" s="1" t="n">
        <v>45201</v>
      </c>
      <c r="C2351" s="1" t="n">
        <v>45633</v>
      </c>
      <c r="D2351" t="inlineStr">
        <is>
          <t>VÄSTERBOTTENS LÄN</t>
        </is>
      </c>
      <c r="E2351" t="inlineStr">
        <is>
          <t>SKELLEFTEÅ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48392-2023</t>
        </is>
      </c>
      <c r="B2352" s="1" t="n">
        <v>45201</v>
      </c>
      <c r="C2352" s="1" t="n">
        <v>45633</v>
      </c>
      <c r="D2352" t="inlineStr">
        <is>
          <t>VÄSTERBOTTENS LÄN</t>
        </is>
      </c>
      <c r="E2352" t="inlineStr">
        <is>
          <t>SKELLEFTEÅ</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48394-2023</t>
        </is>
      </c>
      <c r="B2353" s="1" t="n">
        <v>45201</v>
      </c>
      <c r="C2353" s="1" t="n">
        <v>45633</v>
      </c>
      <c r="D2353" t="inlineStr">
        <is>
          <t>VÄSTERBOTTENS LÄN</t>
        </is>
      </c>
      <c r="E2353" t="inlineStr">
        <is>
          <t>SKELLEFTEÅ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47312-2023</t>
        </is>
      </c>
      <c r="B2354" s="1" t="n">
        <v>45202</v>
      </c>
      <c r="C2354" s="1" t="n">
        <v>45633</v>
      </c>
      <c r="D2354" t="inlineStr">
        <is>
          <t>VÄSTERBOTTENS LÄN</t>
        </is>
      </c>
      <c r="E2354" t="inlineStr">
        <is>
          <t>SKELLEFTEÅ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47406-2023</t>
        </is>
      </c>
      <c r="B2355" s="1" t="n">
        <v>45202</v>
      </c>
      <c r="C2355" s="1" t="n">
        <v>45633</v>
      </c>
      <c r="D2355" t="inlineStr">
        <is>
          <t>VÄSTERBOTTENS LÄN</t>
        </is>
      </c>
      <c r="E2355" t="inlineStr">
        <is>
          <t>SKELLEFTEÅ</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47468-2023</t>
        </is>
      </c>
      <c r="B2356" s="1" t="n">
        <v>45202</v>
      </c>
      <c r="C2356" s="1" t="n">
        <v>45633</v>
      </c>
      <c r="D2356" t="inlineStr">
        <is>
          <t>VÄSTERBOTTENS LÄN</t>
        </is>
      </c>
      <c r="E2356" t="inlineStr">
        <is>
          <t>SKELLEFTEÅ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47716-2023</t>
        </is>
      </c>
      <c r="B2357" s="1" t="n">
        <v>45203</v>
      </c>
      <c r="C2357" s="1" t="n">
        <v>45633</v>
      </c>
      <c r="D2357" t="inlineStr">
        <is>
          <t>VÄSTERBOTTENS LÄN</t>
        </is>
      </c>
      <c r="E2357" t="inlineStr">
        <is>
          <t>SKELLEFTEÅ</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47531-2023</t>
        </is>
      </c>
      <c r="B2358" s="1" t="n">
        <v>45203</v>
      </c>
      <c r="C2358" s="1" t="n">
        <v>45633</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47534-2023</t>
        </is>
      </c>
      <c r="B2359" s="1" t="n">
        <v>45203</v>
      </c>
      <c r="C2359" s="1" t="n">
        <v>45633</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47910-2023</t>
        </is>
      </c>
      <c r="B2360" s="1" t="n">
        <v>45204</v>
      </c>
      <c r="C2360" s="1" t="n">
        <v>45633</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48062-2023</t>
        </is>
      </c>
      <c r="B2361" s="1" t="n">
        <v>45205</v>
      </c>
      <c r="C2361" s="1" t="n">
        <v>45633</v>
      </c>
      <c r="D2361" t="inlineStr">
        <is>
          <t>VÄSTERBOTTENS LÄN</t>
        </is>
      </c>
      <c r="E2361" t="inlineStr">
        <is>
          <t>SKELLEFTEÅ</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48160-2023</t>
        </is>
      </c>
      <c r="B2362" s="1" t="n">
        <v>45205</v>
      </c>
      <c r="C2362" s="1" t="n">
        <v>45633</v>
      </c>
      <c r="D2362" t="inlineStr">
        <is>
          <t>VÄSTERBOTTENS LÄN</t>
        </is>
      </c>
      <c r="E2362" t="inlineStr">
        <is>
          <t>SKELLEFTEÅ</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48316-2023</t>
        </is>
      </c>
      <c r="B2363" s="1" t="n">
        <v>45205</v>
      </c>
      <c r="C2363" s="1" t="n">
        <v>45633</v>
      </c>
      <c r="D2363" t="inlineStr">
        <is>
          <t>VÄSTERBOTTENS LÄN</t>
        </is>
      </c>
      <c r="E2363" t="inlineStr">
        <is>
          <t>SKELLEFTEÅ</t>
        </is>
      </c>
      <c r="F2363" t="inlineStr">
        <is>
          <t>Holmen skog AB</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48264-2023</t>
        </is>
      </c>
      <c r="B2364" s="1" t="n">
        <v>45205</v>
      </c>
      <c r="C2364" s="1" t="n">
        <v>45633</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48361-2023</t>
        </is>
      </c>
      <c r="B2365" s="1" t="n">
        <v>45205</v>
      </c>
      <c r="C2365" s="1" t="n">
        <v>45633</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49573-2023</t>
        </is>
      </c>
      <c r="B2366" s="1" t="n">
        <v>45205</v>
      </c>
      <c r="C2366" s="1" t="n">
        <v>45633</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49587-2023</t>
        </is>
      </c>
      <c r="B2367" s="1" t="n">
        <v>45206</v>
      </c>
      <c r="C2367" s="1" t="n">
        <v>45633</v>
      </c>
      <c r="D2367" t="inlineStr">
        <is>
          <t>VÄSTERBOTTENS LÄN</t>
        </is>
      </c>
      <c r="E2367" t="inlineStr">
        <is>
          <t>SKELLEFTEÅ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49594-2023</t>
        </is>
      </c>
      <c r="B2368" s="1" t="n">
        <v>45206</v>
      </c>
      <c r="C2368" s="1" t="n">
        <v>45633</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48454-2023</t>
        </is>
      </c>
      <c r="B2369" s="1" t="n">
        <v>45206</v>
      </c>
      <c r="C2369" s="1" t="n">
        <v>45633</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48501-2023</t>
        </is>
      </c>
      <c r="B2370" s="1" t="n">
        <v>45207</v>
      </c>
      <c r="C2370" s="1" t="n">
        <v>45633</v>
      </c>
      <c r="D2370" t="inlineStr">
        <is>
          <t>VÄSTERBOTTENS LÄN</t>
        </is>
      </c>
      <c r="E2370" t="inlineStr">
        <is>
          <t>SKELLEFTEÅ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48517-2023</t>
        </is>
      </c>
      <c r="B2371" s="1" t="n">
        <v>45208</v>
      </c>
      <c r="C2371" s="1" t="n">
        <v>45633</v>
      </c>
      <c r="D2371" t="inlineStr">
        <is>
          <t>VÄSTERBOTTENS LÄN</t>
        </is>
      </c>
      <c r="E2371" t="inlineStr">
        <is>
          <t>SKELLEFTEÅ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48518-2023</t>
        </is>
      </c>
      <c r="B2372" s="1" t="n">
        <v>45208</v>
      </c>
      <c r="C2372" s="1" t="n">
        <v>45633</v>
      </c>
      <c r="D2372" t="inlineStr">
        <is>
          <t>VÄSTERBOTTENS LÄN</t>
        </is>
      </c>
      <c r="E2372" t="inlineStr">
        <is>
          <t>SKELLEFTEÅ</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48573-2023</t>
        </is>
      </c>
      <c r="B2373" s="1" t="n">
        <v>45208</v>
      </c>
      <c r="C2373" s="1" t="n">
        <v>45633</v>
      </c>
      <c r="D2373" t="inlineStr">
        <is>
          <t>VÄSTERBOTTENS LÄN</t>
        </is>
      </c>
      <c r="E2373" t="inlineStr">
        <is>
          <t>SKELLEFTEÅ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48516-2023</t>
        </is>
      </c>
      <c r="B2374" s="1" t="n">
        <v>45208</v>
      </c>
      <c r="C2374" s="1" t="n">
        <v>45633</v>
      </c>
      <c r="D2374" t="inlineStr">
        <is>
          <t>VÄSTERBOTTENS LÄN</t>
        </is>
      </c>
      <c r="E2374" t="inlineStr">
        <is>
          <t>SKELLEFTEÅ</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48802-2023</t>
        </is>
      </c>
      <c r="B2375" s="1" t="n">
        <v>45209</v>
      </c>
      <c r="C2375" s="1" t="n">
        <v>45633</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50185-2023</t>
        </is>
      </c>
      <c r="B2376" s="1" t="n">
        <v>45209</v>
      </c>
      <c r="C2376" s="1" t="n">
        <v>45633</v>
      </c>
      <c r="D2376" t="inlineStr">
        <is>
          <t>VÄSTERBOTTENS LÄN</t>
        </is>
      </c>
      <c r="E2376" t="inlineStr">
        <is>
          <t>SKELLEFTEÅ</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49161-2023</t>
        </is>
      </c>
      <c r="B2377" s="1" t="n">
        <v>45210</v>
      </c>
      <c r="C2377" s="1" t="n">
        <v>45633</v>
      </c>
      <c r="D2377" t="inlineStr">
        <is>
          <t>VÄSTERBOTTENS LÄN</t>
        </is>
      </c>
      <c r="E2377" t="inlineStr">
        <is>
          <t>SKELLEFTEÅ</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49130-2023</t>
        </is>
      </c>
      <c r="B2378" s="1" t="n">
        <v>45210</v>
      </c>
      <c r="C2378" s="1" t="n">
        <v>45633</v>
      </c>
      <c r="D2378" t="inlineStr">
        <is>
          <t>VÄSTERBOTTENS LÄN</t>
        </is>
      </c>
      <c r="E2378" t="inlineStr">
        <is>
          <t>SKELLEFTEÅ</t>
        </is>
      </c>
      <c r="F2378" t="inlineStr">
        <is>
          <t>Holmen skog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49055-2023</t>
        </is>
      </c>
      <c r="B2379" s="1" t="n">
        <v>45210</v>
      </c>
      <c r="C2379" s="1" t="n">
        <v>45633</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49241-2023</t>
        </is>
      </c>
      <c r="B2380" s="1" t="n">
        <v>45210</v>
      </c>
      <c r="C2380" s="1" t="n">
        <v>45633</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49243-2023</t>
        </is>
      </c>
      <c r="B2381" s="1" t="n">
        <v>45210</v>
      </c>
      <c r="C2381" s="1" t="n">
        <v>45633</v>
      </c>
      <c r="D2381" t="inlineStr">
        <is>
          <t>VÄSTERBOTTENS LÄN</t>
        </is>
      </c>
      <c r="E2381" t="inlineStr">
        <is>
          <t>SKELLEFTEÅ</t>
        </is>
      </c>
      <c r="F2381" t="inlineStr">
        <is>
          <t>Holmen skog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50378-2023</t>
        </is>
      </c>
      <c r="B2382" s="1" t="n">
        <v>45210</v>
      </c>
      <c r="C2382" s="1" t="n">
        <v>45633</v>
      </c>
      <c r="D2382" t="inlineStr">
        <is>
          <t>VÄSTERBOTTENS LÄN</t>
        </is>
      </c>
      <c r="E2382" t="inlineStr">
        <is>
          <t>SKELLEFTEÅ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49283-2023</t>
        </is>
      </c>
      <c r="B2383" s="1" t="n">
        <v>45210</v>
      </c>
      <c r="C2383" s="1" t="n">
        <v>45633</v>
      </c>
      <c r="D2383" t="inlineStr">
        <is>
          <t>VÄSTERBOTTENS LÄN</t>
        </is>
      </c>
      <c r="E2383" t="inlineStr">
        <is>
          <t>SKELLEFTEÅ</t>
        </is>
      </c>
      <c r="F2383" t="inlineStr">
        <is>
          <t>Holmen skog AB</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49688-2023</t>
        </is>
      </c>
      <c r="B2384" s="1" t="n">
        <v>45212</v>
      </c>
      <c r="C2384" s="1" t="n">
        <v>45633</v>
      </c>
      <c r="D2384" t="inlineStr">
        <is>
          <t>VÄSTERBOTTENS LÄN</t>
        </is>
      </c>
      <c r="E2384" t="inlineStr">
        <is>
          <t>SKELLEFTEÅ</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49730-2023</t>
        </is>
      </c>
      <c r="B2385" s="1" t="n">
        <v>45212</v>
      </c>
      <c r="C2385" s="1" t="n">
        <v>45633</v>
      </c>
      <c r="D2385" t="inlineStr">
        <is>
          <t>VÄSTERBOTTENS LÄN</t>
        </is>
      </c>
      <c r="E2385" t="inlineStr">
        <is>
          <t>SKELLEFTEÅ</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49728-2023</t>
        </is>
      </c>
      <c r="B2386" s="1" t="n">
        <v>45212</v>
      </c>
      <c r="C2386" s="1" t="n">
        <v>45633</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51342-2023</t>
        </is>
      </c>
      <c r="B2387" s="1" t="n">
        <v>45212</v>
      </c>
      <c r="C2387" s="1" t="n">
        <v>45633</v>
      </c>
      <c r="D2387" t="inlineStr">
        <is>
          <t>VÄSTERBOTTENS LÄN</t>
        </is>
      </c>
      <c r="E2387" t="inlineStr">
        <is>
          <t>SKELLEFTEÅ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49901-2023</t>
        </is>
      </c>
      <c r="B2388" s="1" t="n">
        <v>45213</v>
      </c>
      <c r="C2388" s="1" t="n">
        <v>45633</v>
      </c>
      <c r="D2388" t="inlineStr">
        <is>
          <t>VÄSTERBOTTENS LÄN</t>
        </is>
      </c>
      <c r="E2388" t="inlineStr">
        <is>
          <t>SKELLEFTEÅ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49900-2023</t>
        </is>
      </c>
      <c r="B2389" s="1" t="n">
        <v>45213</v>
      </c>
      <c r="C2389" s="1" t="n">
        <v>45633</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49949-2023</t>
        </is>
      </c>
      <c r="B2390" s="1" t="n">
        <v>45215</v>
      </c>
      <c r="C2390" s="1" t="n">
        <v>45633</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50081-2023</t>
        </is>
      </c>
      <c r="B2391" s="1" t="n">
        <v>45215</v>
      </c>
      <c r="C2391" s="1" t="n">
        <v>45633</v>
      </c>
      <c r="D2391" t="inlineStr">
        <is>
          <t>VÄSTERBOTTENS LÄN</t>
        </is>
      </c>
      <c r="E2391" t="inlineStr">
        <is>
          <t>SKELLEFTEÅ</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50108-2023</t>
        </is>
      </c>
      <c r="B2392" s="1" t="n">
        <v>45215</v>
      </c>
      <c r="C2392" s="1" t="n">
        <v>45633</v>
      </c>
      <c r="D2392" t="inlineStr">
        <is>
          <t>VÄSTERBOTTENS LÄN</t>
        </is>
      </c>
      <c r="E2392" t="inlineStr">
        <is>
          <t>SKELLEFTEÅ</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51590-2023</t>
        </is>
      </c>
      <c r="B2393" s="1" t="n">
        <v>45215</v>
      </c>
      <c r="C2393" s="1" t="n">
        <v>45633</v>
      </c>
      <c r="D2393" t="inlineStr">
        <is>
          <t>VÄSTERBOTTENS LÄN</t>
        </is>
      </c>
      <c r="E2393" t="inlineStr">
        <is>
          <t>SKELLEFTEÅ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51611-2023</t>
        </is>
      </c>
      <c r="B2394" s="1" t="n">
        <v>45215</v>
      </c>
      <c r="C2394" s="1" t="n">
        <v>45633</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51683-2023</t>
        </is>
      </c>
      <c r="B2395" s="1" t="n">
        <v>45215</v>
      </c>
      <c r="C2395" s="1" t="n">
        <v>45633</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51664-2023</t>
        </is>
      </c>
      <c r="B2396" s="1" t="n">
        <v>45215</v>
      </c>
      <c r="C2396" s="1" t="n">
        <v>45633</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50474-2023</t>
        </is>
      </c>
      <c r="B2397" s="1" t="n">
        <v>45217</v>
      </c>
      <c r="C2397" s="1" t="n">
        <v>45633</v>
      </c>
      <c r="D2397" t="inlineStr">
        <is>
          <t>VÄSTERBOTTENS LÄN</t>
        </is>
      </c>
      <c r="E2397" t="inlineStr">
        <is>
          <t>SKELLEFTEÅ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50462-2023</t>
        </is>
      </c>
      <c r="B2398" s="1" t="n">
        <v>45216</v>
      </c>
      <c r="C2398" s="1" t="n">
        <v>45633</v>
      </c>
      <c r="D2398" t="inlineStr">
        <is>
          <t>VÄSTERBOTTENS LÄN</t>
        </is>
      </c>
      <c r="E2398" t="inlineStr">
        <is>
          <t>SKELLEFTEÅ</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50477-2023</t>
        </is>
      </c>
      <c r="B2399" s="1" t="n">
        <v>45217</v>
      </c>
      <c r="C2399" s="1" t="n">
        <v>45633</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50338-2023</t>
        </is>
      </c>
      <c r="B2400" s="1" t="n">
        <v>45216</v>
      </c>
      <c r="C2400" s="1" t="n">
        <v>45633</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52062-2023</t>
        </is>
      </c>
      <c r="B2401" s="1" t="n">
        <v>45216</v>
      </c>
      <c r="C2401" s="1" t="n">
        <v>45633</v>
      </c>
      <c r="D2401" t="inlineStr">
        <is>
          <t>VÄSTERBOTTENS LÄN</t>
        </is>
      </c>
      <c r="E2401" t="inlineStr">
        <is>
          <t>SKELLEFTEÅ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52037-2023</t>
        </is>
      </c>
      <c r="B2402" s="1" t="n">
        <v>45216</v>
      </c>
      <c r="C2402" s="1" t="n">
        <v>45633</v>
      </c>
      <c r="D2402" t="inlineStr">
        <is>
          <t>VÄSTERBOTTENS LÄN</t>
        </is>
      </c>
      <c r="E2402" t="inlineStr">
        <is>
          <t>SKELLEFTEÅ</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51926-2023</t>
        </is>
      </c>
      <c r="B2403" s="1" t="n">
        <v>45216</v>
      </c>
      <c r="C2403" s="1" t="n">
        <v>45633</v>
      </c>
      <c r="D2403" t="inlineStr">
        <is>
          <t>VÄSTERBOTTENS LÄN</t>
        </is>
      </c>
      <c r="E2403" t="inlineStr">
        <is>
          <t>SKELLEFTEÅ</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50475-2023</t>
        </is>
      </c>
      <c r="B2404" s="1" t="n">
        <v>45217</v>
      </c>
      <c r="C2404" s="1" t="n">
        <v>45633</v>
      </c>
      <c r="D2404" t="inlineStr">
        <is>
          <t>VÄSTERBOTTENS LÄN</t>
        </is>
      </c>
      <c r="E2404" t="inlineStr">
        <is>
          <t>SKELLEFTEÅ</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51970-2023</t>
        </is>
      </c>
      <c r="B2405" s="1" t="n">
        <v>45216</v>
      </c>
      <c r="C2405" s="1" t="n">
        <v>45633</v>
      </c>
      <c r="D2405" t="inlineStr">
        <is>
          <t>VÄSTERBOTTENS LÄN</t>
        </is>
      </c>
      <c r="E2405" t="inlineStr">
        <is>
          <t>SKELLEFTEÅ</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51928-2023</t>
        </is>
      </c>
      <c r="B2406" s="1" t="n">
        <v>45216</v>
      </c>
      <c r="C2406" s="1" t="n">
        <v>45633</v>
      </c>
      <c r="D2406" t="inlineStr">
        <is>
          <t>VÄSTERBOTTENS LÄN</t>
        </is>
      </c>
      <c r="E2406" t="inlineStr">
        <is>
          <t>SKELLEFTEÅ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51960-2023</t>
        </is>
      </c>
      <c r="B2407" s="1" t="n">
        <v>45216</v>
      </c>
      <c r="C2407" s="1" t="n">
        <v>45633</v>
      </c>
      <c r="D2407" t="inlineStr">
        <is>
          <t>VÄSTERBOTTENS LÄN</t>
        </is>
      </c>
      <c r="E2407" t="inlineStr">
        <is>
          <t>SKELLEFTEÅ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51963-2023</t>
        </is>
      </c>
      <c r="B2408" s="1" t="n">
        <v>45216</v>
      </c>
      <c r="C2408" s="1" t="n">
        <v>45633</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50488-2023</t>
        </is>
      </c>
      <c r="B2409" s="1" t="n">
        <v>45217</v>
      </c>
      <c r="C2409" s="1" t="n">
        <v>45633</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50476-2023</t>
        </is>
      </c>
      <c r="B2410" s="1" t="n">
        <v>45217</v>
      </c>
      <c r="C2410" s="1" t="n">
        <v>45633</v>
      </c>
      <c r="D2410" t="inlineStr">
        <is>
          <t>VÄSTERBOTTENS LÄN</t>
        </is>
      </c>
      <c r="E2410" t="inlineStr">
        <is>
          <t>SKELLEFTEÅ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50464-2023</t>
        </is>
      </c>
      <c r="B2411" s="1" t="n">
        <v>45216</v>
      </c>
      <c r="C2411" s="1" t="n">
        <v>45633</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50549-2023</t>
        </is>
      </c>
      <c r="B2412" s="1" t="n">
        <v>45217</v>
      </c>
      <c r="C2412" s="1" t="n">
        <v>45633</v>
      </c>
      <c r="D2412" t="inlineStr">
        <is>
          <t>VÄSTERBOTTENS LÄN</t>
        </is>
      </c>
      <c r="E2412" t="inlineStr">
        <is>
          <t>SKELLEFTEÅ</t>
        </is>
      </c>
      <c r="F2412" t="inlineStr">
        <is>
          <t>Holmen skog AB</t>
        </is>
      </c>
      <c r="G2412" t="n">
        <v>28.5</v>
      </c>
      <c r="H2412" t="n">
        <v>0</v>
      </c>
      <c r="I2412" t="n">
        <v>0</v>
      </c>
      <c r="J2412" t="n">
        <v>0</v>
      </c>
      <c r="K2412" t="n">
        <v>0</v>
      </c>
      <c r="L2412" t="n">
        <v>0</v>
      </c>
      <c r="M2412" t="n">
        <v>0</v>
      </c>
      <c r="N2412" t="n">
        <v>0</v>
      </c>
      <c r="O2412" t="n">
        <v>0</v>
      </c>
      <c r="P2412" t="n">
        <v>0</v>
      </c>
      <c r="Q2412" t="n">
        <v>0</v>
      </c>
      <c r="R2412" s="2" t="inlineStr"/>
    </row>
    <row r="2413" ht="15" customHeight="1">
      <c r="A2413" t="inlineStr">
        <is>
          <t>A 50821-2023</t>
        </is>
      </c>
      <c r="B2413" s="1" t="n">
        <v>45218</v>
      </c>
      <c r="C2413" s="1" t="n">
        <v>45633</v>
      </c>
      <c r="D2413" t="inlineStr">
        <is>
          <t>VÄSTERBOTTENS LÄN</t>
        </is>
      </c>
      <c r="E2413" t="inlineStr">
        <is>
          <t>SKELLEFTEÅ</t>
        </is>
      </c>
      <c r="G2413" t="n">
        <v>19.3</v>
      </c>
      <c r="H2413" t="n">
        <v>0</v>
      </c>
      <c r="I2413" t="n">
        <v>0</v>
      </c>
      <c r="J2413" t="n">
        <v>0</v>
      </c>
      <c r="K2413" t="n">
        <v>0</v>
      </c>
      <c r="L2413" t="n">
        <v>0</v>
      </c>
      <c r="M2413" t="n">
        <v>0</v>
      </c>
      <c r="N2413" t="n">
        <v>0</v>
      </c>
      <c r="O2413" t="n">
        <v>0</v>
      </c>
      <c r="P2413" t="n">
        <v>0</v>
      </c>
      <c r="Q2413" t="n">
        <v>0</v>
      </c>
      <c r="R2413" s="2" t="inlineStr"/>
    </row>
    <row r="2414" ht="15" customHeight="1">
      <c r="A2414" t="inlineStr">
        <is>
          <t>A 52228-2023</t>
        </is>
      </c>
      <c r="B2414" s="1" t="n">
        <v>45217</v>
      </c>
      <c r="C2414" s="1" t="n">
        <v>45633</v>
      </c>
      <c r="D2414" t="inlineStr">
        <is>
          <t>VÄSTERBOTTENS LÄN</t>
        </is>
      </c>
      <c r="E2414" t="inlineStr">
        <is>
          <t>SKELLEFTEÅ</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52305-2023</t>
        </is>
      </c>
      <c r="B2415" s="1" t="n">
        <v>45217</v>
      </c>
      <c r="C2415" s="1" t="n">
        <v>45633</v>
      </c>
      <c r="D2415" t="inlineStr">
        <is>
          <t>VÄSTERBOTTENS LÄN</t>
        </is>
      </c>
      <c r="E2415" t="inlineStr">
        <is>
          <t>SKELLEFTEÅ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52300-2023</t>
        </is>
      </c>
      <c r="B2416" s="1" t="n">
        <v>45217</v>
      </c>
      <c r="C2416" s="1" t="n">
        <v>45633</v>
      </c>
      <c r="D2416" t="inlineStr">
        <is>
          <t>VÄSTERBOTTENS LÄN</t>
        </is>
      </c>
      <c r="E2416" t="inlineStr">
        <is>
          <t>SKELLEFTEÅ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52287-2023</t>
        </is>
      </c>
      <c r="B2417" s="1" t="n">
        <v>45217</v>
      </c>
      <c r="C2417" s="1" t="n">
        <v>45633</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52239-2023</t>
        </is>
      </c>
      <c r="B2418" s="1" t="n">
        <v>45217</v>
      </c>
      <c r="C2418" s="1" t="n">
        <v>45633</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52792-2023</t>
        </is>
      </c>
      <c r="B2419" s="1" t="n">
        <v>45219</v>
      </c>
      <c r="C2419" s="1" t="n">
        <v>45633</v>
      </c>
      <c r="D2419" t="inlineStr">
        <is>
          <t>VÄSTERBOTTENS LÄN</t>
        </is>
      </c>
      <c r="E2419" t="inlineStr">
        <is>
          <t>SKELLEFTEÅ</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52809-2023</t>
        </is>
      </c>
      <c r="B2420" s="1" t="n">
        <v>45219</v>
      </c>
      <c r="C2420" s="1" t="n">
        <v>45633</v>
      </c>
      <c r="D2420" t="inlineStr">
        <is>
          <t>VÄSTERBOTTENS LÄN</t>
        </is>
      </c>
      <c r="E2420" t="inlineStr">
        <is>
          <t>SKELLEFTEÅ</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51339-2023</t>
        </is>
      </c>
      <c r="B2421" s="1" t="n">
        <v>45219</v>
      </c>
      <c r="C2421" s="1" t="n">
        <v>45633</v>
      </c>
      <c r="D2421" t="inlineStr">
        <is>
          <t>VÄSTERBOTTENS LÄN</t>
        </is>
      </c>
      <c r="E2421" t="inlineStr">
        <is>
          <t>SKELLEFTEÅ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51396-2023</t>
        </is>
      </c>
      <c r="B2422" s="1" t="n">
        <v>45219</v>
      </c>
      <c r="C2422" s="1" t="n">
        <v>45633</v>
      </c>
      <c r="D2422" t="inlineStr">
        <is>
          <t>VÄSTERBOTTENS LÄN</t>
        </is>
      </c>
      <c r="E2422" t="inlineStr">
        <is>
          <t>SKELLEFTEÅ</t>
        </is>
      </c>
      <c r="F2422" t="inlineStr">
        <is>
          <t>Holmen skog AB</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51418-2023</t>
        </is>
      </c>
      <c r="B2423" s="1" t="n">
        <v>45219</v>
      </c>
      <c r="C2423" s="1" t="n">
        <v>45633</v>
      </c>
      <c r="D2423" t="inlineStr">
        <is>
          <t>VÄSTERBOTTENS LÄN</t>
        </is>
      </c>
      <c r="E2423" t="inlineStr">
        <is>
          <t>SKELLEFTEÅ</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51455-2023</t>
        </is>
      </c>
      <c r="B2424" s="1" t="n">
        <v>45221</v>
      </c>
      <c r="C2424" s="1" t="n">
        <v>45633</v>
      </c>
      <c r="D2424" t="inlineStr">
        <is>
          <t>VÄSTERBOTTENS LÄN</t>
        </is>
      </c>
      <c r="E2424" t="inlineStr">
        <is>
          <t>SKELLEFTEÅ</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51470-2023</t>
        </is>
      </c>
      <c r="B2425" s="1" t="n">
        <v>45221</v>
      </c>
      <c r="C2425" s="1" t="n">
        <v>45633</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51478-2023</t>
        </is>
      </c>
      <c r="B2426" s="1" t="n">
        <v>45221</v>
      </c>
      <c r="C2426" s="1" t="n">
        <v>45633</v>
      </c>
      <c r="D2426" t="inlineStr">
        <is>
          <t>VÄSTERBOTTENS LÄN</t>
        </is>
      </c>
      <c r="E2426" t="inlineStr">
        <is>
          <t>SKELLEFTEÅ</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51526-2023</t>
        </is>
      </c>
      <c r="B2427" s="1" t="n">
        <v>45222</v>
      </c>
      <c r="C2427" s="1" t="n">
        <v>45633</v>
      </c>
      <c r="D2427" t="inlineStr">
        <is>
          <t>VÄSTERBOTTENS LÄN</t>
        </is>
      </c>
      <c r="E2427" t="inlineStr">
        <is>
          <t>SKELLEFTEÅ</t>
        </is>
      </c>
      <c r="F2427" t="inlineStr">
        <is>
          <t>Holmen skog AB</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51644-2023</t>
        </is>
      </c>
      <c r="B2428" s="1" t="n">
        <v>45222</v>
      </c>
      <c r="C2428" s="1" t="n">
        <v>45633</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51703-2023</t>
        </is>
      </c>
      <c r="B2429" s="1" t="n">
        <v>45222</v>
      </c>
      <c r="C2429" s="1" t="n">
        <v>45633</v>
      </c>
      <c r="D2429" t="inlineStr">
        <is>
          <t>VÄSTERBOTTENS LÄN</t>
        </is>
      </c>
      <c r="E2429" t="inlineStr">
        <is>
          <t>SKELLEFTEÅ</t>
        </is>
      </c>
      <c r="F2429" t="inlineStr">
        <is>
          <t>Kommuner</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51667-2023</t>
        </is>
      </c>
      <c r="B2430" s="1" t="n">
        <v>45222</v>
      </c>
      <c r="C2430" s="1" t="n">
        <v>45633</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53215-2023</t>
        </is>
      </c>
      <c r="B2431" s="1" t="n">
        <v>45222</v>
      </c>
      <c r="C2431" s="1" t="n">
        <v>45633</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51502-2023</t>
        </is>
      </c>
      <c r="B2432" s="1" t="n">
        <v>45222</v>
      </c>
      <c r="C2432" s="1" t="n">
        <v>45633</v>
      </c>
      <c r="D2432" t="inlineStr">
        <is>
          <t>VÄSTERBOTTENS LÄN</t>
        </is>
      </c>
      <c r="E2432" t="inlineStr">
        <is>
          <t>SKELLEFTEÅ</t>
        </is>
      </c>
      <c r="F2432" t="inlineStr">
        <is>
          <t>Kommuner</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51507-2023</t>
        </is>
      </c>
      <c r="B2433" s="1" t="n">
        <v>45222</v>
      </c>
      <c r="C2433" s="1" t="n">
        <v>45633</v>
      </c>
      <c r="D2433" t="inlineStr">
        <is>
          <t>VÄSTERBOTTENS LÄN</t>
        </is>
      </c>
      <c r="E2433" t="inlineStr">
        <is>
          <t>SKELLEFTEÅ</t>
        </is>
      </c>
      <c r="F2433" t="inlineStr">
        <is>
          <t>Kommuner</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52107-2023</t>
        </is>
      </c>
      <c r="B2434" s="1" t="n">
        <v>45224</v>
      </c>
      <c r="C2434" s="1" t="n">
        <v>45633</v>
      </c>
      <c r="D2434" t="inlineStr">
        <is>
          <t>VÄSTERBOTTENS LÄN</t>
        </is>
      </c>
      <c r="E2434" t="inlineStr">
        <is>
          <t>SKELLEFTEÅ</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52007-2023</t>
        </is>
      </c>
      <c r="B2435" s="1" t="n">
        <v>45223</v>
      </c>
      <c r="C2435" s="1" t="n">
        <v>45633</v>
      </c>
      <c r="D2435" t="inlineStr">
        <is>
          <t>VÄSTERBOTTENS LÄN</t>
        </is>
      </c>
      <c r="E2435" t="inlineStr">
        <is>
          <t>SKELLEFTEÅ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52082-2023</t>
        </is>
      </c>
      <c r="B2436" s="1" t="n">
        <v>45223</v>
      </c>
      <c r="C2436" s="1" t="n">
        <v>45633</v>
      </c>
      <c r="D2436" t="inlineStr">
        <is>
          <t>VÄSTERBOTTENS LÄN</t>
        </is>
      </c>
      <c r="E2436" t="inlineStr">
        <is>
          <t>SKELLEFTEÅ</t>
        </is>
      </c>
      <c r="F2436" t="inlineStr">
        <is>
          <t>Sveaskog</t>
        </is>
      </c>
      <c r="G2436" t="n">
        <v>15.5</v>
      </c>
      <c r="H2436" t="n">
        <v>0</v>
      </c>
      <c r="I2436" t="n">
        <v>0</v>
      </c>
      <c r="J2436" t="n">
        <v>0</v>
      </c>
      <c r="K2436" t="n">
        <v>0</v>
      </c>
      <c r="L2436" t="n">
        <v>0</v>
      </c>
      <c r="M2436" t="n">
        <v>0</v>
      </c>
      <c r="N2436" t="n">
        <v>0</v>
      </c>
      <c r="O2436" t="n">
        <v>0</v>
      </c>
      <c r="P2436" t="n">
        <v>0</v>
      </c>
      <c r="Q2436" t="n">
        <v>0</v>
      </c>
      <c r="R2436" s="2" t="inlineStr"/>
    </row>
    <row r="2437" ht="15" customHeight="1">
      <c r="A2437" t="inlineStr">
        <is>
          <t>A 52106-2023</t>
        </is>
      </c>
      <c r="B2437" s="1" t="n">
        <v>45224</v>
      </c>
      <c r="C2437" s="1" t="n">
        <v>45633</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51958-2023</t>
        </is>
      </c>
      <c r="B2438" s="1" t="n">
        <v>45223</v>
      </c>
      <c r="C2438" s="1" t="n">
        <v>45633</v>
      </c>
      <c r="D2438" t="inlineStr">
        <is>
          <t>VÄSTERBOTTENS LÄN</t>
        </is>
      </c>
      <c r="E2438" t="inlineStr">
        <is>
          <t>SKELLEFTEÅ</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51969-2023</t>
        </is>
      </c>
      <c r="B2439" s="1" t="n">
        <v>45223</v>
      </c>
      <c r="C2439" s="1" t="n">
        <v>45633</v>
      </c>
      <c r="D2439" t="inlineStr">
        <is>
          <t>VÄSTERBOTTENS LÄN</t>
        </is>
      </c>
      <c r="E2439" t="inlineStr">
        <is>
          <t>SKELLEFTEÅ</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52105-2023</t>
        </is>
      </c>
      <c r="B2440" s="1" t="n">
        <v>45224</v>
      </c>
      <c r="C2440" s="1" t="n">
        <v>45633</v>
      </c>
      <c r="D2440" t="inlineStr">
        <is>
          <t>VÄSTERBOTTENS LÄN</t>
        </is>
      </c>
      <c r="E2440" t="inlineStr">
        <is>
          <t>SKELLEFTEÅ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53500-2023</t>
        </is>
      </c>
      <c r="B2441" s="1" t="n">
        <v>45223</v>
      </c>
      <c r="C2441" s="1" t="n">
        <v>45633</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52364-2023</t>
        </is>
      </c>
      <c r="B2442" s="1" t="n">
        <v>45224</v>
      </c>
      <c r="C2442" s="1" t="n">
        <v>45633</v>
      </c>
      <c r="D2442" t="inlineStr">
        <is>
          <t>VÄSTERBOTTENS LÄN</t>
        </is>
      </c>
      <c r="E2442" t="inlineStr">
        <is>
          <t>SKELLEFTEÅ</t>
        </is>
      </c>
      <c r="F2442" t="inlineStr">
        <is>
          <t>Sveaskog</t>
        </is>
      </c>
      <c r="G2442" t="n">
        <v>14.8</v>
      </c>
      <c r="H2442" t="n">
        <v>0</v>
      </c>
      <c r="I2442" t="n">
        <v>0</v>
      </c>
      <c r="J2442" t="n">
        <v>0</v>
      </c>
      <c r="K2442" t="n">
        <v>0</v>
      </c>
      <c r="L2442" t="n">
        <v>0</v>
      </c>
      <c r="M2442" t="n">
        <v>0</v>
      </c>
      <c r="N2442" t="n">
        <v>0</v>
      </c>
      <c r="O2442" t="n">
        <v>0</v>
      </c>
      <c r="P2442" t="n">
        <v>0</v>
      </c>
      <c r="Q2442" t="n">
        <v>0</v>
      </c>
      <c r="R2442" s="2" t="inlineStr"/>
    </row>
    <row r="2443" ht="15" customHeight="1">
      <c r="A2443" t="inlineStr">
        <is>
          <t>A 52185-2023</t>
        </is>
      </c>
      <c r="B2443" s="1" t="n">
        <v>45224</v>
      </c>
      <c r="C2443" s="1" t="n">
        <v>45633</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52203-2023</t>
        </is>
      </c>
      <c r="B2444" s="1" t="n">
        <v>45224</v>
      </c>
      <c r="C2444" s="1" t="n">
        <v>45633</v>
      </c>
      <c r="D2444" t="inlineStr">
        <is>
          <t>VÄSTERBOTTENS LÄN</t>
        </is>
      </c>
      <c r="E2444" t="inlineStr">
        <is>
          <t>SKELLEFTEÅ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53656-2023</t>
        </is>
      </c>
      <c r="B2445" s="1" t="n">
        <v>45224</v>
      </c>
      <c r="C2445" s="1" t="n">
        <v>45633</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53680-2023</t>
        </is>
      </c>
      <c r="B2446" s="1" t="n">
        <v>45224</v>
      </c>
      <c r="C2446" s="1" t="n">
        <v>45633</v>
      </c>
      <c r="D2446" t="inlineStr">
        <is>
          <t>VÄSTERBOTTENS LÄN</t>
        </is>
      </c>
      <c r="E2446" t="inlineStr">
        <is>
          <t>SKELLEFTEÅ</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52384-2023</t>
        </is>
      </c>
      <c r="B2447" s="1" t="n">
        <v>45224</v>
      </c>
      <c r="C2447" s="1" t="n">
        <v>45633</v>
      </c>
      <c r="D2447" t="inlineStr">
        <is>
          <t>VÄSTERBOTTENS LÄN</t>
        </is>
      </c>
      <c r="E2447" t="inlineStr">
        <is>
          <t>SKELLEFTEÅ</t>
        </is>
      </c>
      <c r="F2447" t="inlineStr">
        <is>
          <t>Sveaskog</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52419-2023</t>
        </is>
      </c>
      <c r="B2448" s="1" t="n">
        <v>45225</v>
      </c>
      <c r="C2448" s="1" t="n">
        <v>45633</v>
      </c>
      <c r="D2448" t="inlineStr">
        <is>
          <t>VÄSTERBOTTENS LÄN</t>
        </is>
      </c>
      <c r="E2448" t="inlineStr">
        <is>
          <t>SKELLEFTEÅ</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52425-2023</t>
        </is>
      </c>
      <c r="B2449" s="1" t="n">
        <v>45225</v>
      </c>
      <c r="C2449" s="1" t="n">
        <v>45633</v>
      </c>
      <c r="D2449" t="inlineStr">
        <is>
          <t>VÄSTERBOTTENS LÄN</t>
        </is>
      </c>
      <c r="E2449" t="inlineStr">
        <is>
          <t>SKELLEFTEÅ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52444-2023</t>
        </is>
      </c>
      <c r="B2450" s="1" t="n">
        <v>45225</v>
      </c>
      <c r="C2450" s="1" t="n">
        <v>45633</v>
      </c>
      <c r="D2450" t="inlineStr">
        <is>
          <t>VÄSTERBOTTENS LÄN</t>
        </is>
      </c>
      <c r="E2450" t="inlineStr">
        <is>
          <t>SKELLEFTEÅ</t>
        </is>
      </c>
      <c r="F2450" t="inlineStr">
        <is>
          <t>Sveaskog</t>
        </is>
      </c>
      <c r="G2450" t="n">
        <v>28.5</v>
      </c>
      <c r="H2450" t="n">
        <v>0</v>
      </c>
      <c r="I2450" t="n">
        <v>0</v>
      </c>
      <c r="J2450" t="n">
        <v>0</v>
      </c>
      <c r="K2450" t="n">
        <v>0</v>
      </c>
      <c r="L2450" t="n">
        <v>0</v>
      </c>
      <c r="M2450" t="n">
        <v>0</v>
      </c>
      <c r="N2450" t="n">
        <v>0</v>
      </c>
      <c r="O2450" t="n">
        <v>0</v>
      </c>
      <c r="P2450" t="n">
        <v>0</v>
      </c>
      <c r="Q2450" t="n">
        <v>0</v>
      </c>
      <c r="R2450" s="2" t="inlineStr"/>
    </row>
    <row r="2451" ht="15" customHeight="1">
      <c r="A2451" t="inlineStr">
        <is>
          <t>A 52441-2023</t>
        </is>
      </c>
      <c r="B2451" s="1" t="n">
        <v>45225</v>
      </c>
      <c r="C2451" s="1" t="n">
        <v>45633</v>
      </c>
      <c r="D2451" t="inlineStr">
        <is>
          <t>VÄSTERBOTTENS LÄN</t>
        </is>
      </c>
      <c r="E2451" t="inlineStr">
        <is>
          <t>SKELLEFTEÅ</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52489-2023</t>
        </is>
      </c>
      <c r="B2452" s="1" t="n">
        <v>45225</v>
      </c>
      <c r="C2452" s="1" t="n">
        <v>45633</v>
      </c>
      <c r="D2452" t="inlineStr">
        <is>
          <t>VÄSTERBOTTENS LÄN</t>
        </is>
      </c>
      <c r="E2452" t="inlineStr">
        <is>
          <t>SKELLEFTEÅ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52493-2023</t>
        </is>
      </c>
      <c r="B2453" s="1" t="n">
        <v>45225</v>
      </c>
      <c r="C2453" s="1" t="n">
        <v>45633</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52442-2023</t>
        </is>
      </c>
      <c r="B2454" s="1" t="n">
        <v>45225</v>
      </c>
      <c r="C2454" s="1" t="n">
        <v>45633</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52447-2023</t>
        </is>
      </c>
      <c r="B2455" s="1" t="n">
        <v>45225</v>
      </c>
      <c r="C2455" s="1" t="n">
        <v>45633</v>
      </c>
      <c r="D2455" t="inlineStr">
        <is>
          <t>VÄSTERBOTTENS LÄN</t>
        </is>
      </c>
      <c r="E2455" t="inlineStr">
        <is>
          <t>SKELLEFTEÅ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52686-2023</t>
        </is>
      </c>
      <c r="B2456" s="1" t="n">
        <v>45225</v>
      </c>
      <c r="C2456" s="1" t="n">
        <v>45633</v>
      </c>
      <c r="D2456" t="inlineStr">
        <is>
          <t>VÄSTERBOTTENS LÄN</t>
        </is>
      </c>
      <c r="E2456" t="inlineStr">
        <is>
          <t>SKELLEFTEÅ</t>
        </is>
      </c>
      <c r="F2456" t="inlineStr">
        <is>
          <t>Sveaskog</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54399-2023</t>
        </is>
      </c>
      <c r="B2457" s="1" t="n">
        <v>45226</v>
      </c>
      <c r="C2457" s="1" t="n">
        <v>45633</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54394-2023</t>
        </is>
      </c>
      <c r="B2458" s="1" t="n">
        <v>45226</v>
      </c>
      <c r="C2458" s="1" t="n">
        <v>45633</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54411-2023</t>
        </is>
      </c>
      <c r="B2459" s="1" t="n">
        <v>45226</v>
      </c>
      <c r="C2459" s="1" t="n">
        <v>45633</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54449-2023</t>
        </is>
      </c>
      <c r="B2460" s="1" t="n">
        <v>45226</v>
      </c>
      <c r="C2460" s="1" t="n">
        <v>45633</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54469-2023</t>
        </is>
      </c>
      <c r="B2461" s="1" t="n">
        <v>45226</v>
      </c>
      <c r="C2461" s="1" t="n">
        <v>45633</v>
      </c>
      <c r="D2461" t="inlineStr">
        <is>
          <t>VÄSTERBOTTENS LÄN</t>
        </is>
      </c>
      <c r="E2461" t="inlineStr">
        <is>
          <t>SKELLEFTEÅ</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54497-2023</t>
        </is>
      </c>
      <c r="B2462" s="1" t="n">
        <v>45226</v>
      </c>
      <c r="C2462" s="1" t="n">
        <v>45633</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54499-2023</t>
        </is>
      </c>
      <c r="B2463" s="1" t="n">
        <v>45226</v>
      </c>
      <c r="C2463" s="1" t="n">
        <v>45633</v>
      </c>
      <c r="D2463" t="inlineStr">
        <is>
          <t>VÄSTERBOTTENS LÄN</t>
        </is>
      </c>
      <c r="E2463" t="inlineStr">
        <is>
          <t>SKELLEFTEÅ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54401-2023</t>
        </is>
      </c>
      <c r="B2464" s="1" t="n">
        <v>45226</v>
      </c>
      <c r="C2464" s="1" t="n">
        <v>45633</v>
      </c>
      <c r="D2464" t="inlineStr">
        <is>
          <t>VÄSTERBOTTENS LÄN</t>
        </is>
      </c>
      <c r="E2464" t="inlineStr">
        <is>
          <t>SKELLEFTEÅ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52993-2023</t>
        </is>
      </c>
      <c r="B2465" s="1" t="n">
        <v>45226</v>
      </c>
      <c r="C2465" s="1" t="n">
        <v>45633</v>
      </c>
      <c r="D2465" t="inlineStr">
        <is>
          <t>VÄSTERBOTTENS LÄN</t>
        </is>
      </c>
      <c r="E2465" t="inlineStr">
        <is>
          <t>SKELLEFTEÅ</t>
        </is>
      </c>
      <c r="F2465" t="inlineStr">
        <is>
          <t>Holmen skog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52829-2023</t>
        </is>
      </c>
      <c r="B2466" s="1" t="n">
        <v>45226</v>
      </c>
      <c r="C2466" s="1" t="n">
        <v>45633</v>
      </c>
      <c r="D2466" t="inlineStr">
        <is>
          <t>VÄSTERBOTTENS LÄN</t>
        </is>
      </c>
      <c r="E2466" t="inlineStr">
        <is>
          <t>SKELLEFTEÅ</t>
        </is>
      </c>
      <c r="F2466" t="inlineStr">
        <is>
          <t>Sveaskog</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53028-2023</t>
        </is>
      </c>
      <c r="B2467" s="1" t="n">
        <v>45226</v>
      </c>
      <c r="C2467" s="1" t="n">
        <v>45633</v>
      </c>
      <c r="D2467" t="inlineStr">
        <is>
          <t>VÄSTERBOTTENS LÄN</t>
        </is>
      </c>
      <c r="E2467" t="inlineStr">
        <is>
          <t>SKELLEFTEÅ</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53020-2023</t>
        </is>
      </c>
      <c r="B2468" s="1" t="n">
        <v>45226</v>
      </c>
      <c r="C2468" s="1" t="n">
        <v>45633</v>
      </c>
      <c r="D2468" t="inlineStr">
        <is>
          <t>VÄSTERBOTTENS LÄN</t>
        </is>
      </c>
      <c r="E2468" t="inlineStr">
        <is>
          <t>SKELLEFTEÅ</t>
        </is>
      </c>
      <c r="F2468" t="inlineStr">
        <is>
          <t>Sveaskog</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53183-2023</t>
        </is>
      </c>
      <c r="B2469" s="1" t="n">
        <v>45229</v>
      </c>
      <c r="C2469" s="1" t="n">
        <v>45633</v>
      </c>
      <c r="D2469" t="inlineStr">
        <is>
          <t>VÄSTERBOTTENS LÄN</t>
        </is>
      </c>
      <c r="E2469" t="inlineStr">
        <is>
          <t>SKELLEFTEÅ</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53311-2023</t>
        </is>
      </c>
      <c r="B2470" s="1" t="n">
        <v>45229</v>
      </c>
      <c r="C2470" s="1" t="n">
        <v>45633</v>
      </c>
      <c r="D2470" t="inlineStr">
        <is>
          <t>VÄSTERBOTTENS LÄN</t>
        </is>
      </c>
      <c r="E2470" t="inlineStr">
        <is>
          <t>SKELLEFTEÅ</t>
        </is>
      </c>
      <c r="F2470" t="inlineStr">
        <is>
          <t>Holmen skog AB</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53255-2023</t>
        </is>
      </c>
      <c r="B2471" s="1" t="n">
        <v>45229</v>
      </c>
      <c r="C2471" s="1" t="n">
        <v>45633</v>
      </c>
      <c r="D2471" t="inlineStr">
        <is>
          <t>VÄSTERBOTTENS LÄN</t>
        </is>
      </c>
      <c r="E2471" t="inlineStr">
        <is>
          <t>SKELLEFTEÅ</t>
        </is>
      </c>
      <c r="F2471" t="inlineStr">
        <is>
          <t>Sveaskog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53426-2023</t>
        </is>
      </c>
      <c r="B2472" s="1" t="n">
        <v>45229</v>
      </c>
      <c r="C2472" s="1" t="n">
        <v>45633</v>
      </c>
      <c r="D2472" t="inlineStr">
        <is>
          <t>VÄSTERBOTTENS LÄN</t>
        </is>
      </c>
      <c r="E2472" t="inlineStr">
        <is>
          <t>SKELLEFTEÅ</t>
        </is>
      </c>
      <c r="F2472" t="inlineStr">
        <is>
          <t>Holmen skog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55077-2023</t>
        </is>
      </c>
      <c r="B2473" s="1" t="n">
        <v>45230</v>
      </c>
      <c r="C2473" s="1" t="n">
        <v>45633</v>
      </c>
      <c r="D2473" t="inlineStr">
        <is>
          <t>VÄSTERBOTTENS LÄN</t>
        </is>
      </c>
      <c r="E2473" t="inlineStr">
        <is>
          <t>SKELLEFTEÅ</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55081-2023</t>
        </is>
      </c>
      <c r="B2474" s="1" t="n">
        <v>45230</v>
      </c>
      <c r="C2474" s="1" t="n">
        <v>45633</v>
      </c>
      <c r="D2474" t="inlineStr">
        <is>
          <t>VÄSTERBOTTENS LÄN</t>
        </is>
      </c>
      <c r="E2474" t="inlineStr">
        <is>
          <t>SKELLEFTEÅ</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55409-2023</t>
        </is>
      </c>
      <c r="B2475" s="1" t="n">
        <v>45231</v>
      </c>
      <c r="C2475" s="1" t="n">
        <v>45633</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55414-2023</t>
        </is>
      </c>
      <c r="B2476" s="1" t="n">
        <v>45231</v>
      </c>
      <c r="C2476" s="1" t="n">
        <v>45633</v>
      </c>
      <c r="D2476" t="inlineStr">
        <is>
          <t>VÄSTERBOTTENS LÄN</t>
        </is>
      </c>
      <c r="E2476" t="inlineStr">
        <is>
          <t>SKELLEFTEÅ</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55420-2023</t>
        </is>
      </c>
      <c r="B2477" s="1" t="n">
        <v>45231</v>
      </c>
      <c r="C2477" s="1" t="n">
        <v>45633</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54024-2023</t>
        </is>
      </c>
      <c r="B2478" s="1" t="n">
        <v>45231</v>
      </c>
      <c r="C2478" s="1" t="n">
        <v>45633</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55413-2023</t>
        </is>
      </c>
      <c r="B2479" s="1" t="n">
        <v>45231</v>
      </c>
      <c r="C2479" s="1" t="n">
        <v>45633</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54087-2023</t>
        </is>
      </c>
      <c r="B2480" s="1" t="n">
        <v>45232</v>
      </c>
      <c r="C2480" s="1" t="n">
        <v>45633</v>
      </c>
      <c r="D2480" t="inlineStr">
        <is>
          <t>VÄSTERBOTTENS LÄN</t>
        </is>
      </c>
      <c r="E2480" t="inlineStr">
        <is>
          <t>SKELLEFTEÅ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54111-2023</t>
        </is>
      </c>
      <c r="B2481" s="1" t="n">
        <v>45232</v>
      </c>
      <c r="C2481" s="1" t="n">
        <v>45633</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54113-2023</t>
        </is>
      </c>
      <c r="B2482" s="1" t="n">
        <v>45232</v>
      </c>
      <c r="C2482" s="1" t="n">
        <v>45633</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55783-2023</t>
        </is>
      </c>
      <c r="B2483" s="1" t="n">
        <v>45232</v>
      </c>
      <c r="C2483" s="1" t="n">
        <v>45633</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54596-2023</t>
        </is>
      </c>
      <c r="B2484" s="1" t="n">
        <v>45233</v>
      </c>
      <c r="C2484" s="1" t="n">
        <v>45633</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54476-2023</t>
        </is>
      </c>
      <c r="B2485" s="1" t="n">
        <v>45233</v>
      </c>
      <c r="C2485" s="1" t="n">
        <v>45633</v>
      </c>
      <c r="D2485" t="inlineStr">
        <is>
          <t>VÄSTERBOTTENS LÄN</t>
        </is>
      </c>
      <c r="E2485" t="inlineStr">
        <is>
          <t>SKELLEFTEÅ</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54361-2023</t>
        </is>
      </c>
      <c r="B2486" s="1" t="n">
        <v>45233</v>
      </c>
      <c r="C2486" s="1" t="n">
        <v>45633</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56114-2023</t>
        </is>
      </c>
      <c r="B2487" s="1" t="n">
        <v>45235</v>
      </c>
      <c r="C2487" s="1" t="n">
        <v>45633</v>
      </c>
      <c r="D2487" t="inlineStr">
        <is>
          <t>VÄSTERBOTTENS LÄN</t>
        </is>
      </c>
      <c r="E2487" t="inlineStr">
        <is>
          <t>SKELLEFTEÅ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56111-2023</t>
        </is>
      </c>
      <c r="B2488" s="1" t="n">
        <v>45235</v>
      </c>
      <c r="C2488" s="1" t="n">
        <v>45633</v>
      </c>
      <c r="D2488" t="inlineStr">
        <is>
          <t>VÄSTERBOTTENS LÄN</t>
        </is>
      </c>
      <c r="E2488" t="inlineStr">
        <is>
          <t>SKELLEFTEÅ</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56108-2023</t>
        </is>
      </c>
      <c r="B2489" s="1" t="n">
        <v>45235</v>
      </c>
      <c r="C2489" s="1" t="n">
        <v>45633</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56104-2023</t>
        </is>
      </c>
      <c r="B2490" s="1" t="n">
        <v>45235</v>
      </c>
      <c r="C2490" s="1" t="n">
        <v>45633</v>
      </c>
      <c r="D2490" t="inlineStr">
        <is>
          <t>VÄSTERBOTTENS LÄN</t>
        </is>
      </c>
      <c r="E2490" t="inlineStr">
        <is>
          <t>SKELLEFTEÅ</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54813-2023</t>
        </is>
      </c>
      <c r="B2491" s="1" t="n">
        <v>45236</v>
      </c>
      <c r="C2491" s="1" t="n">
        <v>45633</v>
      </c>
      <c r="D2491" t="inlineStr">
        <is>
          <t>VÄSTERBOTTENS LÄN</t>
        </is>
      </c>
      <c r="E2491" t="inlineStr">
        <is>
          <t>SKELLEFTEÅ</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54821-2023</t>
        </is>
      </c>
      <c r="B2492" s="1" t="n">
        <v>45236</v>
      </c>
      <c r="C2492" s="1" t="n">
        <v>45633</v>
      </c>
      <c r="D2492" t="inlineStr">
        <is>
          <t>VÄSTERBOTTENS LÄN</t>
        </is>
      </c>
      <c r="E2492" t="inlineStr">
        <is>
          <t>SKELLEFTEÅ</t>
        </is>
      </c>
      <c r="F2492" t="inlineStr">
        <is>
          <t>Kommuner</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56185-2023</t>
        </is>
      </c>
      <c r="B2493" s="1" t="n">
        <v>45236</v>
      </c>
      <c r="C2493" s="1" t="n">
        <v>45633</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54700-2023</t>
        </is>
      </c>
      <c r="B2494" s="1" t="n">
        <v>45236</v>
      </c>
      <c r="C2494" s="1" t="n">
        <v>45633</v>
      </c>
      <c r="D2494" t="inlineStr">
        <is>
          <t>VÄSTERBOTTENS LÄN</t>
        </is>
      </c>
      <c r="E2494" t="inlineStr">
        <is>
          <t>SKELLEFTEÅ</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56323-2023</t>
        </is>
      </c>
      <c r="B2495" s="1" t="n">
        <v>45236</v>
      </c>
      <c r="C2495" s="1" t="n">
        <v>45633</v>
      </c>
      <c r="D2495" t="inlineStr">
        <is>
          <t>VÄSTERBOTTENS LÄN</t>
        </is>
      </c>
      <c r="E2495" t="inlineStr">
        <is>
          <t>SKELLEFTEÅ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54811-2023</t>
        </is>
      </c>
      <c r="B2496" s="1" t="n">
        <v>45236</v>
      </c>
      <c r="C2496" s="1" t="n">
        <v>45633</v>
      </c>
      <c r="D2496" t="inlineStr">
        <is>
          <t>VÄSTERBOTTENS LÄN</t>
        </is>
      </c>
      <c r="E2496" t="inlineStr">
        <is>
          <t>SKELLEFTEÅ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55095-2023</t>
        </is>
      </c>
      <c r="B2497" s="1" t="n">
        <v>45237</v>
      </c>
      <c r="C2497" s="1" t="n">
        <v>45633</v>
      </c>
      <c r="D2497" t="inlineStr">
        <is>
          <t>VÄSTERBOTTENS LÄN</t>
        </is>
      </c>
      <c r="E2497" t="inlineStr">
        <is>
          <t>SKELLEFTEÅ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56404-2023</t>
        </is>
      </c>
      <c r="B2498" s="1" t="n">
        <v>45237</v>
      </c>
      <c r="C2498" s="1" t="n">
        <v>45633</v>
      </c>
      <c r="D2498" t="inlineStr">
        <is>
          <t>VÄSTERBOTTENS LÄN</t>
        </is>
      </c>
      <c r="E2498" t="inlineStr">
        <is>
          <t>SKELLEFTEÅ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55528-2023</t>
        </is>
      </c>
      <c r="B2499" s="1" t="n">
        <v>45238</v>
      </c>
      <c r="C2499" s="1" t="n">
        <v>45633</v>
      </c>
      <c r="D2499" t="inlineStr">
        <is>
          <t>VÄSTERBOTTENS LÄN</t>
        </is>
      </c>
      <c r="E2499" t="inlineStr">
        <is>
          <t>SKELLEFTEÅ</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55613-2023</t>
        </is>
      </c>
      <c r="B2500" s="1" t="n">
        <v>45238</v>
      </c>
      <c r="C2500" s="1" t="n">
        <v>45633</v>
      </c>
      <c r="D2500" t="inlineStr">
        <is>
          <t>VÄSTERBOTTENS LÄN</t>
        </is>
      </c>
      <c r="E2500" t="inlineStr">
        <is>
          <t>SKELLEFTEÅ</t>
        </is>
      </c>
      <c r="F2500" t="inlineStr">
        <is>
          <t>Sveaskog</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55532-2023</t>
        </is>
      </c>
      <c r="B2501" s="1" t="n">
        <v>45238</v>
      </c>
      <c r="C2501" s="1" t="n">
        <v>45633</v>
      </c>
      <c r="D2501" t="inlineStr">
        <is>
          <t>VÄSTERBOTTENS LÄN</t>
        </is>
      </c>
      <c r="E2501" t="inlineStr">
        <is>
          <t>SKELLEFTEÅ</t>
        </is>
      </c>
      <c r="F2501" t="inlineStr">
        <is>
          <t>Sveaskog</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56509-2023</t>
        </is>
      </c>
      <c r="B2502" s="1" t="n">
        <v>45238</v>
      </c>
      <c r="C2502" s="1" t="n">
        <v>45633</v>
      </c>
      <c r="D2502" t="inlineStr">
        <is>
          <t>VÄSTERBOTTENS LÄN</t>
        </is>
      </c>
      <c r="E2502" t="inlineStr">
        <is>
          <t>SKELLEFTEÅ</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56528-2023</t>
        </is>
      </c>
      <c r="B2503" s="1" t="n">
        <v>45238</v>
      </c>
      <c r="C2503" s="1" t="n">
        <v>45633</v>
      </c>
      <c r="D2503" t="inlineStr">
        <is>
          <t>VÄSTERBOTTENS LÄN</t>
        </is>
      </c>
      <c r="E2503" t="inlineStr">
        <is>
          <t>SKELLEFTEÅ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55739-2023</t>
        </is>
      </c>
      <c r="B2504" s="1" t="n">
        <v>45239</v>
      </c>
      <c r="C2504" s="1" t="n">
        <v>45633</v>
      </c>
      <c r="D2504" t="inlineStr">
        <is>
          <t>VÄSTERBOTTENS LÄN</t>
        </is>
      </c>
      <c r="E2504" t="inlineStr">
        <is>
          <t>SKELLEFTEÅ</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55718-2023</t>
        </is>
      </c>
      <c r="B2505" s="1" t="n">
        <v>45239</v>
      </c>
      <c r="C2505" s="1" t="n">
        <v>45633</v>
      </c>
      <c r="D2505" t="inlineStr">
        <is>
          <t>VÄSTERBOTTENS LÄN</t>
        </is>
      </c>
      <c r="E2505" t="inlineStr">
        <is>
          <t>SKELLEFTEÅ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55730-2023</t>
        </is>
      </c>
      <c r="B2506" s="1" t="n">
        <v>45239</v>
      </c>
      <c r="C2506" s="1" t="n">
        <v>45633</v>
      </c>
      <c r="D2506" t="inlineStr">
        <is>
          <t>VÄSTERBOTTENS LÄN</t>
        </is>
      </c>
      <c r="E2506" t="inlineStr">
        <is>
          <t>SKELLEFTEÅ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55744-2023</t>
        </is>
      </c>
      <c r="B2507" s="1" t="n">
        <v>45239</v>
      </c>
      <c r="C2507" s="1" t="n">
        <v>45633</v>
      </c>
      <c r="D2507" t="inlineStr">
        <is>
          <t>VÄSTERBOTTENS LÄN</t>
        </is>
      </c>
      <c r="E2507" t="inlineStr">
        <is>
          <t>SKELLEFTEÅ</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55873-2023</t>
        </is>
      </c>
      <c r="B2508" s="1" t="n">
        <v>45239</v>
      </c>
      <c r="C2508" s="1" t="n">
        <v>45633</v>
      </c>
      <c r="D2508" t="inlineStr">
        <is>
          <t>VÄSTERBOTTENS LÄN</t>
        </is>
      </c>
      <c r="E2508" t="inlineStr">
        <is>
          <t>SKELLEFTEÅ</t>
        </is>
      </c>
      <c r="F2508" t="inlineStr">
        <is>
          <t>Sveaskog</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55750-2023</t>
        </is>
      </c>
      <c r="B2509" s="1" t="n">
        <v>45239</v>
      </c>
      <c r="C2509" s="1" t="n">
        <v>45633</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55895-2023</t>
        </is>
      </c>
      <c r="B2510" s="1" t="n">
        <v>45239</v>
      </c>
      <c r="C2510" s="1" t="n">
        <v>45633</v>
      </c>
      <c r="D2510" t="inlineStr">
        <is>
          <t>VÄSTERBOTTENS LÄN</t>
        </is>
      </c>
      <c r="E2510" t="inlineStr">
        <is>
          <t>SKELLEFTEÅ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55907-2023</t>
        </is>
      </c>
      <c r="B2511" s="1" t="n">
        <v>45239</v>
      </c>
      <c r="C2511" s="1" t="n">
        <v>45633</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57440-2023</t>
        </is>
      </c>
      <c r="B2512" s="1" t="n">
        <v>45240</v>
      </c>
      <c r="C2512" s="1" t="n">
        <v>45633</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56265-2023</t>
        </is>
      </c>
      <c r="B2513" s="1" t="n">
        <v>45240</v>
      </c>
      <c r="C2513" s="1" t="n">
        <v>45633</v>
      </c>
      <c r="D2513" t="inlineStr">
        <is>
          <t>VÄSTERBOTTENS LÄN</t>
        </is>
      </c>
      <c r="E2513" t="inlineStr">
        <is>
          <t>SKELLEFTEÅ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56153-2023</t>
        </is>
      </c>
      <c r="B2514" s="1" t="n">
        <v>45240</v>
      </c>
      <c r="C2514" s="1" t="n">
        <v>45633</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56264-2023</t>
        </is>
      </c>
      <c r="B2515" s="1" t="n">
        <v>45240</v>
      </c>
      <c r="C2515" s="1" t="n">
        <v>45633</v>
      </c>
      <c r="D2515" t="inlineStr">
        <is>
          <t>VÄSTERBOTTENS LÄN</t>
        </is>
      </c>
      <c r="E2515" t="inlineStr">
        <is>
          <t>SKELLEFTEÅ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56163-2023</t>
        </is>
      </c>
      <c r="B2516" s="1" t="n">
        <v>45240</v>
      </c>
      <c r="C2516" s="1" t="n">
        <v>45633</v>
      </c>
      <c r="D2516" t="inlineStr">
        <is>
          <t>VÄSTERBOTTENS LÄN</t>
        </is>
      </c>
      <c r="E2516" t="inlineStr">
        <is>
          <t>SKELLEFTEÅ</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57437-2023</t>
        </is>
      </c>
      <c r="B2517" s="1" t="n">
        <v>45240</v>
      </c>
      <c r="C2517" s="1" t="n">
        <v>45633</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56263-2023</t>
        </is>
      </c>
      <c r="B2518" s="1" t="n">
        <v>45240</v>
      </c>
      <c r="C2518" s="1" t="n">
        <v>45633</v>
      </c>
      <c r="D2518" t="inlineStr">
        <is>
          <t>VÄSTERBOTTENS LÄN</t>
        </is>
      </c>
      <c r="E2518" t="inlineStr">
        <is>
          <t>SKELLEFTEÅ</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56203-2023</t>
        </is>
      </c>
      <c r="B2519" s="1" t="n">
        <v>45240</v>
      </c>
      <c r="C2519" s="1" t="n">
        <v>45633</v>
      </c>
      <c r="D2519" t="inlineStr">
        <is>
          <t>VÄSTERBOTTENS LÄN</t>
        </is>
      </c>
      <c r="E2519" t="inlineStr">
        <is>
          <t>SKELLEFTEÅ</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55986-2023</t>
        </is>
      </c>
      <c r="B2520" s="1" t="n">
        <v>45240</v>
      </c>
      <c r="C2520" s="1" t="n">
        <v>45633</v>
      </c>
      <c r="D2520" t="inlineStr">
        <is>
          <t>VÄSTERBOTTENS LÄN</t>
        </is>
      </c>
      <c r="E2520" t="inlineStr">
        <is>
          <t>SKELLEFTEÅ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56143-2023</t>
        </is>
      </c>
      <c r="B2521" s="1" t="n">
        <v>45240</v>
      </c>
      <c r="C2521" s="1" t="n">
        <v>45633</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56291-2023</t>
        </is>
      </c>
      <c r="B2522" s="1" t="n">
        <v>45242</v>
      </c>
      <c r="C2522" s="1" t="n">
        <v>45633</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56463-2023</t>
        </is>
      </c>
      <c r="B2523" s="1" t="n">
        <v>45243</v>
      </c>
      <c r="C2523" s="1" t="n">
        <v>45633</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56450-2023</t>
        </is>
      </c>
      <c r="B2524" s="1" t="n">
        <v>45243</v>
      </c>
      <c r="C2524" s="1" t="n">
        <v>45633</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56548-2023</t>
        </is>
      </c>
      <c r="B2525" s="1" t="n">
        <v>45243</v>
      </c>
      <c r="C2525" s="1" t="n">
        <v>45633</v>
      </c>
      <c r="D2525" t="inlineStr">
        <is>
          <t>VÄSTERBOTTENS LÄN</t>
        </is>
      </c>
      <c r="E2525" t="inlineStr">
        <is>
          <t>SKELLEFTEÅ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56653-2023</t>
        </is>
      </c>
      <c r="B2526" s="1" t="n">
        <v>45243</v>
      </c>
      <c r="C2526" s="1" t="n">
        <v>45633</v>
      </c>
      <c r="D2526" t="inlineStr">
        <is>
          <t>VÄSTERBOTTENS LÄN</t>
        </is>
      </c>
      <c r="E2526" t="inlineStr">
        <is>
          <t>SKELLEFTEÅ</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57558-2023</t>
        </is>
      </c>
      <c r="B2527" s="1" t="n">
        <v>45243</v>
      </c>
      <c r="C2527" s="1" t="n">
        <v>45633</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56375-2023</t>
        </is>
      </c>
      <c r="B2528" s="1" t="n">
        <v>45243</v>
      </c>
      <c r="C2528" s="1" t="n">
        <v>45633</v>
      </c>
      <c r="D2528" t="inlineStr">
        <is>
          <t>VÄSTERBOTTENS LÄN</t>
        </is>
      </c>
      <c r="E2528" t="inlineStr">
        <is>
          <t>SKELLEFTEÅ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56471-2023</t>
        </is>
      </c>
      <c r="B2529" s="1" t="n">
        <v>45243</v>
      </c>
      <c r="C2529" s="1" t="n">
        <v>45633</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56839-2023</t>
        </is>
      </c>
      <c r="B2530" s="1" t="n">
        <v>45244</v>
      </c>
      <c r="C2530" s="1" t="n">
        <v>45633</v>
      </c>
      <c r="D2530" t="inlineStr">
        <is>
          <t>VÄSTERBOTTENS LÄN</t>
        </is>
      </c>
      <c r="E2530" t="inlineStr">
        <is>
          <t>SKELLEFTEÅ</t>
        </is>
      </c>
      <c r="F2530" t="inlineStr">
        <is>
          <t>Holmen skog AB</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57985-2023</t>
        </is>
      </c>
      <c r="B2531" s="1" t="n">
        <v>45244</v>
      </c>
      <c r="C2531" s="1" t="n">
        <v>45633</v>
      </c>
      <c r="D2531" t="inlineStr">
        <is>
          <t>VÄSTERBOTTENS LÄN</t>
        </is>
      </c>
      <c r="E2531" t="inlineStr">
        <is>
          <t>SKELLEFTEÅ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58012-2023</t>
        </is>
      </c>
      <c r="B2532" s="1" t="n">
        <v>45244</v>
      </c>
      <c r="C2532" s="1" t="n">
        <v>45633</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57085-2023</t>
        </is>
      </c>
      <c r="B2533" s="1" t="n">
        <v>45245</v>
      </c>
      <c r="C2533" s="1" t="n">
        <v>45633</v>
      </c>
      <c r="D2533" t="inlineStr">
        <is>
          <t>VÄSTERBOTTENS LÄN</t>
        </is>
      </c>
      <c r="E2533" t="inlineStr">
        <is>
          <t>SKELLEFTEÅ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57191-2023</t>
        </is>
      </c>
      <c r="B2534" s="1" t="n">
        <v>45245</v>
      </c>
      <c r="C2534" s="1" t="n">
        <v>45633</v>
      </c>
      <c r="D2534" t="inlineStr">
        <is>
          <t>VÄSTERBOTTENS LÄN</t>
        </is>
      </c>
      <c r="E2534" t="inlineStr">
        <is>
          <t>SKELLEFTEÅ</t>
        </is>
      </c>
      <c r="F2534" t="inlineStr">
        <is>
          <t>Sveaskog</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57453-2023</t>
        </is>
      </c>
      <c r="B2535" s="1" t="n">
        <v>45246</v>
      </c>
      <c r="C2535" s="1" t="n">
        <v>45633</v>
      </c>
      <c r="D2535" t="inlineStr">
        <is>
          <t>VÄSTERBOTTENS LÄN</t>
        </is>
      </c>
      <c r="E2535" t="inlineStr">
        <is>
          <t>SKELLEFTEÅ</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58581-2023</t>
        </is>
      </c>
      <c r="B2536" s="1" t="n">
        <v>45246</v>
      </c>
      <c r="C2536" s="1" t="n">
        <v>45633</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57838-2023</t>
        </is>
      </c>
      <c r="B2537" s="1" t="n">
        <v>45247</v>
      </c>
      <c r="C2537" s="1" t="n">
        <v>45633</v>
      </c>
      <c r="D2537" t="inlineStr">
        <is>
          <t>VÄSTERBOTTENS LÄN</t>
        </is>
      </c>
      <c r="E2537" t="inlineStr">
        <is>
          <t>SKELLEFTEÅ</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58043-2023</t>
        </is>
      </c>
      <c r="B2538" s="1" t="n">
        <v>45247</v>
      </c>
      <c r="C2538" s="1" t="n">
        <v>45633</v>
      </c>
      <c r="D2538" t="inlineStr">
        <is>
          <t>VÄSTERBOTTENS LÄN</t>
        </is>
      </c>
      <c r="E2538" t="inlineStr">
        <is>
          <t>SKELLEFTEÅ</t>
        </is>
      </c>
      <c r="F2538" t="inlineStr">
        <is>
          <t>Sveaskog</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58058-2023</t>
        </is>
      </c>
      <c r="B2539" s="1" t="n">
        <v>45247</v>
      </c>
      <c r="C2539" s="1" t="n">
        <v>45633</v>
      </c>
      <c r="D2539" t="inlineStr">
        <is>
          <t>VÄSTERBOTTENS LÄN</t>
        </is>
      </c>
      <c r="E2539" t="inlineStr">
        <is>
          <t>SKELLEFTEÅ</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58069-2023</t>
        </is>
      </c>
      <c r="B2540" s="1" t="n">
        <v>45247</v>
      </c>
      <c r="C2540" s="1" t="n">
        <v>45633</v>
      </c>
      <c r="D2540" t="inlineStr">
        <is>
          <t>VÄSTERBOTTENS LÄN</t>
        </is>
      </c>
      <c r="E2540" t="inlineStr">
        <is>
          <t>SKELLEFTEÅ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58059-2023</t>
        </is>
      </c>
      <c r="B2541" s="1" t="n">
        <v>45247</v>
      </c>
      <c r="C2541" s="1" t="n">
        <v>45633</v>
      </c>
      <c r="D2541" t="inlineStr">
        <is>
          <t>VÄSTERBOTTENS LÄN</t>
        </is>
      </c>
      <c r="E2541" t="inlineStr">
        <is>
          <t>SKELLEFTEÅ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58072-2023</t>
        </is>
      </c>
      <c r="B2542" s="1" t="n">
        <v>45247</v>
      </c>
      <c r="C2542" s="1" t="n">
        <v>45633</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58680-2023</t>
        </is>
      </c>
      <c r="B2543" s="1" t="n">
        <v>45247</v>
      </c>
      <c r="C2543" s="1" t="n">
        <v>45633</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58701-2023</t>
        </is>
      </c>
      <c r="B2544" s="1" t="n">
        <v>45247</v>
      </c>
      <c r="C2544" s="1" t="n">
        <v>45633</v>
      </c>
      <c r="D2544" t="inlineStr">
        <is>
          <t>VÄSTERBOTTENS LÄN</t>
        </is>
      </c>
      <c r="E2544" t="inlineStr">
        <is>
          <t>SKELLEFTEÅ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58821-2023</t>
        </is>
      </c>
      <c r="B2545" s="1" t="n">
        <v>45247</v>
      </c>
      <c r="C2545" s="1" t="n">
        <v>45633</v>
      </c>
      <c r="D2545" t="inlineStr">
        <is>
          <t>VÄSTERBOTTENS LÄN</t>
        </is>
      </c>
      <c r="E2545" t="inlineStr">
        <is>
          <t>SKELLEFTEÅ</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58060-2023</t>
        </is>
      </c>
      <c r="B2546" s="1" t="n">
        <v>45247</v>
      </c>
      <c r="C2546" s="1" t="n">
        <v>45633</v>
      </c>
      <c r="D2546" t="inlineStr">
        <is>
          <t>VÄSTERBOTTENS LÄN</t>
        </is>
      </c>
      <c r="E2546" t="inlineStr">
        <is>
          <t>SKELLEFTEÅ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58008-2023</t>
        </is>
      </c>
      <c r="B2547" s="1" t="n">
        <v>45247</v>
      </c>
      <c r="C2547" s="1" t="n">
        <v>45633</v>
      </c>
      <c r="D2547" t="inlineStr">
        <is>
          <t>VÄSTERBOTTENS LÄN</t>
        </is>
      </c>
      <c r="E2547" t="inlineStr">
        <is>
          <t>SKELLEFTEÅ</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57958-2023</t>
        </is>
      </c>
      <c r="B2548" s="1" t="n">
        <v>45247</v>
      </c>
      <c r="C2548" s="1" t="n">
        <v>45633</v>
      </c>
      <c r="D2548" t="inlineStr">
        <is>
          <t>VÄSTERBOTTENS LÄN</t>
        </is>
      </c>
      <c r="E2548" t="inlineStr">
        <is>
          <t>SKELLEFTEÅ</t>
        </is>
      </c>
      <c r="F2548" t="inlineStr">
        <is>
          <t>Holmen skog AB</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57926-2023</t>
        </is>
      </c>
      <c r="B2549" s="1" t="n">
        <v>45247</v>
      </c>
      <c r="C2549" s="1" t="n">
        <v>45633</v>
      </c>
      <c r="D2549" t="inlineStr">
        <is>
          <t>VÄSTERBOTTENS LÄN</t>
        </is>
      </c>
      <c r="E2549" t="inlineStr">
        <is>
          <t>SKELLEFTEÅ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58117-2023</t>
        </is>
      </c>
      <c r="B2550" s="1" t="n">
        <v>45249</v>
      </c>
      <c r="C2550" s="1" t="n">
        <v>45633</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58194-2023</t>
        </is>
      </c>
      <c r="B2551" s="1" t="n">
        <v>45250</v>
      </c>
      <c r="C2551" s="1" t="n">
        <v>45633</v>
      </c>
      <c r="D2551" t="inlineStr">
        <is>
          <t>VÄSTERBOTTENS LÄN</t>
        </is>
      </c>
      <c r="E2551" t="inlineStr">
        <is>
          <t>SKELLEFTEÅ</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58940-2023</t>
        </is>
      </c>
      <c r="B2552" s="1" t="n">
        <v>45250</v>
      </c>
      <c r="C2552" s="1" t="n">
        <v>45633</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58503-2023</t>
        </is>
      </c>
      <c r="B2553" s="1" t="n">
        <v>45251</v>
      </c>
      <c r="C2553" s="1" t="n">
        <v>45633</v>
      </c>
      <c r="D2553" t="inlineStr">
        <is>
          <t>VÄSTERBOTTENS LÄN</t>
        </is>
      </c>
      <c r="E2553" t="inlineStr">
        <is>
          <t>SKELLEFTEÅ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45633</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58525-2023</t>
        </is>
      </c>
      <c r="B2555" s="1" t="n">
        <v>45251</v>
      </c>
      <c r="C2555" s="1" t="n">
        <v>45633</v>
      </c>
      <c r="D2555" t="inlineStr">
        <is>
          <t>VÄSTERBOTTENS LÄN</t>
        </is>
      </c>
      <c r="E2555" t="inlineStr">
        <is>
          <t>SKELLEFTEÅ</t>
        </is>
      </c>
      <c r="F2555" t="inlineStr">
        <is>
          <t>Holmen skog AB</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58546-2023</t>
        </is>
      </c>
      <c r="B2556" s="1" t="n">
        <v>45251</v>
      </c>
      <c r="C2556" s="1" t="n">
        <v>45633</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58560-2023</t>
        </is>
      </c>
      <c r="B2557" s="1" t="n">
        <v>45251</v>
      </c>
      <c r="C2557" s="1" t="n">
        <v>45633</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58566-2023</t>
        </is>
      </c>
      <c r="B2558" s="1" t="n">
        <v>45251</v>
      </c>
      <c r="C2558" s="1" t="n">
        <v>45633</v>
      </c>
      <c r="D2558" t="inlineStr">
        <is>
          <t>VÄSTERBOTTENS LÄN</t>
        </is>
      </c>
      <c r="E2558" t="inlineStr">
        <is>
          <t>SKELLEFTEÅ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58555-2023</t>
        </is>
      </c>
      <c r="B2559" s="1" t="n">
        <v>45251</v>
      </c>
      <c r="C2559" s="1" t="n">
        <v>45633</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58575-2023</t>
        </is>
      </c>
      <c r="B2560" s="1" t="n">
        <v>45251</v>
      </c>
      <c r="C2560" s="1" t="n">
        <v>45633</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58750-2023</t>
        </is>
      </c>
      <c r="B2561" s="1" t="n">
        <v>45251</v>
      </c>
      <c r="C2561" s="1" t="n">
        <v>45633</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58754-2023</t>
        </is>
      </c>
      <c r="B2562" s="1" t="n">
        <v>45251</v>
      </c>
      <c r="C2562" s="1" t="n">
        <v>45633</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58752-2023</t>
        </is>
      </c>
      <c r="B2563" s="1" t="n">
        <v>45251</v>
      </c>
      <c r="C2563" s="1" t="n">
        <v>45633</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58672-2023</t>
        </is>
      </c>
      <c r="B2564" s="1" t="n">
        <v>45251</v>
      </c>
      <c r="C2564" s="1" t="n">
        <v>45633</v>
      </c>
      <c r="D2564" t="inlineStr">
        <is>
          <t>VÄSTERBOTTENS LÄN</t>
        </is>
      </c>
      <c r="E2564" t="inlineStr">
        <is>
          <t>SKELLEFTEÅ</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58751-2023</t>
        </is>
      </c>
      <c r="B2565" s="1" t="n">
        <v>45251</v>
      </c>
      <c r="C2565" s="1" t="n">
        <v>45633</v>
      </c>
      <c r="D2565" t="inlineStr">
        <is>
          <t>VÄSTERBOTTENS LÄN</t>
        </is>
      </c>
      <c r="E2565" t="inlineStr">
        <is>
          <t>SKELLEFTEÅ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58755-2023</t>
        </is>
      </c>
      <c r="B2566" s="1" t="n">
        <v>45251</v>
      </c>
      <c r="C2566" s="1" t="n">
        <v>45633</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59127-2023</t>
        </is>
      </c>
      <c r="B2567" s="1" t="n">
        <v>45251</v>
      </c>
      <c r="C2567" s="1" t="n">
        <v>45633</v>
      </c>
      <c r="D2567" t="inlineStr">
        <is>
          <t>VÄSTERBOTTENS LÄN</t>
        </is>
      </c>
      <c r="E2567" t="inlineStr">
        <is>
          <t>SKELLEFTEÅ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59165-2023</t>
        </is>
      </c>
      <c r="B2568" s="1" t="n">
        <v>45251</v>
      </c>
      <c r="C2568" s="1" t="n">
        <v>45633</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58838-2023</t>
        </is>
      </c>
      <c r="B2569" s="1" t="n">
        <v>45252</v>
      </c>
      <c r="C2569" s="1" t="n">
        <v>45633</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59242-2023</t>
        </is>
      </c>
      <c r="B2570" s="1" t="n">
        <v>45252</v>
      </c>
      <c r="C2570" s="1" t="n">
        <v>45633</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59245-2023</t>
        </is>
      </c>
      <c r="B2571" s="1" t="n">
        <v>45252</v>
      </c>
      <c r="C2571" s="1" t="n">
        <v>45633</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59404-2023</t>
        </is>
      </c>
      <c r="B2572" s="1" t="n">
        <v>45253</v>
      </c>
      <c r="C2572" s="1" t="n">
        <v>45633</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59648-2023</t>
        </is>
      </c>
      <c r="B2573" s="1" t="n">
        <v>45253</v>
      </c>
      <c r="C2573" s="1" t="n">
        <v>45633</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59406-2023</t>
        </is>
      </c>
      <c r="B2574" s="1" t="n">
        <v>45253</v>
      </c>
      <c r="C2574" s="1" t="n">
        <v>45633</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59405-2023</t>
        </is>
      </c>
      <c r="B2575" s="1" t="n">
        <v>45253</v>
      </c>
      <c r="C2575" s="1" t="n">
        <v>45633</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59647-2023</t>
        </is>
      </c>
      <c r="B2576" s="1" t="n">
        <v>45253</v>
      </c>
      <c r="C2576" s="1" t="n">
        <v>45633</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59653-2023</t>
        </is>
      </c>
      <c r="B2577" s="1" t="n">
        <v>45254</v>
      </c>
      <c r="C2577" s="1" t="n">
        <v>45633</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59945-2023</t>
        </is>
      </c>
      <c r="B2578" s="1" t="n">
        <v>45254</v>
      </c>
      <c r="C2578" s="1" t="n">
        <v>45633</v>
      </c>
      <c r="D2578" t="inlineStr">
        <is>
          <t>VÄSTERBOTTENS LÄN</t>
        </is>
      </c>
      <c r="E2578" t="inlineStr">
        <is>
          <t>SKELLEFTEÅ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59793-2023</t>
        </is>
      </c>
      <c r="B2579" s="1" t="n">
        <v>45257</v>
      </c>
      <c r="C2579" s="1" t="n">
        <v>45633</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59791-2023</t>
        </is>
      </c>
      <c r="B2580" s="1" t="n">
        <v>45257</v>
      </c>
      <c r="C2580" s="1" t="n">
        <v>45633</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59919-2023</t>
        </is>
      </c>
      <c r="B2581" s="1" t="n">
        <v>45257</v>
      </c>
      <c r="C2581" s="1" t="n">
        <v>45633</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59907-2023</t>
        </is>
      </c>
      <c r="B2582" s="1" t="n">
        <v>45257</v>
      </c>
      <c r="C2582" s="1" t="n">
        <v>45633</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59788-2023</t>
        </is>
      </c>
      <c r="B2583" s="1" t="n">
        <v>45257</v>
      </c>
      <c r="C2583" s="1" t="n">
        <v>45633</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60109-2023</t>
        </is>
      </c>
      <c r="B2584" s="1" t="n">
        <v>45257</v>
      </c>
      <c r="C2584" s="1" t="n">
        <v>45633</v>
      </c>
      <c r="D2584" t="inlineStr">
        <is>
          <t>VÄSTERBOTTENS LÄN</t>
        </is>
      </c>
      <c r="E2584" t="inlineStr">
        <is>
          <t>SKELLEFTEÅ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59798-2023</t>
        </is>
      </c>
      <c r="B2585" s="1" t="n">
        <v>45257</v>
      </c>
      <c r="C2585" s="1" t="n">
        <v>45633</v>
      </c>
      <c r="D2585" t="inlineStr">
        <is>
          <t>VÄSTERBOTTENS LÄN</t>
        </is>
      </c>
      <c r="E2585" t="inlineStr">
        <is>
          <t>SKELLEFTEÅ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60130-2023</t>
        </is>
      </c>
      <c r="B2586" s="1" t="n">
        <v>45257</v>
      </c>
      <c r="C2586" s="1" t="n">
        <v>45633</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60305-2023</t>
        </is>
      </c>
      <c r="B2587" s="1" t="n">
        <v>45258</v>
      </c>
      <c r="C2587" s="1" t="n">
        <v>45633</v>
      </c>
      <c r="D2587" t="inlineStr">
        <is>
          <t>VÄSTERBOTTENS LÄN</t>
        </is>
      </c>
      <c r="E2587" t="inlineStr">
        <is>
          <t>SKELLEFTEÅ</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60451-2023</t>
        </is>
      </c>
      <c r="B2588" s="1" t="n">
        <v>45258</v>
      </c>
      <c r="C2588" s="1" t="n">
        <v>45633</v>
      </c>
      <c r="D2588" t="inlineStr">
        <is>
          <t>VÄSTERBOTTENS LÄN</t>
        </is>
      </c>
      <c r="E2588" t="inlineStr">
        <is>
          <t>SKELLEFTEÅ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60479-2023</t>
        </is>
      </c>
      <c r="B2589" s="1" t="n">
        <v>45258</v>
      </c>
      <c r="C2589" s="1" t="n">
        <v>45633</v>
      </c>
      <c r="D2589" t="inlineStr">
        <is>
          <t>VÄSTERBOTTENS LÄN</t>
        </is>
      </c>
      <c r="E2589" t="inlineStr">
        <is>
          <t>SKELLEFTEÅ</t>
        </is>
      </c>
      <c r="G2589" t="n">
        <v>21.5</v>
      </c>
      <c r="H2589" t="n">
        <v>0</v>
      </c>
      <c r="I2589" t="n">
        <v>0</v>
      </c>
      <c r="J2589" t="n">
        <v>0</v>
      </c>
      <c r="K2589" t="n">
        <v>0</v>
      </c>
      <c r="L2589" t="n">
        <v>0</v>
      </c>
      <c r="M2589" t="n">
        <v>0</v>
      </c>
      <c r="N2589" t="n">
        <v>0</v>
      </c>
      <c r="O2589" t="n">
        <v>0</v>
      </c>
      <c r="P2589" t="n">
        <v>0</v>
      </c>
      <c r="Q2589" t="n">
        <v>0</v>
      </c>
      <c r="R2589" s="2" t="inlineStr"/>
    </row>
    <row r="2590" ht="15" customHeight="1">
      <c r="A2590" t="inlineStr">
        <is>
          <t>A 60412-2023</t>
        </is>
      </c>
      <c r="B2590" s="1" t="n">
        <v>45258</v>
      </c>
      <c r="C2590" s="1" t="n">
        <v>45633</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60339-2023</t>
        </is>
      </c>
      <c r="B2591" s="1" t="n">
        <v>45259</v>
      </c>
      <c r="C2591" s="1" t="n">
        <v>45633</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60569-2023</t>
        </is>
      </c>
      <c r="B2592" s="1" t="n">
        <v>45259</v>
      </c>
      <c r="C2592" s="1" t="n">
        <v>45633</v>
      </c>
      <c r="D2592" t="inlineStr">
        <is>
          <t>VÄSTERBOTTENS LÄN</t>
        </is>
      </c>
      <c r="E2592" t="inlineStr">
        <is>
          <t>SKELLEFTEÅ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61064-2023</t>
        </is>
      </c>
      <c r="B2593" s="1" t="n">
        <v>45259</v>
      </c>
      <c r="C2593" s="1" t="n">
        <v>45633</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61069-2023</t>
        </is>
      </c>
      <c r="B2594" s="1" t="n">
        <v>45259</v>
      </c>
      <c r="C2594" s="1" t="n">
        <v>45633</v>
      </c>
      <c r="D2594" t="inlineStr">
        <is>
          <t>VÄSTERBOTTENS LÄN</t>
        </is>
      </c>
      <c r="E2594" t="inlineStr">
        <is>
          <t>SKELLEFTEÅ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61049-2023</t>
        </is>
      </c>
      <c r="B2595" s="1" t="n">
        <v>45259</v>
      </c>
      <c r="C2595" s="1" t="n">
        <v>45633</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60614-2023</t>
        </is>
      </c>
      <c r="B2596" s="1" t="n">
        <v>45260</v>
      </c>
      <c r="C2596" s="1" t="n">
        <v>45633</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60612-2023</t>
        </is>
      </c>
      <c r="B2597" s="1" t="n">
        <v>45260</v>
      </c>
      <c r="C2597" s="1" t="n">
        <v>45633</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60785-2023</t>
        </is>
      </c>
      <c r="B2598" s="1" t="n">
        <v>45260</v>
      </c>
      <c r="C2598" s="1" t="n">
        <v>45633</v>
      </c>
      <c r="D2598" t="inlineStr">
        <is>
          <t>VÄSTERBOTTENS LÄN</t>
        </is>
      </c>
      <c r="E2598" t="inlineStr">
        <is>
          <t>SKELLEFTEÅ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60601-2023</t>
        </is>
      </c>
      <c r="B2599" s="1" t="n">
        <v>45260</v>
      </c>
      <c r="C2599" s="1" t="n">
        <v>45633</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61089-2023</t>
        </is>
      </c>
      <c r="B2600" s="1" t="n">
        <v>45260</v>
      </c>
      <c r="C2600" s="1" t="n">
        <v>45633</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61239-2023</t>
        </is>
      </c>
      <c r="B2601" s="1" t="n">
        <v>45260</v>
      </c>
      <c r="C2601" s="1" t="n">
        <v>45633</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61087-2023</t>
        </is>
      </c>
      <c r="B2602" s="1" t="n">
        <v>45260</v>
      </c>
      <c r="C2602" s="1" t="n">
        <v>45633</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60896-2023</t>
        </is>
      </c>
      <c r="B2603" s="1" t="n">
        <v>45261</v>
      </c>
      <c r="C2603" s="1" t="n">
        <v>45633</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61033-2023</t>
        </is>
      </c>
      <c r="B2604" s="1" t="n">
        <v>45261</v>
      </c>
      <c r="C2604" s="1" t="n">
        <v>45633</v>
      </c>
      <c r="D2604" t="inlineStr">
        <is>
          <t>VÄSTERBOTTENS LÄN</t>
        </is>
      </c>
      <c r="E2604" t="inlineStr">
        <is>
          <t>SKELLEFTEÅ</t>
        </is>
      </c>
      <c r="F2604" t="inlineStr">
        <is>
          <t>Sveaskog</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60898-2023</t>
        </is>
      </c>
      <c r="B2605" s="1" t="n">
        <v>45261</v>
      </c>
      <c r="C2605" s="1" t="n">
        <v>45633</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61130-2023</t>
        </is>
      </c>
      <c r="B2606" s="1" t="n">
        <v>45261</v>
      </c>
      <c r="C2606" s="1" t="n">
        <v>45633</v>
      </c>
      <c r="D2606" t="inlineStr">
        <is>
          <t>VÄSTERBOTTENS LÄN</t>
        </is>
      </c>
      <c r="E2606" t="inlineStr">
        <is>
          <t>SKELLEFTEÅ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61147-2023</t>
        </is>
      </c>
      <c r="B2607" s="1" t="n">
        <v>45262</v>
      </c>
      <c r="C2607" s="1" t="n">
        <v>45633</v>
      </c>
      <c r="D2607" t="inlineStr">
        <is>
          <t>VÄSTERBOTTENS LÄN</t>
        </is>
      </c>
      <c r="E2607" t="inlineStr">
        <is>
          <t>SKELLEFTEÅ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61145-2023</t>
        </is>
      </c>
      <c r="B2608" s="1" t="n">
        <v>45262</v>
      </c>
      <c r="C2608" s="1" t="n">
        <v>45633</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61146-2023</t>
        </is>
      </c>
      <c r="B2609" s="1" t="n">
        <v>45262</v>
      </c>
      <c r="C2609" s="1" t="n">
        <v>45633</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61292-2023</t>
        </is>
      </c>
      <c r="B2610" s="1" t="n">
        <v>45264</v>
      </c>
      <c r="C2610" s="1" t="n">
        <v>45633</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61186-2023</t>
        </is>
      </c>
      <c r="B2611" s="1" t="n">
        <v>45264</v>
      </c>
      <c r="C2611" s="1" t="n">
        <v>45633</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61242-2023</t>
        </is>
      </c>
      <c r="B2612" s="1" t="n">
        <v>45264</v>
      </c>
      <c r="C2612" s="1" t="n">
        <v>45633</v>
      </c>
      <c r="D2612" t="inlineStr">
        <is>
          <t>VÄSTERBOTTENS LÄN</t>
        </is>
      </c>
      <c r="E2612" t="inlineStr">
        <is>
          <t>SKELLEFTEÅ</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61188-2023</t>
        </is>
      </c>
      <c r="B2613" s="1" t="n">
        <v>45264</v>
      </c>
      <c r="C2613" s="1" t="n">
        <v>45633</v>
      </c>
      <c r="D2613" t="inlineStr">
        <is>
          <t>VÄSTERBOTTENS LÄN</t>
        </is>
      </c>
      <c r="E2613" t="inlineStr">
        <is>
          <t>SKELLEFTEÅ</t>
        </is>
      </c>
      <c r="F2613" t="inlineStr">
        <is>
          <t>Sveaskog</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61457-2023</t>
        </is>
      </c>
      <c r="B2614" s="1" t="n">
        <v>45264</v>
      </c>
      <c r="C2614" s="1" t="n">
        <v>45633</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61733-2023</t>
        </is>
      </c>
      <c r="B2615" s="1" t="n">
        <v>45264</v>
      </c>
      <c r="C2615" s="1" t="n">
        <v>45633</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61730-2023</t>
        </is>
      </c>
      <c r="B2616" s="1" t="n">
        <v>45264</v>
      </c>
      <c r="C2616" s="1" t="n">
        <v>45633</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61723-2023</t>
        </is>
      </c>
      <c r="B2617" s="1" t="n">
        <v>45264</v>
      </c>
      <c r="C2617" s="1" t="n">
        <v>45633</v>
      </c>
      <c r="D2617" t="inlineStr">
        <is>
          <t>VÄSTERBOTTENS LÄN</t>
        </is>
      </c>
      <c r="E2617" t="inlineStr">
        <is>
          <t>SKELLEFTEÅ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61808-2023</t>
        </is>
      </c>
      <c r="B2618" s="1" t="n">
        <v>45264</v>
      </c>
      <c r="C2618" s="1" t="n">
        <v>45633</v>
      </c>
      <c r="D2618" t="inlineStr">
        <is>
          <t>VÄSTERBOTTENS LÄN</t>
        </is>
      </c>
      <c r="E2618" t="inlineStr">
        <is>
          <t>SKELLEFTEÅ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61928-2023</t>
        </is>
      </c>
      <c r="B2619" s="1" t="n">
        <v>45265</v>
      </c>
      <c r="C2619" s="1" t="n">
        <v>45633</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61927-2023</t>
        </is>
      </c>
      <c r="B2620" s="1" t="n">
        <v>45265</v>
      </c>
      <c r="C2620" s="1" t="n">
        <v>45633</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62300-2023</t>
        </is>
      </c>
      <c r="B2621" s="1" t="n">
        <v>45266</v>
      </c>
      <c r="C2621" s="1" t="n">
        <v>45633</v>
      </c>
      <c r="D2621" t="inlineStr">
        <is>
          <t>VÄSTERBOTTENS LÄN</t>
        </is>
      </c>
      <c r="E2621" t="inlineStr">
        <is>
          <t>SKELLEFTEÅ</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62141-2023</t>
        </is>
      </c>
      <c r="B2622" s="1" t="n">
        <v>45267</v>
      </c>
      <c r="C2622" s="1" t="n">
        <v>45633</v>
      </c>
      <c r="D2622" t="inlineStr">
        <is>
          <t>VÄSTERBOTTENS LÄN</t>
        </is>
      </c>
      <c r="E2622" t="inlineStr">
        <is>
          <t>SKELLEFTEÅ</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62345-2023</t>
        </is>
      </c>
      <c r="B2623" s="1" t="n">
        <v>45267</v>
      </c>
      <c r="C2623" s="1" t="n">
        <v>45633</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62336-2023</t>
        </is>
      </c>
      <c r="B2624" s="1" t="n">
        <v>45267</v>
      </c>
      <c r="C2624" s="1" t="n">
        <v>45633</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62344-2023</t>
        </is>
      </c>
      <c r="B2625" s="1" t="n">
        <v>45267</v>
      </c>
      <c r="C2625" s="1" t="n">
        <v>45633</v>
      </c>
      <c r="D2625" t="inlineStr">
        <is>
          <t>VÄSTERBOTTENS LÄN</t>
        </is>
      </c>
      <c r="E2625" t="inlineStr">
        <is>
          <t>SKELLEFTEÅ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62347-2023</t>
        </is>
      </c>
      <c r="B2626" s="1" t="n">
        <v>45267</v>
      </c>
      <c r="C2626" s="1" t="n">
        <v>45633</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62599-2023</t>
        </is>
      </c>
      <c r="B2627" s="1" t="n">
        <v>45267</v>
      </c>
      <c r="C2627" s="1" t="n">
        <v>45633</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62601-2023</t>
        </is>
      </c>
      <c r="B2628" s="1" t="n">
        <v>45267</v>
      </c>
      <c r="C2628" s="1" t="n">
        <v>45633</v>
      </c>
      <c r="D2628" t="inlineStr">
        <is>
          <t>VÄSTERBOTTENS LÄN</t>
        </is>
      </c>
      <c r="E2628" t="inlineStr">
        <is>
          <t>SKELLEFTEÅ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62547-2023</t>
        </is>
      </c>
      <c r="B2629" s="1" t="n">
        <v>45268</v>
      </c>
      <c r="C2629" s="1" t="n">
        <v>45633</v>
      </c>
      <c r="D2629" t="inlineStr">
        <is>
          <t>VÄSTERBOTTENS LÄN</t>
        </is>
      </c>
      <c r="E2629" t="inlineStr">
        <is>
          <t>SKELLEFTEÅ</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62504-2023</t>
        </is>
      </c>
      <c r="B2630" s="1" t="n">
        <v>45268</v>
      </c>
      <c r="C2630" s="1" t="n">
        <v>45633</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62708-2023</t>
        </is>
      </c>
      <c r="B2631" s="1" t="n">
        <v>45271</v>
      </c>
      <c r="C2631" s="1" t="n">
        <v>45633</v>
      </c>
      <c r="D2631" t="inlineStr">
        <is>
          <t>VÄSTERBOTTENS LÄN</t>
        </is>
      </c>
      <c r="E2631" t="inlineStr">
        <is>
          <t>SKELLEFTEÅ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62885-2023</t>
        </is>
      </c>
      <c r="B2632" s="1" t="n">
        <v>45271</v>
      </c>
      <c r="C2632" s="1" t="n">
        <v>45633</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63010-2023</t>
        </is>
      </c>
      <c r="B2633" s="1" t="n">
        <v>45272</v>
      </c>
      <c r="C2633" s="1" t="n">
        <v>45633</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62961-2023</t>
        </is>
      </c>
      <c r="B2634" s="1" t="n">
        <v>45272</v>
      </c>
      <c r="C2634" s="1" t="n">
        <v>45633</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63525-2023</t>
        </is>
      </c>
      <c r="B2635" s="1" t="n">
        <v>45274</v>
      </c>
      <c r="C2635" s="1" t="n">
        <v>45633</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63704-2023</t>
        </is>
      </c>
      <c r="B2636" s="1" t="n">
        <v>45275</v>
      </c>
      <c r="C2636" s="1" t="n">
        <v>45633</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63757-2023</t>
        </is>
      </c>
      <c r="B2637" s="1" t="n">
        <v>45278</v>
      </c>
      <c r="C2637" s="1" t="n">
        <v>45633</v>
      </c>
      <c r="D2637" t="inlineStr">
        <is>
          <t>VÄSTERBOTTENS LÄN</t>
        </is>
      </c>
      <c r="E2637" t="inlineStr">
        <is>
          <t>SKELLEFTEÅ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63759-2023</t>
        </is>
      </c>
      <c r="B2638" s="1" t="n">
        <v>45278</v>
      </c>
      <c r="C2638" s="1" t="n">
        <v>45633</v>
      </c>
      <c r="D2638" t="inlineStr">
        <is>
          <t>VÄSTERBOTTENS LÄN</t>
        </is>
      </c>
      <c r="E2638" t="inlineStr">
        <is>
          <t>SKELLEFTEÅ</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63935-2023</t>
        </is>
      </c>
      <c r="B2639" s="1" t="n">
        <v>45278</v>
      </c>
      <c r="C2639" s="1" t="n">
        <v>45633</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64009-2023</t>
        </is>
      </c>
      <c r="B2640" s="1" t="n">
        <v>45278</v>
      </c>
      <c r="C2640" s="1" t="n">
        <v>45633</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64006-2023</t>
        </is>
      </c>
      <c r="B2641" s="1" t="n">
        <v>45278</v>
      </c>
      <c r="C2641" s="1" t="n">
        <v>45633</v>
      </c>
      <c r="D2641" t="inlineStr">
        <is>
          <t>VÄSTERBOTTENS LÄN</t>
        </is>
      </c>
      <c r="E2641" t="inlineStr">
        <is>
          <t>SKELLEFTEÅ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64008-2023</t>
        </is>
      </c>
      <c r="B2642" s="1" t="n">
        <v>45278</v>
      </c>
      <c r="C2642" s="1" t="n">
        <v>45633</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64258-2023</t>
        </is>
      </c>
      <c r="B2643" s="1" t="n">
        <v>45279</v>
      </c>
      <c r="C2643" s="1" t="n">
        <v>45633</v>
      </c>
      <c r="D2643" t="inlineStr">
        <is>
          <t>VÄSTERBOTTENS LÄN</t>
        </is>
      </c>
      <c r="E2643" t="inlineStr">
        <is>
          <t>SKELLEFTEÅ</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64257-2023</t>
        </is>
      </c>
      <c r="B2644" s="1" t="n">
        <v>45279</v>
      </c>
      <c r="C2644" s="1" t="n">
        <v>45633</v>
      </c>
      <c r="D2644" t="inlineStr">
        <is>
          <t>VÄSTERBOTTENS LÄN</t>
        </is>
      </c>
      <c r="E2644" t="inlineStr">
        <is>
          <t>SKELLEFTEÅ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64183-2023</t>
        </is>
      </c>
      <c r="B2645" s="1" t="n">
        <v>45279</v>
      </c>
      <c r="C2645" s="1" t="n">
        <v>45633</v>
      </c>
      <c r="D2645" t="inlineStr">
        <is>
          <t>VÄSTERBOTTENS LÄN</t>
        </is>
      </c>
      <c r="E2645" t="inlineStr">
        <is>
          <t>SKELLEFTEÅ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1815-2024</t>
        </is>
      </c>
      <c r="B2646" s="1" t="n">
        <v>45279</v>
      </c>
      <c r="C2646" s="1" t="n">
        <v>45633</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64323-2023</t>
        </is>
      </c>
      <c r="B2647" s="1" t="n">
        <v>45280</v>
      </c>
      <c r="C2647" s="1" t="n">
        <v>45633</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64340-2023</t>
        </is>
      </c>
      <c r="B2648" s="1" t="n">
        <v>45280</v>
      </c>
      <c r="C2648" s="1" t="n">
        <v>45633</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64370-2023</t>
        </is>
      </c>
      <c r="B2649" s="1" t="n">
        <v>45280</v>
      </c>
      <c r="C2649" s="1" t="n">
        <v>45633</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64598-2023</t>
        </is>
      </c>
      <c r="B2650" s="1" t="n">
        <v>45281</v>
      </c>
      <c r="C2650" s="1" t="n">
        <v>45633</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64682-2023</t>
        </is>
      </c>
      <c r="B2651" s="1" t="n">
        <v>45281</v>
      </c>
      <c r="C2651" s="1" t="n">
        <v>45633</v>
      </c>
      <c r="D2651" t="inlineStr">
        <is>
          <t>VÄSTERBOTTENS LÄN</t>
        </is>
      </c>
      <c r="E2651" t="inlineStr">
        <is>
          <t>SKELLEFTEÅ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64720-2023</t>
        </is>
      </c>
      <c r="B2652" s="1" t="n">
        <v>45281</v>
      </c>
      <c r="C2652" s="1" t="n">
        <v>45633</v>
      </c>
      <c r="D2652" t="inlineStr">
        <is>
          <t>VÄSTERBOTTENS LÄN</t>
        </is>
      </c>
      <c r="E2652" t="inlineStr">
        <is>
          <t>SKELLEFTEÅ</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64716-2023</t>
        </is>
      </c>
      <c r="B2653" s="1" t="n">
        <v>45281</v>
      </c>
      <c r="C2653" s="1" t="n">
        <v>45633</v>
      </c>
      <c r="D2653" t="inlineStr">
        <is>
          <t>VÄSTERBOTTENS LÄN</t>
        </is>
      </c>
      <c r="E2653" t="inlineStr">
        <is>
          <t>SKELLEFTEÅ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64723-2023</t>
        </is>
      </c>
      <c r="B2654" s="1" t="n">
        <v>45281</v>
      </c>
      <c r="C2654" s="1" t="n">
        <v>45633</v>
      </c>
      <c r="D2654" t="inlineStr">
        <is>
          <t>VÄSTERBOTTENS LÄN</t>
        </is>
      </c>
      <c r="E2654" t="inlineStr">
        <is>
          <t>SKELLEFTEÅ</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64726-2023</t>
        </is>
      </c>
      <c r="B2655" s="1" t="n">
        <v>45281</v>
      </c>
      <c r="C2655" s="1" t="n">
        <v>45633</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64750-2023</t>
        </is>
      </c>
      <c r="B2656" s="1" t="n">
        <v>45281</v>
      </c>
      <c r="C2656" s="1" t="n">
        <v>45633</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64920-2023</t>
        </is>
      </c>
      <c r="B2657" s="1" t="n">
        <v>45282</v>
      </c>
      <c r="C2657" s="1" t="n">
        <v>45633</v>
      </c>
      <c r="D2657" t="inlineStr">
        <is>
          <t>VÄSTERBOTTENS LÄN</t>
        </is>
      </c>
      <c r="E2657" t="inlineStr">
        <is>
          <t>SKELLEFTEÅ</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64942-2023</t>
        </is>
      </c>
      <c r="B2658" s="1" t="n">
        <v>45282</v>
      </c>
      <c r="C2658" s="1" t="n">
        <v>45633</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65010-2023</t>
        </is>
      </c>
      <c r="B2659" s="1" t="n">
        <v>45282</v>
      </c>
      <c r="C2659" s="1" t="n">
        <v>45633</v>
      </c>
      <c r="D2659" t="inlineStr">
        <is>
          <t>VÄSTERBOTTENS LÄN</t>
        </is>
      </c>
      <c r="E2659" t="inlineStr">
        <is>
          <t>SKELLEFTEÅ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64941-2023</t>
        </is>
      </c>
      <c r="B2660" s="1" t="n">
        <v>45282</v>
      </c>
      <c r="C2660" s="1" t="n">
        <v>45633</v>
      </c>
      <c r="D2660" t="inlineStr">
        <is>
          <t>VÄSTERBOTTENS LÄN</t>
        </is>
      </c>
      <c r="E2660" t="inlineStr">
        <is>
          <t>SKELLEFTEÅ</t>
        </is>
      </c>
      <c r="G2660" t="n">
        <v>12.9</v>
      </c>
      <c r="H2660" t="n">
        <v>0</v>
      </c>
      <c r="I2660" t="n">
        <v>0</v>
      </c>
      <c r="J2660" t="n">
        <v>0</v>
      </c>
      <c r="K2660" t="n">
        <v>0</v>
      </c>
      <c r="L2660" t="n">
        <v>0</v>
      </c>
      <c r="M2660" t="n">
        <v>0</v>
      </c>
      <c r="N2660" t="n">
        <v>0</v>
      </c>
      <c r="O2660" t="n">
        <v>0</v>
      </c>
      <c r="P2660" t="n">
        <v>0</v>
      </c>
      <c r="Q2660" t="n">
        <v>0</v>
      </c>
      <c r="R2660" s="2" t="inlineStr"/>
    </row>
    <row r="2661" ht="15" customHeight="1">
      <c r="A2661" t="inlineStr">
        <is>
          <t>A 65009-2023</t>
        </is>
      </c>
      <c r="B2661" s="1" t="n">
        <v>45287</v>
      </c>
      <c r="C2661" s="1" t="n">
        <v>45633</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65011-2023</t>
        </is>
      </c>
      <c r="B2662" s="1" t="n">
        <v>45287</v>
      </c>
      <c r="C2662" s="1" t="n">
        <v>45633</v>
      </c>
      <c r="D2662" t="inlineStr">
        <is>
          <t>VÄSTERBOTTENS LÄN</t>
        </is>
      </c>
      <c r="E2662" t="inlineStr">
        <is>
          <t>SKELLEFTEÅ</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65128-2023</t>
        </is>
      </c>
      <c r="B2663" s="1" t="n">
        <v>45288</v>
      </c>
      <c r="C2663" s="1" t="n">
        <v>45633</v>
      </c>
      <c r="D2663" t="inlineStr">
        <is>
          <t>VÄSTERBOTTENS LÄN</t>
        </is>
      </c>
      <c r="E2663" t="inlineStr">
        <is>
          <t>SKELLEFTEÅ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65165-2023</t>
        </is>
      </c>
      <c r="B2664" s="1" t="n">
        <v>45288</v>
      </c>
      <c r="C2664" s="1" t="n">
        <v>45633</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65178-2023</t>
        </is>
      </c>
      <c r="B2665" s="1" t="n">
        <v>45288</v>
      </c>
      <c r="C2665" s="1" t="n">
        <v>45633</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65191-2023</t>
        </is>
      </c>
      <c r="B2666" s="1" t="n">
        <v>45288</v>
      </c>
      <c r="C2666" s="1" t="n">
        <v>45633</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65206-2023</t>
        </is>
      </c>
      <c r="B2667" s="1" t="n">
        <v>45289</v>
      </c>
      <c r="C2667" s="1" t="n">
        <v>45633</v>
      </c>
      <c r="D2667" t="inlineStr">
        <is>
          <t>VÄSTERBOTTENS LÄN</t>
        </is>
      </c>
      <c r="E2667" t="inlineStr">
        <is>
          <t>SKELLEFTEÅ</t>
        </is>
      </c>
      <c r="G2667" t="n">
        <v>19.2</v>
      </c>
      <c r="H2667" t="n">
        <v>0</v>
      </c>
      <c r="I2667" t="n">
        <v>0</v>
      </c>
      <c r="J2667" t="n">
        <v>0</v>
      </c>
      <c r="K2667" t="n">
        <v>0</v>
      </c>
      <c r="L2667" t="n">
        <v>0</v>
      </c>
      <c r="M2667" t="n">
        <v>0</v>
      </c>
      <c r="N2667" t="n">
        <v>0</v>
      </c>
      <c r="O2667" t="n">
        <v>0</v>
      </c>
      <c r="P2667" t="n">
        <v>0</v>
      </c>
      <c r="Q2667" t="n">
        <v>0</v>
      </c>
      <c r="R2667" s="2" t="inlineStr"/>
    </row>
    <row r="2668" ht="15" customHeight="1">
      <c r="A2668" t="inlineStr">
        <is>
          <t>A 65243-2023</t>
        </is>
      </c>
      <c r="B2668" s="1" t="n">
        <v>45289</v>
      </c>
      <c r="C2668" s="1" t="n">
        <v>45633</v>
      </c>
      <c r="D2668" t="inlineStr">
        <is>
          <t>VÄSTERBOTTENS LÄN</t>
        </is>
      </c>
      <c r="E2668" t="inlineStr">
        <is>
          <t>SKELLEFTEÅ</t>
        </is>
      </c>
      <c r="G2668" t="n">
        <v>22.2</v>
      </c>
      <c r="H2668" t="n">
        <v>0</v>
      </c>
      <c r="I2668" t="n">
        <v>0</v>
      </c>
      <c r="J2668" t="n">
        <v>0</v>
      </c>
      <c r="K2668" t="n">
        <v>0</v>
      </c>
      <c r="L2668" t="n">
        <v>0</v>
      </c>
      <c r="M2668" t="n">
        <v>0</v>
      </c>
      <c r="N2668" t="n">
        <v>0</v>
      </c>
      <c r="O2668" t="n">
        <v>0</v>
      </c>
      <c r="P2668" t="n">
        <v>0</v>
      </c>
      <c r="Q2668" t="n">
        <v>0</v>
      </c>
      <c r="R2668" s="2" t="inlineStr"/>
    </row>
    <row r="2669" ht="15" customHeight="1">
      <c r="A2669" t="inlineStr">
        <is>
          <t>A 27-2024</t>
        </is>
      </c>
      <c r="B2669" s="1" t="n">
        <v>45293</v>
      </c>
      <c r="C2669" s="1" t="n">
        <v>45633</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207-2024</t>
        </is>
      </c>
      <c r="B2670" s="1" t="n">
        <v>45293</v>
      </c>
      <c r="C2670" s="1" t="n">
        <v>45633</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381-2024</t>
        </is>
      </c>
      <c r="B2671" s="1" t="n">
        <v>45296</v>
      </c>
      <c r="C2671" s="1" t="n">
        <v>45633</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418-2024</t>
        </is>
      </c>
      <c r="B2672" s="1" t="n">
        <v>45296</v>
      </c>
      <c r="C2672" s="1" t="n">
        <v>45633</v>
      </c>
      <c r="D2672" t="inlineStr">
        <is>
          <t>VÄSTERBOTTENS LÄN</t>
        </is>
      </c>
      <c r="E2672" t="inlineStr">
        <is>
          <t>SKELLEFTEÅ</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671-2024</t>
        </is>
      </c>
      <c r="B2673" s="1" t="n">
        <v>45299</v>
      </c>
      <c r="C2673" s="1" t="n">
        <v>45633</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668-2024</t>
        </is>
      </c>
      <c r="B2674" s="1" t="n">
        <v>45300</v>
      </c>
      <c r="C2674" s="1" t="n">
        <v>45633</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1114-2024</t>
        </is>
      </c>
      <c r="B2675" s="1" t="n">
        <v>45302</v>
      </c>
      <c r="C2675" s="1" t="n">
        <v>45633</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1255-2024</t>
        </is>
      </c>
      <c r="B2676" s="1" t="n">
        <v>45302</v>
      </c>
      <c r="C2676" s="1" t="n">
        <v>45633</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1250-2024</t>
        </is>
      </c>
      <c r="B2677" s="1" t="n">
        <v>45302</v>
      </c>
      <c r="C2677" s="1" t="n">
        <v>45633</v>
      </c>
      <c r="D2677" t="inlineStr">
        <is>
          <t>VÄSTERBOTTENS LÄN</t>
        </is>
      </c>
      <c r="E2677" t="inlineStr">
        <is>
          <t>SKELLEFTEÅ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1257-2024</t>
        </is>
      </c>
      <c r="B2678" s="1" t="n">
        <v>45302</v>
      </c>
      <c r="C2678" s="1" t="n">
        <v>45633</v>
      </c>
      <c r="D2678" t="inlineStr">
        <is>
          <t>VÄSTERBOTTENS LÄN</t>
        </is>
      </c>
      <c r="E2678" t="inlineStr">
        <is>
          <t>SKELLEFTEÅ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1256-2024</t>
        </is>
      </c>
      <c r="B2679" s="1" t="n">
        <v>45302</v>
      </c>
      <c r="C2679" s="1" t="n">
        <v>45633</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1280-2024</t>
        </is>
      </c>
      <c r="B2680" s="1" t="n">
        <v>45303</v>
      </c>
      <c r="C2680" s="1" t="n">
        <v>45633</v>
      </c>
      <c r="D2680" t="inlineStr">
        <is>
          <t>VÄSTERBOTTENS LÄN</t>
        </is>
      </c>
      <c r="E2680" t="inlineStr">
        <is>
          <t>SKELLEFTEÅ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1419-2024</t>
        </is>
      </c>
      <c r="B2681" s="1" t="n">
        <v>45303</v>
      </c>
      <c r="C2681" s="1" t="n">
        <v>45633</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1507-2024</t>
        </is>
      </c>
      <c r="B2682" s="1" t="n">
        <v>45306</v>
      </c>
      <c r="C2682" s="1" t="n">
        <v>45633</v>
      </c>
      <c r="D2682" t="inlineStr">
        <is>
          <t>VÄSTERBOTTENS LÄN</t>
        </is>
      </c>
      <c r="E2682" t="inlineStr">
        <is>
          <t>SKELLEFTEÅ</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1498-2024</t>
        </is>
      </c>
      <c r="B2683" s="1" t="n">
        <v>45306</v>
      </c>
      <c r="C2683" s="1" t="n">
        <v>45633</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1564-2024</t>
        </is>
      </c>
      <c r="B2684" s="1" t="n">
        <v>45306</v>
      </c>
      <c r="C2684" s="1" t="n">
        <v>45633</v>
      </c>
      <c r="D2684" t="inlineStr">
        <is>
          <t>VÄSTERBOTTENS LÄN</t>
        </is>
      </c>
      <c r="E2684" t="inlineStr">
        <is>
          <t>SKELLEFTEÅ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1829-2024</t>
        </is>
      </c>
      <c r="B2685" s="1" t="n">
        <v>45307</v>
      </c>
      <c r="C2685" s="1" t="n">
        <v>45633</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1827-2024</t>
        </is>
      </c>
      <c r="B2686" s="1" t="n">
        <v>45307</v>
      </c>
      <c r="C2686" s="1" t="n">
        <v>45633</v>
      </c>
      <c r="D2686" t="inlineStr">
        <is>
          <t>VÄSTERBOTTENS LÄN</t>
        </is>
      </c>
      <c r="E2686" t="inlineStr">
        <is>
          <t>SKELLEFTEÅ</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1809-2024</t>
        </is>
      </c>
      <c r="B2687" s="1" t="n">
        <v>45307</v>
      </c>
      <c r="C2687" s="1" t="n">
        <v>45633</v>
      </c>
      <c r="D2687" t="inlineStr">
        <is>
          <t>VÄSTERBOTTENS LÄN</t>
        </is>
      </c>
      <c r="E2687" t="inlineStr">
        <is>
          <t>SKELLEFTEÅ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1826-2024</t>
        </is>
      </c>
      <c r="B2688" s="1" t="n">
        <v>45307</v>
      </c>
      <c r="C2688" s="1" t="n">
        <v>45633</v>
      </c>
      <c r="D2688" t="inlineStr">
        <is>
          <t>VÄSTERBOTTENS LÄN</t>
        </is>
      </c>
      <c r="E2688" t="inlineStr">
        <is>
          <t>SKELLEFTEÅ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2050-2024</t>
        </is>
      </c>
      <c r="B2689" s="1" t="n">
        <v>45308</v>
      </c>
      <c r="C2689" s="1" t="n">
        <v>45633</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2058-2024</t>
        </is>
      </c>
      <c r="B2690" s="1" t="n">
        <v>45308</v>
      </c>
      <c r="C2690" s="1" t="n">
        <v>45633</v>
      </c>
      <c r="D2690" t="inlineStr">
        <is>
          <t>VÄSTERBOTTENS LÄN</t>
        </is>
      </c>
      <c r="E2690" t="inlineStr">
        <is>
          <t>SKELLEFTEÅ</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2043-2024</t>
        </is>
      </c>
      <c r="B2691" s="1" t="n">
        <v>45308</v>
      </c>
      <c r="C2691" s="1" t="n">
        <v>45633</v>
      </c>
      <c r="D2691" t="inlineStr">
        <is>
          <t>VÄSTERBOTTENS LÄN</t>
        </is>
      </c>
      <c r="E2691" t="inlineStr">
        <is>
          <t>SKELLEFTEÅ</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2051-2024</t>
        </is>
      </c>
      <c r="B2692" s="1" t="n">
        <v>45308</v>
      </c>
      <c r="C2692" s="1" t="n">
        <v>45633</v>
      </c>
      <c r="D2692" t="inlineStr">
        <is>
          <t>VÄSTERBOTTENS LÄN</t>
        </is>
      </c>
      <c r="E2692" t="inlineStr">
        <is>
          <t>SKELLEFTEÅ</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2055-2024</t>
        </is>
      </c>
      <c r="B2693" s="1" t="n">
        <v>45308</v>
      </c>
      <c r="C2693" s="1" t="n">
        <v>45633</v>
      </c>
      <c r="D2693" t="inlineStr">
        <is>
          <t>VÄSTERBOTTENS LÄN</t>
        </is>
      </c>
      <c r="E2693" t="inlineStr">
        <is>
          <t>SKELLEFTEÅ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2059-2024</t>
        </is>
      </c>
      <c r="B2694" s="1" t="n">
        <v>45308</v>
      </c>
      <c r="C2694" s="1" t="n">
        <v>45633</v>
      </c>
      <c r="D2694" t="inlineStr">
        <is>
          <t>VÄSTERBOTTENS LÄN</t>
        </is>
      </c>
      <c r="E2694" t="inlineStr">
        <is>
          <t>SKELLEFTEÅ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2045-2024</t>
        </is>
      </c>
      <c r="B2695" s="1" t="n">
        <v>45308</v>
      </c>
      <c r="C2695" s="1" t="n">
        <v>45633</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2052-2024</t>
        </is>
      </c>
      <c r="B2696" s="1" t="n">
        <v>45308</v>
      </c>
      <c r="C2696" s="1" t="n">
        <v>45633</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2170-2024</t>
        </is>
      </c>
      <c r="B2697" s="1" t="n">
        <v>45309</v>
      </c>
      <c r="C2697" s="1" t="n">
        <v>45633</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2090-2024</t>
        </is>
      </c>
      <c r="B2698" s="1" t="n">
        <v>45309</v>
      </c>
      <c r="C2698" s="1" t="n">
        <v>45633</v>
      </c>
      <c r="D2698" t="inlineStr">
        <is>
          <t>VÄSTERBOTTENS LÄN</t>
        </is>
      </c>
      <c r="E2698" t="inlineStr">
        <is>
          <t>SKELLEFTEÅ</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2417-2024</t>
        </is>
      </c>
      <c r="B2699" s="1" t="n">
        <v>45310</v>
      </c>
      <c r="C2699" s="1" t="n">
        <v>45633</v>
      </c>
      <c r="D2699" t="inlineStr">
        <is>
          <t>VÄSTERBOTTENS LÄN</t>
        </is>
      </c>
      <c r="E2699" t="inlineStr">
        <is>
          <t>SKELLEFTEÅ</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2579-2024</t>
        </is>
      </c>
      <c r="B2700" s="1" t="n">
        <v>45313</v>
      </c>
      <c r="C2700" s="1" t="n">
        <v>45633</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2526-2024</t>
        </is>
      </c>
      <c r="B2701" s="1" t="n">
        <v>45313</v>
      </c>
      <c r="C2701" s="1" t="n">
        <v>45633</v>
      </c>
      <c r="D2701" t="inlineStr">
        <is>
          <t>VÄSTERBOTTENS LÄN</t>
        </is>
      </c>
      <c r="E2701" t="inlineStr">
        <is>
          <t>SKELLEFTEÅ</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2562-2024</t>
        </is>
      </c>
      <c r="B2702" s="1" t="n">
        <v>45313</v>
      </c>
      <c r="C2702" s="1" t="n">
        <v>45633</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2572-2024</t>
        </is>
      </c>
      <c r="B2703" s="1" t="n">
        <v>45313</v>
      </c>
      <c r="C2703" s="1" t="n">
        <v>45633</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2641-2024</t>
        </is>
      </c>
      <c r="B2704" s="1" t="n">
        <v>45314</v>
      </c>
      <c r="C2704" s="1" t="n">
        <v>45633</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2773-2024</t>
        </is>
      </c>
      <c r="B2705" s="1" t="n">
        <v>45314</v>
      </c>
      <c r="C2705" s="1" t="n">
        <v>45633</v>
      </c>
      <c r="D2705" t="inlineStr">
        <is>
          <t>VÄSTERBOTTENS LÄN</t>
        </is>
      </c>
      <c r="E2705" t="inlineStr">
        <is>
          <t>SKELLEFTEÅ</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2811-2024</t>
        </is>
      </c>
      <c r="B2706" s="1" t="n">
        <v>45314</v>
      </c>
      <c r="C2706" s="1" t="n">
        <v>45633</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2840-2024</t>
        </is>
      </c>
      <c r="B2707" s="1" t="n">
        <v>45315</v>
      </c>
      <c r="C2707" s="1" t="n">
        <v>45633</v>
      </c>
      <c r="D2707" t="inlineStr">
        <is>
          <t>VÄSTERBOTTENS LÄN</t>
        </is>
      </c>
      <c r="E2707" t="inlineStr">
        <is>
          <t>SKELLEFTEÅ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2848-2024</t>
        </is>
      </c>
      <c r="B2708" s="1" t="n">
        <v>45315</v>
      </c>
      <c r="C2708" s="1" t="n">
        <v>45633</v>
      </c>
      <c r="D2708" t="inlineStr">
        <is>
          <t>VÄSTERBOTTENS LÄN</t>
        </is>
      </c>
      <c r="E2708" t="inlineStr">
        <is>
          <t>SKELLEFTEÅ</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2845-2024</t>
        </is>
      </c>
      <c r="B2709" s="1" t="n">
        <v>45315</v>
      </c>
      <c r="C2709" s="1" t="n">
        <v>45633</v>
      </c>
      <c r="D2709" t="inlineStr">
        <is>
          <t>VÄSTERBOTTENS LÄN</t>
        </is>
      </c>
      <c r="E2709" t="inlineStr">
        <is>
          <t>SKELLEFTEÅ</t>
        </is>
      </c>
      <c r="F2709" t="inlineStr">
        <is>
          <t>Sveaskog</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2955-2024</t>
        </is>
      </c>
      <c r="B2710" s="1" t="n">
        <v>45315</v>
      </c>
      <c r="C2710" s="1" t="n">
        <v>45633</v>
      </c>
      <c r="D2710" t="inlineStr">
        <is>
          <t>VÄSTERBOTTENS LÄN</t>
        </is>
      </c>
      <c r="E2710" t="inlineStr">
        <is>
          <t>SKELLEFTEÅ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2987-2024</t>
        </is>
      </c>
      <c r="B2711" s="1" t="n">
        <v>45315</v>
      </c>
      <c r="C2711" s="1" t="n">
        <v>45633</v>
      </c>
      <c r="D2711" t="inlineStr">
        <is>
          <t>VÄSTERBOTTENS LÄN</t>
        </is>
      </c>
      <c r="E2711" t="inlineStr">
        <is>
          <t>SKELLEFTEÅ</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2976-2024</t>
        </is>
      </c>
      <c r="B2712" s="1" t="n">
        <v>45315</v>
      </c>
      <c r="C2712" s="1" t="n">
        <v>45633</v>
      </c>
      <c r="D2712" t="inlineStr">
        <is>
          <t>VÄSTERBOTTENS LÄN</t>
        </is>
      </c>
      <c r="E2712" t="inlineStr">
        <is>
          <t>SKELLEFTEÅ</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3045-2024</t>
        </is>
      </c>
      <c r="B2713" s="1" t="n">
        <v>45316</v>
      </c>
      <c r="C2713" s="1" t="n">
        <v>45633</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3143-2024</t>
        </is>
      </c>
      <c r="B2714" s="1" t="n">
        <v>45316</v>
      </c>
      <c r="C2714" s="1" t="n">
        <v>45633</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3142-2024</t>
        </is>
      </c>
      <c r="B2715" s="1" t="n">
        <v>45316</v>
      </c>
      <c r="C2715" s="1" t="n">
        <v>45633</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3141-2024</t>
        </is>
      </c>
      <c r="B2716" s="1" t="n">
        <v>45316</v>
      </c>
      <c r="C2716" s="1" t="n">
        <v>45633</v>
      </c>
      <c r="D2716" t="inlineStr">
        <is>
          <t>VÄSTERBOTTENS LÄN</t>
        </is>
      </c>
      <c r="E2716" t="inlineStr">
        <is>
          <t>SKELLEFTEÅ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3358-2024</t>
        </is>
      </c>
      <c r="B2717" s="1" t="n">
        <v>45317</v>
      </c>
      <c r="C2717" s="1" t="n">
        <v>45633</v>
      </c>
      <c r="D2717" t="inlineStr">
        <is>
          <t>VÄSTERBOTTENS LÄN</t>
        </is>
      </c>
      <c r="E2717" t="inlineStr">
        <is>
          <t>SKELLEFTEÅ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45633</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3451-2024</t>
        </is>
      </c>
      <c r="B2719" s="1" t="n">
        <v>45320</v>
      </c>
      <c r="C2719" s="1" t="n">
        <v>45633</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3465-2024</t>
        </is>
      </c>
      <c r="B2720" s="1" t="n">
        <v>45320</v>
      </c>
      <c r="C2720" s="1" t="n">
        <v>45633</v>
      </c>
      <c r="D2720" t="inlineStr">
        <is>
          <t>VÄSTERBOTTENS LÄN</t>
        </is>
      </c>
      <c r="E2720" t="inlineStr">
        <is>
          <t>SKELLEFTEÅ</t>
        </is>
      </c>
      <c r="G2720" t="n">
        <v>17.4</v>
      </c>
      <c r="H2720" t="n">
        <v>0</v>
      </c>
      <c r="I2720" t="n">
        <v>0</v>
      </c>
      <c r="J2720" t="n">
        <v>0</v>
      </c>
      <c r="K2720" t="n">
        <v>0</v>
      </c>
      <c r="L2720" t="n">
        <v>0</v>
      </c>
      <c r="M2720" t="n">
        <v>0</v>
      </c>
      <c r="N2720" t="n">
        <v>0</v>
      </c>
      <c r="O2720" t="n">
        <v>0</v>
      </c>
      <c r="P2720" t="n">
        <v>0</v>
      </c>
      <c r="Q2720" t="n">
        <v>0</v>
      </c>
      <c r="R2720" s="2" t="inlineStr"/>
    </row>
    <row r="2721" ht="15" customHeight="1">
      <c r="A2721" t="inlineStr">
        <is>
          <t>A 3571-2024</t>
        </is>
      </c>
      <c r="B2721" s="1" t="n">
        <v>45320</v>
      </c>
      <c r="C2721" s="1" t="n">
        <v>45633</v>
      </c>
      <c r="D2721" t="inlineStr">
        <is>
          <t>VÄSTERBOTTENS LÄN</t>
        </is>
      </c>
      <c r="E2721" t="inlineStr">
        <is>
          <t>SKELLEFTEÅ</t>
        </is>
      </c>
      <c r="F2721" t="inlineStr">
        <is>
          <t>Holmen skog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3453-2024</t>
        </is>
      </c>
      <c r="B2722" s="1" t="n">
        <v>45320</v>
      </c>
      <c r="C2722" s="1" t="n">
        <v>45633</v>
      </c>
      <c r="D2722" t="inlineStr">
        <is>
          <t>VÄSTERBOTTENS LÄN</t>
        </is>
      </c>
      <c r="E2722" t="inlineStr">
        <is>
          <t>SKELLEFTEÅ</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3458-2024</t>
        </is>
      </c>
      <c r="B2723" s="1" t="n">
        <v>45320</v>
      </c>
      <c r="C2723" s="1" t="n">
        <v>45633</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3611-2024</t>
        </is>
      </c>
      <c r="B2724" s="1" t="n">
        <v>45320</v>
      </c>
      <c r="C2724" s="1" t="n">
        <v>45633</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3947-2024</t>
        </is>
      </c>
      <c r="B2725" s="1" t="n">
        <v>45322</v>
      </c>
      <c r="C2725" s="1" t="n">
        <v>45633</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3983-2024</t>
        </is>
      </c>
      <c r="B2726" s="1" t="n">
        <v>45322</v>
      </c>
      <c r="C2726" s="1" t="n">
        <v>45633</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3962-2024</t>
        </is>
      </c>
      <c r="B2727" s="1" t="n">
        <v>45322</v>
      </c>
      <c r="C2727" s="1" t="n">
        <v>45633</v>
      </c>
      <c r="D2727" t="inlineStr">
        <is>
          <t>VÄSTERBOTTENS LÄN</t>
        </is>
      </c>
      <c r="E2727" t="inlineStr">
        <is>
          <t>SKELLEFTEÅ</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4022-2024</t>
        </is>
      </c>
      <c r="B2728" s="1" t="n">
        <v>45323</v>
      </c>
      <c r="C2728" s="1" t="n">
        <v>45633</v>
      </c>
      <c r="D2728" t="inlineStr">
        <is>
          <t>VÄSTERBOTTENS LÄN</t>
        </is>
      </c>
      <c r="E2728" t="inlineStr">
        <is>
          <t>SKELLEFTEÅ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4034-2024</t>
        </is>
      </c>
      <c r="B2729" s="1" t="n">
        <v>45323</v>
      </c>
      <c r="C2729" s="1" t="n">
        <v>45633</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4106-2024</t>
        </is>
      </c>
      <c r="B2730" s="1" t="n">
        <v>45323</v>
      </c>
      <c r="C2730" s="1" t="n">
        <v>45633</v>
      </c>
      <c r="D2730" t="inlineStr">
        <is>
          <t>VÄSTERBOTTENS LÄN</t>
        </is>
      </c>
      <c r="E2730" t="inlineStr">
        <is>
          <t>SKELLEFTEÅ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4118-2024</t>
        </is>
      </c>
      <c r="B2731" s="1" t="n">
        <v>45323</v>
      </c>
      <c r="C2731" s="1" t="n">
        <v>45633</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4138-2024</t>
        </is>
      </c>
      <c r="B2732" s="1" t="n">
        <v>45323</v>
      </c>
      <c r="C2732" s="1" t="n">
        <v>45633</v>
      </c>
      <c r="D2732" t="inlineStr">
        <is>
          <t>VÄSTERBOTTENS LÄN</t>
        </is>
      </c>
      <c r="E2732" t="inlineStr">
        <is>
          <t>SKELLEFTEÅ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4008-2024</t>
        </is>
      </c>
      <c r="B2733" s="1" t="n">
        <v>45323</v>
      </c>
      <c r="C2733" s="1" t="n">
        <v>45633</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4032-2024</t>
        </is>
      </c>
      <c r="B2734" s="1" t="n">
        <v>45323</v>
      </c>
      <c r="C2734" s="1" t="n">
        <v>45633</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4019-2024</t>
        </is>
      </c>
      <c r="B2735" s="1" t="n">
        <v>45323</v>
      </c>
      <c r="C2735" s="1" t="n">
        <v>45633</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4084-2024</t>
        </is>
      </c>
      <c r="B2736" s="1" t="n">
        <v>45323</v>
      </c>
      <c r="C2736" s="1" t="n">
        <v>45633</v>
      </c>
      <c r="D2736" t="inlineStr">
        <is>
          <t>VÄSTERBOTTENS LÄN</t>
        </is>
      </c>
      <c r="E2736" t="inlineStr">
        <is>
          <t>SKELLEFTEÅ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4124-2024</t>
        </is>
      </c>
      <c r="B2737" s="1" t="n">
        <v>45323</v>
      </c>
      <c r="C2737" s="1" t="n">
        <v>45633</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4292-2024</t>
        </is>
      </c>
      <c r="B2738" s="1" t="n">
        <v>45324</v>
      </c>
      <c r="C2738" s="1" t="n">
        <v>45633</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4617-2024</t>
        </is>
      </c>
      <c r="B2739" s="1" t="n">
        <v>45327</v>
      </c>
      <c r="C2739" s="1" t="n">
        <v>45633</v>
      </c>
      <c r="D2739" t="inlineStr">
        <is>
          <t>VÄSTERBOTTENS LÄN</t>
        </is>
      </c>
      <c r="E2739" t="inlineStr">
        <is>
          <t>SKELLEFTEÅ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4656-2024</t>
        </is>
      </c>
      <c r="B2740" s="1" t="n">
        <v>45327</v>
      </c>
      <c r="C2740" s="1" t="n">
        <v>45633</v>
      </c>
      <c r="D2740" t="inlineStr">
        <is>
          <t>VÄSTERBOTTENS LÄN</t>
        </is>
      </c>
      <c r="E2740" t="inlineStr">
        <is>
          <t>SKELLEFTEÅ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4777-2024</t>
        </is>
      </c>
      <c r="B2741" s="1" t="n">
        <v>45328</v>
      </c>
      <c r="C2741" s="1" t="n">
        <v>45633</v>
      </c>
      <c r="D2741" t="inlineStr">
        <is>
          <t>VÄSTERBOTTENS LÄN</t>
        </is>
      </c>
      <c r="E2741" t="inlineStr">
        <is>
          <t>SKELLEFTEÅ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4900-2024</t>
        </is>
      </c>
      <c r="B2742" s="1" t="n">
        <v>45329</v>
      </c>
      <c r="C2742" s="1" t="n">
        <v>45633</v>
      </c>
      <c r="D2742" t="inlineStr">
        <is>
          <t>VÄSTERBOTTENS LÄN</t>
        </is>
      </c>
      <c r="E2742" t="inlineStr">
        <is>
          <t>SKELLEFTEÅ</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5220-2024</t>
        </is>
      </c>
      <c r="B2743" s="1" t="n">
        <v>45330</v>
      </c>
      <c r="C2743" s="1" t="n">
        <v>45633</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5236-2024</t>
        </is>
      </c>
      <c r="B2744" s="1" t="n">
        <v>45330</v>
      </c>
      <c r="C2744" s="1" t="n">
        <v>45633</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5252-2024</t>
        </is>
      </c>
      <c r="B2745" s="1" t="n">
        <v>45330</v>
      </c>
      <c r="C2745" s="1" t="n">
        <v>45633</v>
      </c>
      <c r="D2745" t="inlineStr">
        <is>
          <t>VÄSTERBOTTENS LÄN</t>
        </is>
      </c>
      <c r="E2745" t="inlineStr">
        <is>
          <t>SKELLEFTEÅ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5239-2024</t>
        </is>
      </c>
      <c r="B2746" s="1" t="n">
        <v>45330</v>
      </c>
      <c r="C2746" s="1" t="n">
        <v>45633</v>
      </c>
      <c r="D2746" t="inlineStr">
        <is>
          <t>VÄSTERBOTTENS LÄN</t>
        </is>
      </c>
      <c r="E2746" t="inlineStr">
        <is>
          <t>SKELLEFTEÅ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5237-2024</t>
        </is>
      </c>
      <c r="B2747" s="1" t="n">
        <v>45330</v>
      </c>
      <c r="C2747" s="1" t="n">
        <v>45633</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5603-2024</t>
        </is>
      </c>
      <c r="B2748" s="1" t="n">
        <v>45334</v>
      </c>
      <c r="C2748" s="1" t="n">
        <v>45633</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5636-2024</t>
        </is>
      </c>
      <c r="B2749" s="1" t="n">
        <v>45334</v>
      </c>
      <c r="C2749" s="1" t="n">
        <v>45633</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5660-2024</t>
        </is>
      </c>
      <c r="B2750" s="1" t="n">
        <v>45334</v>
      </c>
      <c r="C2750" s="1" t="n">
        <v>45633</v>
      </c>
      <c r="D2750" t="inlineStr">
        <is>
          <t>VÄSTERBOTTENS LÄN</t>
        </is>
      </c>
      <c r="E2750" t="inlineStr">
        <is>
          <t>SKELLEFTEÅ</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5639-2024</t>
        </is>
      </c>
      <c r="B2751" s="1" t="n">
        <v>45334</v>
      </c>
      <c r="C2751" s="1" t="n">
        <v>45633</v>
      </c>
      <c r="D2751" t="inlineStr">
        <is>
          <t>VÄSTERBOTTENS LÄN</t>
        </is>
      </c>
      <c r="E2751" t="inlineStr">
        <is>
          <t>SKELLEFTEÅ</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5596-2024</t>
        </is>
      </c>
      <c r="B2752" s="1" t="n">
        <v>45334</v>
      </c>
      <c r="C2752" s="1" t="n">
        <v>45633</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6018-2024</t>
        </is>
      </c>
      <c r="B2753" s="1" t="n">
        <v>45336</v>
      </c>
      <c r="C2753" s="1" t="n">
        <v>45633</v>
      </c>
      <c r="D2753" t="inlineStr">
        <is>
          <t>VÄSTERBOTTENS LÄN</t>
        </is>
      </c>
      <c r="E2753" t="inlineStr">
        <is>
          <t>SKELLEFTEÅ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6078-2024</t>
        </is>
      </c>
      <c r="B2754" s="1" t="n">
        <v>45336</v>
      </c>
      <c r="C2754" s="1" t="n">
        <v>45633</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45633</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6398-2024</t>
        </is>
      </c>
      <c r="B2756" s="1" t="n">
        <v>45338</v>
      </c>
      <c r="C2756" s="1" t="n">
        <v>45633</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6420-2024</t>
        </is>
      </c>
      <c r="B2757" s="1" t="n">
        <v>45338</v>
      </c>
      <c r="C2757" s="1" t="n">
        <v>45633</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6428-2024</t>
        </is>
      </c>
      <c r="B2758" s="1" t="n">
        <v>45338</v>
      </c>
      <c r="C2758" s="1" t="n">
        <v>45633</v>
      </c>
      <c r="D2758" t="inlineStr">
        <is>
          <t>VÄSTERBOTTENS LÄN</t>
        </is>
      </c>
      <c r="E2758" t="inlineStr">
        <is>
          <t>SKELLEFTEÅ</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6422-2024</t>
        </is>
      </c>
      <c r="B2759" s="1" t="n">
        <v>45338</v>
      </c>
      <c r="C2759" s="1" t="n">
        <v>45633</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6448-2024</t>
        </is>
      </c>
      <c r="B2760" s="1" t="n">
        <v>45338</v>
      </c>
      <c r="C2760" s="1" t="n">
        <v>45633</v>
      </c>
      <c r="D2760" t="inlineStr">
        <is>
          <t>VÄSTERBOTTENS LÄN</t>
        </is>
      </c>
      <c r="E2760" t="inlineStr">
        <is>
          <t>SKELLEFTEÅ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6435-2024</t>
        </is>
      </c>
      <c r="B2761" s="1" t="n">
        <v>45338</v>
      </c>
      <c r="C2761" s="1" t="n">
        <v>45633</v>
      </c>
      <c r="D2761" t="inlineStr">
        <is>
          <t>VÄSTERBOTTENS LÄN</t>
        </is>
      </c>
      <c r="E2761" t="inlineStr">
        <is>
          <t>SKELLEFTEÅ</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6710-2024</t>
        </is>
      </c>
      <c r="B2762" s="1" t="n">
        <v>45341</v>
      </c>
      <c r="C2762" s="1" t="n">
        <v>45633</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6723-2024</t>
        </is>
      </c>
      <c r="B2763" s="1" t="n">
        <v>45342</v>
      </c>
      <c r="C2763" s="1" t="n">
        <v>45633</v>
      </c>
      <c r="D2763" t="inlineStr">
        <is>
          <t>VÄSTERBOTTENS LÄN</t>
        </is>
      </c>
      <c r="E2763" t="inlineStr">
        <is>
          <t>SKELLEFTEÅ</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6720-2024</t>
        </is>
      </c>
      <c r="B2764" s="1" t="n">
        <v>45342</v>
      </c>
      <c r="C2764" s="1" t="n">
        <v>45633</v>
      </c>
      <c r="D2764" t="inlineStr">
        <is>
          <t>VÄSTERBOTTENS LÄN</t>
        </is>
      </c>
      <c r="E2764" t="inlineStr">
        <is>
          <t>SKELLEFTEÅ</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6704-2024</t>
        </is>
      </c>
      <c r="B2765" s="1" t="n">
        <v>45342</v>
      </c>
      <c r="C2765" s="1" t="n">
        <v>45633</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6931-2024</t>
        </is>
      </c>
      <c r="B2766" s="1" t="n">
        <v>45343</v>
      </c>
      <c r="C2766" s="1" t="n">
        <v>45633</v>
      </c>
      <c r="D2766" t="inlineStr">
        <is>
          <t>VÄSTERBOTTENS LÄN</t>
        </is>
      </c>
      <c r="E2766" t="inlineStr">
        <is>
          <t>SKELLEFTEÅ</t>
        </is>
      </c>
      <c r="F2766" t="inlineStr">
        <is>
          <t>Holmen skog AB</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7225-2024</t>
        </is>
      </c>
      <c r="B2767" s="1" t="n">
        <v>45344</v>
      </c>
      <c r="C2767" s="1" t="n">
        <v>45633</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7255-2024</t>
        </is>
      </c>
      <c r="B2768" s="1" t="n">
        <v>45344</v>
      </c>
      <c r="C2768" s="1" t="n">
        <v>45633</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7256-2024</t>
        </is>
      </c>
      <c r="B2769" s="1" t="n">
        <v>45344</v>
      </c>
      <c r="C2769" s="1" t="n">
        <v>45633</v>
      </c>
      <c r="D2769" t="inlineStr">
        <is>
          <t>VÄSTERBOTTENS LÄN</t>
        </is>
      </c>
      <c r="E2769" t="inlineStr">
        <is>
          <t>SKELLEFTEÅ</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7668-2024</t>
        </is>
      </c>
      <c r="B2770" s="1" t="n">
        <v>45348</v>
      </c>
      <c r="C2770" s="1" t="n">
        <v>45633</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7742-2024</t>
        </is>
      </c>
      <c r="B2771" s="1" t="n">
        <v>45348</v>
      </c>
      <c r="C2771" s="1" t="n">
        <v>45633</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7767-2024</t>
        </is>
      </c>
      <c r="B2772" s="1" t="n">
        <v>45348</v>
      </c>
      <c r="C2772" s="1" t="n">
        <v>45633</v>
      </c>
      <c r="D2772" t="inlineStr">
        <is>
          <t>VÄSTERBOTTENS LÄN</t>
        </is>
      </c>
      <c r="E2772" t="inlineStr">
        <is>
          <t>SKELLEFTEÅ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7766-2024</t>
        </is>
      </c>
      <c r="B2773" s="1" t="n">
        <v>45348</v>
      </c>
      <c r="C2773" s="1" t="n">
        <v>45633</v>
      </c>
      <c r="D2773" t="inlineStr">
        <is>
          <t>VÄSTERBOTTENS LÄN</t>
        </is>
      </c>
      <c r="E2773" t="inlineStr">
        <is>
          <t>SKELLEFTEÅ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7745-2024</t>
        </is>
      </c>
      <c r="B2774" s="1" t="n">
        <v>45348</v>
      </c>
      <c r="C2774" s="1" t="n">
        <v>45633</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7800-2024</t>
        </is>
      </c>
      <c r="B2775" s="1" t="n">
        <v>45348</v>
      </c>
      <c r="C2775" s="1" t="n">
        <v>45633</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7832-2024</t>
        </is>
      </c>
      <c r="B2776" s="1" t="n">
        <v>45349</v>
      </c>
      <c r="C2776" s="1" t="n">
        <v>45633</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7872-2024</t>
        </is>
      </c>
      <c r="B2777" s="1" t="n">
        <v>45349</v>
      </c>
      <c r="C2777" s="1" t="n">
        <v>45633</v>
      </c>
      <c r="D2777" t="inlineStr">
        <is>
          <t>VÄSTERBOTTENS LÄN</t>
        </is>
      </c>
      <c r="E2777" t="inlineStr">
        <is>
          <t>SKELLEFTEÅ</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7831-2024</t>
        </is>
      </c>
      <c r="B2778" s="1" t="n">
        <v>45349</v>
      </c>
      <c r="C2778" s="1" t="n">
        <v>45633</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7884-2024</t>
        </is>
      </c>
      <c r="B2779" s="1" t="n">
        <v>45349</v>
      </c>
      <c r="C2779" s="1" t="n">
        <v>45633</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7943-2024</t>
        </is>
      </c>
      <c r="B2780" s="1" t="n">
        <v>45350</v>
      </c>
      <c r="C2780" s="1" t="n">
        <v>45633</v>
      </c>
      <c r="D2780" t="inlineStr">
        <is>
          <t>VÄSTERBOTTENS LÄN</t>
        </is>
      </c>
      <c r="E2780" t="inlineStr">
        <is>
          <t>SKELLEFTEÅ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8532-2024</t>
        </is>
      </c>
      <c r="B2781" s="1" t="n">
        <v>45351</v>
      </c>
      <c r="C2781" s="1" t="n">
        <v>45633</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8341-2024</t>
        </is>
      </c>
      <c r="B2782" s="1" t="n">
        <v>45351</v>
      </c>
      <c r="C2782" s="1" t="n">
        <v>45633</v>
      </c>
      <c r="D2782" t="inlineStr">
        <is>
          <t>VÄSTERBOTTENS LÄN</t>
        </is>
      </c>
      <c r="E2782" t="inlineStr">
        <is>
          <t>SKELLEFTEÅ</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8569-2024</t>
        </is>
      </c>
      <c r="B2783" s="1" t="n">
        <v>45351</v>
      </c>
      <c r="C2783" s="1" t="n">
        <v>45633</v>
      </c>
      <c r="D2783" t="inlineStr">
        <is>
          <t>VÄSTERBOTTENS LÄN</t>
        </is>
      </c>
      <c r="E2783" t="inlineStr">
        <is>
          <t>SKELLEFTEÅ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8566-2024</t>
        </is>
      </c>
      <c r="B2784" s="1" t="n">
        <v>45355</v>
      </c>
      <c r="C2784" s="1" t="n">
        <v>45633</v>
      </c>
      <c r="D2784" t="inlineStr">
        <is>
          <t>VÄSTERBOTTENS LÄN</t>
        </is>
      </c>
      <c r="E2784" t="inlineStr">
        <is>
          <t>SKELLEFTEÅ</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8920-2024</t>
        </is>
      </c>
      <c r="B2785" s="1" t="n">
        <v>45357</v>
      </c>
      <c r="C2785" s="1" t="n">
        <v>45633</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8927-2024</t>
        </is>
      </c>
      <c r="B2786" s="1" t="n">
        <v>45357</v>
      </c>
      <c r="C2786" s="1" t="n">
        <v>45633</v>
      </c>
      <c r="D2786" t="inlineStr">
        <is>
          <t>VÄSTERBOTTENS LÄN</t>
        </is>
      </c>
      <c r="E2786" t="inlineStr">
        <is>
          <t>SKELLEFTEÅ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8924-2024</t>
        </is>
      </c>
      <c r="B2787" s="1" t="n">
        <v>45357</v>
      </c>
      <c r="C2787" s="1" t="n">
        <v>45633</v>
      </c>
      <c r="D2787" t="inlineStr">
        <is>
          <t>VÄSTERBOTTENS LÄN</t>
        </is>
      </c>
      <c r="E2787" t="inlineStr">
        <is>
          <t>SKELLEFTEÅ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8928-2024</t>
        </is>
      </c>
      <c r="B2788" s="1" t="n">
        <v>45357</v>
      </c>
      <c r="C2788" s="1" t="n">
        <v>45633</v>
      </c>
      <c r="D2788" t="inlineStr">
        <is>
          <t>VÄSTERBOTTENS LÄN</t>
        </is>
      </c>
      <c r="E2788" t="inlineStr">
        <is>
          <t>SKELLEFTEÅ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8932-2024</t>
        </is>
      </c>
      <c r="B2789" s="1" t="n">
        <v>45357</v>
      </c>
      <c r="C2789" s="1" t="n">
        <v>45633</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8919-2024</t>
        </is>
      </c>
      <c r="B2790" s="1" t="n">
        <v>45357</v>
      </c>
      <c r="C2790" s="1" t="n">
        <v>45633</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45633</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9228-2024</t>
        </is>
      </c>
      <c r="B2792" s="1" t="n">
        <v>45358</v>
      </c>
      <c r="C2792" s="1" t="n">
        <v>45633</v>
      </c>
      <c r="D2792" t="inlineStr">
        <is>
          <t>VÄSTERBOTTENS LÄN</t>
        </is>
      </c>
      <c r="E2792" t="inlineStr">
        <is>
          <t>SKELLEFTEÅ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9207-2024</t>
        </is>
      </c>
      <c r="B2793" s="1" t="n">
        <v>45358</v>
      </c>
      <c r="C2793" s="1" t="n">
        <v>45633</v>
      </c>
      <c r="D2793" t="inlineStr">
        <is>
          <t>VÄSTERBOTTENS LÄN</t>
        </is>
      </c>
      <c r="E2793" t="inlineStr">
        <is>
          <t>SKELLEFTEÅ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9466-2024</t>
        </is>
      </c>
      <c r="B2794" s="1" t="n">
        <v>45359</v>
      </c>
      <c r="C2794" s="1" t="n">
        <v>45633</v>
      </c>
      <c r="D2794" t="inlineStr">
        <is>
          <t>VÄSTERBOTTENS LÄN</t>
        </is>
      </c>
      <c r="E2794" t="inlineStr">
        <is>
          <t>SKELLEFTEÅ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9364-2024</t>
        </is>
      </c>
      <c r="B2795" s="1" t="n">
        <v>45359</v>
      </c>
      <c r="C2795" s="1" t="n">
        <v>45633</v>
      </c>
      <c r="D2795" t="inlineStr">
        <is>
          <t>VÄSTERBOTTENS LÄN</t>
        </is>
      </c>
      <c r="E2795" t="inlineStr">
        <is>
          <t>SKELLEFTEÅ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9425-2024</t>
        </is>
      </c>
      <c r="B2796" s="1" t="n">
        <v>45359</v>
      </c>
      <c r="C2796" s="1" t="n">
        <v>45633</v>
      </c>
      <c r="D2796" t="inlineStr">
        <is>
          <t>VÄSTERBOTTENS LÄN</t>
        </is>
      </c>
      <c r="E2796" t="inlineStr">
        <is>
          <t>SKELLEFTEÅ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9465-2024</t>
        </is>
      </c>
      <c r="B2797" s="1" t="n">
        <v>45359</v>
      </c>
      <c r="C2797" s="1" t="n">
        <v>45633</v>
      </c>
      <c r="D2797" t="inlineStr">
        <is>
          <t>VÄSTERBOTTENS LÄN</t>
        </is>
      </c>
      <c r="E2797" t="inlineStr">
        <is>
          <t>SKELLEFTEÅ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9470-2024</t>
        </is>
      </c>
      <c r="B2798" s="1" t="n">
        <v>45359</v>
      </c>
      <c r="C2798" s="1" t="n">
        <v>45633</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9717-2024</t>
        </is>
      </c>
      <c r="B2799" s="1" t="n">
        <v>45362</v>
      </c>
      <c r="C2799" s="1" t="n">
        <v>45633</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9711-2024</t>
        </is>
      </c>
      <c r="B2800" s="1" t="n">
        <v>45362</v>
      </c>
      <c r="C2800" s="1" t="n">
        <v>45633</v>
      </c>
      <c r="D2800" t="inlineStr">
        <is>
          <t>VÄSTERBOTTENS LÄN</t>
        </is>
      </c>
      <c r="E2800" t="inlineStr">
        <is>
          <t>SKELLEFTEÅ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9807-2024</t>
        </is>
      </c>
      <c r="B2801" s="1" t="n">
        <v>45362</v>
      </c>
      <c r="C2801" s="1" t="n">
        <v>45633</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9897-2024</t>
        </is>
      </c>
      <c r="B2802" s="1" t="n">
        <v>45363</v>
      </c>
      <c r="C2802" s="1" t="n">
        <v>45633</v>
      </c>
      <c r="D2802" t="inlineStr">
        <is>
          <t>VÄSTERBOTTENS LÄN</t>
        </is>
      </c>
      <c r="E2802" t="inlineStr">
        <is>
          <t>SKELLEFTEÅ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9983-2024</t>
        </is>
      </c>
      <c r="B2803" s="1" t="n">
        <v>45363</v>
      </c>
      <c r="C2803" s="1" t="n">
        <v>45633</v>
      </c>
      <c r="D2803" t="inlineStr">
        <is>
          <t>VÄSTERBOTTENS LÄN</t>
        </is>
      </c>
      <c r="E2803" t="inlineStr">
        <is>
          <t>SKELLEFTEÅ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10340-2024</t>
        </is>
      </c>
      <c r="B2804" s="1" t="n">
        <v>45365</v>
      </c>
      <c r="C2804" s="1" t="n">
        <v>45633</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10250-2024</t>
        </is>
      </c>
      <c r="B2805" s="1" t="n">
        <v>45365</v>
      </c>
      <c r="C2805" s="1" t="n">
        <v>45633</v>
      </c>
      <c r="D2805" t="inlineStr">
        <is>
          <t>VÄSTERBOTTENS LÄN</t>
        </is>
      </c>
      <c r="E2805" t="inlineStr">
        <is>
          <t>SKELLEFTEÅ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10343-2024</t>
        </is>
      </c>
      <c r="B2806" s="1" t="n">
        <v>45365</v>
      </c>
      <c r="C2806" s="1" t="n">
        <v>45633</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10604-2024</t>
        </is>
      </c>
      <c r="B2807" s="1" t="n">
        <v>45366</v>
      </c>
      <c r="C2807" s="1" t="n">
        <v>45633</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10655-2024</t>
        </is>
      </c>
      <c r="B2808" s="1" t="n">
        <v>45368</v>
      </c>
      <c r="C2808" s="1" t="n">
        <v>45633</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10719-2024</t>
        </is>
      </c>
      <c r="B2809" s="1" t="n">
        <v>45369</v>
      </c>
      <c r="C2809" s="1" t="n">
        <v>45633</v>
      </c>
      <c r="D2809" t="inlineStr">
        <is>
          <t>VÄSTERBOTTENS LÄN</t>
        </is>
      </c>
      <c r="E2809" t="inlineStr">
        <is>
          <t>SKELLEFTEÅ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10825-2024</t>
        </is>
      </c>
      <c r="B2810" s="1" t="n">
        <v>45369</v>
      </c>
      <c r="C2810" s="1" t="n">
        <v>45633</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45633</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10659-2024</t>
        </is>
      </c>
      <c r="B2812" s="1" t="n">
        <v>45369</v>
      </c>
      <c r="C2812" s="1" t="n">
        <v>45633</v>
      </c>
      <c r="D2812" t="inlineStr">
        <is>
          <t>VÄSTERBOTTENS LÄN</t>
        </is>
      </c>
      <c r="E2812" t="inlineStr">
        <is>
          <t>SKELLEFTEÅ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10879-2024</t>
        </is>
      </c>
      <c r="B2813" s="1" t="n">
        <v>45370</v>
      </c>
      <c r="C2813" s="1" t="n">
        <v>45633</v>
      </c>
      <c r="D2813" t="inlineStr">
        <is>
          <t>VÄSTERBOTTENS LÄN</t>
        </is>
      </c>
      <c r="E2813" t="inlineStr">
        <is>
          <t>SKELLEFTEÅ</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10883-2024</t>
        </is>
      </c>
      <c r="B2814" s="1" t="n">
        <v>45370</v>
      </c>
      <c r="C2814" s="1" t="n">
        <v>45633</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10893-2024</t>
        </is>
      </c>
      <c r="B2815" s="1" t="n">
        <v>45370</v>
      </c>
      <c r="C2815" s="1" t="n">
        <v>45633</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10886-2024</t>
        </is>
      </c>
      <c r="B2816" s="1" t="n">
        <v>45370</v>
      </c>
      <c r="C2816" s="1" t="n">
        <v>45633</v>
      </c>
      <c r="D2816" t="inlineStr">
        <is>
          <t>VÄSTERBOTTENS LÄN</t>
        </is>
      </c>
      <c r="E2816" t="inlineStr">
        <is>
          <t>SKELLEFTEÅ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10892-2024</t>
        </is>
      </c>
      <c r="B2817" s="1" t="n">
        <v>45370</v>
      </c>
      <c r="C2817" s="1" t="n">
        <v>45633</v>
      </c>
      <c r="D2817" t="inlineStr">
        <is>
          <t>VÄSTERBOTTENS LÄN</t>
        </is>
      </c>
      <c r="E2817" t="inlineStr">
        <is>
          <t>SKELLEFTEÅ</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10900-2024</t>
        </is>
      </c>
      <c r="B2818" s="1" t="n">
        <v>45370</v>
      </c>
      <c r="C2818" s="1" t="n">
        <v>45633</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11027-2024</t>
        </is>
      </c>
      <c r="B2819" s="1" t="n">
        <v>45370</v>
      </c>
      <c r="C2819" s="1" t="n">
        <v>45633</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11025-2024</t>
        </is>
      </c>
      <c r="B2820" s="1" t="n">
        <v>45370</v>
      </c>
      <c r="C2820" s="1" t="n">
        <v>45633</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11082-2024</t>
        </is>
      </c>
      <c r="B2821" s="1" t="n">
        <v>45370</v>
      </c>
      <c r="C2821" s="1" t="n">
        <v>45633</v>
      </c>
      <c r="D2821" t="inlineStr">
        <is>
          <t>VÄSTERBOTTENS LÄN</t>
        </is>
      </c>
      <c r="E2821" t="inlineStr">
        <is>
          <t>SKELLEFTEÅ</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11078-2024</t>
        </is>
      </c>
      <c r="B2822" s="1" t="n">
        <v>45370</v>
      </c>
      <c r="C2822" s="1" t="n">
        <v>45633</v>
      </c>
      <c r="D2822" t="inlineStr">
        <is>
          <t>VÄSTERBOTTENS LÄN</t>
        </is>
      </c>
      <c r="E2822" t="inlineStr">
        <is>
          <t>SKELLEFTEÅ</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10911-2024</t>
        </is>
      </c>
      <c r="B2823" s="1" t="n">
        <v>45370</v>
      </c>
      <c r="C2823" s="1" t="n">
        <v>45633</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11079-2024</t>
        </is>
      </c>
      <c r="B2824" s="1" t="n">
        <v>45370</v>
      </c>
      <c r="C2824" s="1" t="n">
        <v>45633</v>
      </c>
      <c r="D2824" t="inlineStr">
        <is>
          <t>VÄSTERBOTTENS LÄN</t>
        </is>
      </c>
      <c r="E2824" t="inlineStr">
        <is>
          <t>SKELLEFTEÅ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11081-2024</t>
        </is>
      </c>
      <c r="B2825" s="1" t="n">
        <v>45370</v>
      </c>
      <c r="C2825" s="1" t="n">
        <v>45633</v>
      </c>
      <c r="D2825" t="inlineStr">
        <is>
          <t>VÄSTERBOTTENS LÄN</t>
        </is>
      </c>
      <c r="E2825" t="inlineStr">
        <is>
          <t>SKELLEFTEÅ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11076-2024</t>
        </is>
      </c>
      <c r="B2826" s="1" t="n">
        <v>45370</v>
      </c>
      <c r="C2826" s="1" t="n">
        <v>45633</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11077-2024</t>
        </is>
      </c>
      <c r="B2827" s="1" t="n">
        <v>45370</v>
      </c>
      <c r="C2827" s="1" t="n">
        <v>45633</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11130-2024</t>
        </is>
      </c>
      <c r="B2828" s="1" t="n">
        <v>45371</v>
      </c>
      <c r="C2828" s="1" t="n">
        <v>45633</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11313-2024</t>
        </is>
      </c>
      <c r="B2829" s="1" t="n">
        <v>45371</v>
      </c>
      <c r="C2829" s="1" t="n">
        <v>45633</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11490-2024</t>
        </is>
      </c>
      <c r="B2830" s="1" t="n">
        <v>45372</v>
      </c>
      <c r="C2830" s="1" t="n">
        <v>45633</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11527-2024</t>
        </is>
      </c>
      <c r="B2831" s="1" t="n">
        <v>45372</v>
      </c>
      <c r="C2831" s="1" t="n">
        <v>45633</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11528-2024</t>
        </is>
      </c>
      <c r="B2832" s="1" t="n">
        <v>45372</v>
      </c>
      <c r="C2832" s="1" t="n">
        <v>45633</v>
      </c>
      <c r="D2832" t="inlineStr">
        <is>
          <t>VÄSTERBOTTENS LÄN</t>
        </is>
      </c>
      <c r="E2832" t="inlineStr">
        <is>
          <t>SKELLEFTEÅ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11526-2024</t>
        </is>
      </c>
      <c r="B2833" s="1" t="n">
        <v>45372</v>
      </c>
      <c r="C2833" s="1" t="n">
        <v>45633</v>
      </c>
      <c r="D2833" t="inlineStr">
        <is>
          <t>VÄSTERBOTTENS LÄN</t>
        </is>
      </c>
      <c r="E2833" t="inlineStr">
        <is>
          <t>SKELLEFTEÅ</t>
        </is>
      </c>
      <c r="G2833" t="n">
        <v>21.4</v>
      </c>
      <c r="H2833" t="n">
        <v>0</v>
      </c>
      <c r="I2833" t="n">
        <v>0</v>
      </c>
      <c r="J2833" t="n">
        <v>0</v>
      </c>
      <c r="K2833" t="n">
        <v>0</v>
      </c>
      <c r="L2833" t="n">
        <v>0</v>
      </c>
      <c r="M2833" t="n">
        <v>0</v>
      </c>
      <c r="N2833" t="n">
        <v>0</v>
      </c>
      <c r="O2833" t="n">
        <v>0</v>
      </c>
      <c r="P2833" t="n">
        <v>0</v>
      </c>
      <c r="Q2833" t="n">
        <v>0</v>
      </c>
      <c r="R2833" s="2" t="inlineStr"/>
    </row>
    <row r="2834" ht="15" customHeight="1">
      <c r="A2834" t="inlineStr">
        <is>
          <t>A 11525-2024</t>
        </is>
      </c>
      <c r="B2834" s="1" t="n">
        <v>45372</v>
      </c>
      <c r="C2834" s="1" t="n">
        <v>45633</v>
      </c>
      <c r="D2834" t="inlineStr">
        <is>
          <t>VÄSTERBOTTENS LÄN</t>
        </is>
      </c>
      <c r="E2834" t="inlineStr">
        <is>
          <t>SKELLEFTEÅ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11529-2024</t>
        </is>
      </c>
      <c r="B2835" s="1" t="n">
        <v>45372</v>
      </c>
      <c r="C2835" s="1" t="n">
        <v>45633</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11875-2024</t>
        </is>
      </c>
      <c r="B2836" s="1" t="n">
        <v>45376</v>
      </c>
      <c r="C2836" s="1" t="n">
        <v>45633</v>
      </c>
      <c r="D2836" t="inlineStr">
        <is>
          <t>VÄSTERBOTTENS LÄN</t>
        </is>
      </c>
      <c r="E2836" t="inlineStr">
        <is>
          <t>SKELLEFTEÅ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12073-2024</t>
        </is>
      </c>
      <c r="B2837" s="1" t="n">
        <v>45376</v>
      </c>
      <c r="C2837" s="1" t="n">
        <v>45633</v>
      </c>
      <c r="D2837" t="inlineStr">
        <is>
          <t>VÄSTERBOTTENS LÄN</t>
        </is>
      </c>
      <c r="E2837" t="inlineStr">
        <is>
          <t>SKELLEFTEÅ</t>
        </is>
      </c>
      <c r="G2837" t="n">
        <v>41.5</v>
      </c>
      <c r="H2837" t="n">
        <v>0</v>
      </c>
      <c r="I2837" t="n">
        <v>0</v>
      </c>
      <c r="J2837" t="n">
        <v>0</v>
      </c>
      <c r="K2837" t="n">
        <v>0</v>
      </c>
      <c r="L2837" t="n">
        <v>0</v>
      </c>
      <c r="M2837" t="n">
        <v>0</v>
      </c>
      <c r="N2837" t="n">
        <v>0</v>
      </c>
      <c r="O2837" t="n">
        <v>0</v>
      </c>
      <c r="P2837" t="n">
        <v>0</v>
      </c>
      <c r="Q2837" t="n">
        <v>0</v>
      </c>
      <c r="R2837" s="2" t="inlineStr"/>
    </row>
    <row r="2838" ht="15" customHeight="1">
      <c r="A2838" t="inlineStr">
        <is>
          <t>A 12112-2024</t>
        </is>
      </c>
      <c r="B2838" s="1" t="n">
        <v>45376</v>
      </c>
      <c r="C2838" s="1" t="n">
        <v>45633</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12007-2024</t>
        </is>
      </c>
      <c r="B2839" s="1" t="n">
        <v>45377</v>
      </c>
      <c r="C2839" s="1" t="n">
        <v>45633</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12045-2024</t>
        </is>
      </c>
      <c r="B2840" s="1" t="n">
        <v>45377</v>
      </c>
      <c r="C2840" s="1" t="n">
        <v>45633</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12004-2024</t>
        </is>
      </c>
      <c r="B2841" s="1" t="n">
        <v>45377</v>
      </c>
      <c r="C2841" s="1" t="n">
        <v>45633</v>
      </c>
      <c r="D2841" t="inlineStr">
        <is>
          <t>VÄSTERBOTTENS LÄN</t>
        </is>
      </c>
      <c r="E2841" t="inlineStr">
        <is>
          <t>SKELLEFTEÅ</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12537-2024</t>
        </is>
      </c>
      <c r="B2842" s="1" t="n">
        <v>45379</v>
      </c>
      <c r="C2842" s="1" t="n">
        <v>45633</v>
      </c>
      <c r="D2842" t="inlineStr">
        <is>
          <t>VÄSTERBOTTENS LÄN</t>
        </is>
      </c>
      <c r="E2842" t="inlineStr">
        <is>
          <t>SKELLEFTEÅ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12515-2024</t>
        </is>
      </c>
      <c r="B2843" s="1" t="n">
        <v>45379</v>
      </c>
      <c r="C2843" s="1" t="n">
        <v>45633</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12763-2024</t>
        </is>
      </c>
      <c r="B2844" s="1" t="n">
        <v>45384</v>
      </c>
      <c r="C2844" s="1" t="n">
        <v>45633</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12771-2024</t>
        </is>
      </c>
      <c r="B2845" s="1" t="n">
        <v>45384</v>
      </c>
      <c r="C2845" s="1" t="n">
        <v>45633</v>
      </c>
      <c r="D2845" t="inlineStr">
        <is>
          <t>VÄSTERBOTTENS LÄN</t>
        </is>
      </c>
      <c r="E2845" t="inlineStr">
        <is>
          <t>SKELLEFTEÅ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12804-2024</t>
        </is>
      </c>
      <c r="B2846" s="1" t="n">
        <v>45384</v>
      </c>
      <c r="C2846" s="1" t="n">
        <v>45633</v>
      </c>
      <c r="D2846" t="inlineStr">
        <is>
          <t>VÄSTERBOTTENS LÄN</t>
        </is>
      </c>
      <c r="E2846" t="inlineStr">
        <is>
          <t>SKELLEFTEÅ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12798-2024</t>
        </is>
      </c>
      <c r="B2847" s="1" t="n">
        <v>45384</v>
      </c>
      <c r="C2847" s="1" t="n">
        <v>45633</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12759-2024</t>
        </is>
      </c>
      <c r="B2848" s="1" t="n">
        <v>45384</v>
      </c>
      <c r="C2848" s="1" t="n">
        <v>45633</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12772-2024</t>
        </is>
      </c>
      <c r="B2849" s="1" t="n">
        <v>45384</v>
      </c>
      <c r="C2849" s="1" t="n">
        <v>45633</v>
      </c>
      <c r="D2849" t="inlineStr">
        <is>
          <t>VÄSTERBOTTENS LÄN</t>
        </is>
      </c>
      <c r="E2849" t="inlineStr">
        <is>
          <t>SKELLEFTEÅ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12801-2024</t>
        </is>
      </c>
      <c r="B2850" s="1" t="n">
        <v>45384</v>
      </c>
      <c r="C2850" s="1" t="n">
        <v>45633</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13270-2024</t>
        </is>
      </c>
      <c r="B2851" s="1" t="n">
        <v>45386</v>
      </c>
      <c r="C2851" s="1" t="n">
        <v>45633</v>
      </c>
      <c r="D2851" t="inlineStr">
        <is>
          <t>VÄSTERBOTTENS LÄN</t>
        </is>
      </c>
      <c r="E2851" t="inlineStr">
        <is>
          <t>SKELLEFTEÅ</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13267-2024</t>
        </is>
      </c>
      <c r="B2852" s="1" t="n">
        <v>45386</v>
      </c>
      <c r="C2852" s="1" t="n">
        <v>45633</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13257-2024</t>
        </is>
      </c>
      <c r="B2853" s="1" t="n">
        <v>45386</v>
      </c>
      <c r="C2853" s="1" t="n">
        <v>45633</v>
      </c>
      <c r="D2853" t="inlineStr">
        <is>
          <t>VÄSTERBOTTENS LÄN</t>
        </is>
      </c>
      <c r="E2853" t="inlineStr">
        <is>
          <t>SKELLEFTEÅ</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13298-2024</t>
        </is>
      </c>
      <c r="B2854" s="1" t="n">
        <v>45386</v>
      </c>
      <c r="C2854" s="1" t="n">
        <v>45633</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13330-2024</t>
        </is>
      </c>
      <c r="B2855" s="1" t="n">
        <v>45386</v>
      </c>
      <c r="C2855" s="1" t="n">
        <v>45633</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13920-2024</t>
        </is>
      </c>
      <c r="B2856" s="1" t="n">
        <v>45391</v>
      </c>
      <c r="C2856" s="1" t="n">
        <v>45633</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14227-2024</t>
        </is>
      </c>
      <c r="B2857" s="1" t="n">
        <v>45393</v>
      </c>
      <c r="C2857" s="1" t="n">
        <v>45633</v>
      </c>
      <c r="D2857" t="inlineStr">
        <is>
          <t>VÄSTERBOTTENS LÄN</t>
        </is>
      </c>
      <c r="E2857" t="inlineStr">
        <is>
          <t>SKELLEFTEÅ</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14232-2024</t>
        </is>
      </c>
      <c r="B2858" s="1" t="n">
        <v>45393</v>
      </c>
      <c r="C2858" s="1" t="n">
        <v>45633</v>
      </c>
      <c r="D2858" t="inlineStr">
        <is>
          <t>VÄSTERBOTTENS LÄN</t>
        </is>
      </c>
      <c r="E2858" t="inlineStr">
        <is>
          <t>SKELLEFTEÅ</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14342-2024</t>
        </is>
      </c>
      <c r="B2859" s="1" t="n">
        <v>45393</v>
      </c>
      <c r="C2859" s="1" t="n">
        <v>45633</v>
      </c>
      <c r="D2859" t="inlineStr">
        <is>
          <t>VÄSTERBOTTENS LÄN</t>
        </is>
      </c>
      <c r="E2859" t="inlineStr">
        <is>
          <t>SKELLEFTEÅ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14653-2024</t>
        </is>
      </c>
      <c r="B2860" s="1" t="n">
        <v>45397</v>
      </c>
      <c r="C2860" s="1" t="n">
        <v>45633</v>
      </c>
      <c r="D2860" t="inlineStr">
        <is>
          <t>VÄSTERBOTTENS LÄN</t>
        </is>
      </c>
      <c r="E2860" t="inlineStr">
        <is>
          <t>SKELLEFTEÅ</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14663-2024</t>
        </is>
      </c>
      <c r="B2861" s="1" t="n">
        <v>45397</v>
      </c>
      <c r="C2861" s="1" t="n">
        <v>45633</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14650-2024</t>
        </is>
      </c>
      <c r="B2862" s="1" t="n">
        <v>45397</v>
      </c>
      <c r="C2862" s="1" t="n">
        <v>45633</v>
      </c>
      <c r="D2862" t="inlineStr">
        <is>
          <t>VÄSTERBOTTENS LÄN</t>
        </is>
      </c>
      <c r="E2862" t="inlineStr">
        <is>
          <t>SKELLEFTEÅ</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14962-2024</t>
        </is>
      </c>
      <c r="B2863" s="1" t="n">
        <v>45399</v>
      </c>
      <c r="C2863" s="1" t="n">
        <v>45633</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14963-2024</t>
        </is>
      </c>
      <c r="B2864" s="1" t="n">
        <v>45398</v>
      </c>
      <c r="C2864" s="1" t="n">
        <v>45633</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15137-2024</t>
        </is>
      </c>
      <c r="B2865" s="1" t="n">
        <v>45399</v>
      </c>
      <c r="C2865" s="1" t="n">
        <v>45633</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15136-2024</t>
        </is>
      </c>
      <c r="B2866" s="1" t="n">
        <v>45399</v>
      </c>
      <c r="C2866" s="1" t="n">
        <v>45633</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15424-2024</t>
        </is>
      </c>
      <c r="B2867" s="1" t="n">
        <v>45400</v>
      </c>
      <c r="C2867" s="1" t="n">
        <v>45633</v>
      </c>
      <c r="D2867" t="inlineStr">
        <is>
          <t>VÄSTERBOTTENS LÄN</t>
        </is>
      </c>
      <c r="E2867" t="inlineStr">
        <is>
          <t>SKELLEFTEÅ</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15467-2024</t>
        </is>
      </c>
      <c r="B2868" s="1" t="n">
        <v>45400</v>
      </c>
      <c r="C2868" s="1" t="n">
        <v>45633</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15473-2024</t>
        </is>
      </c>
      <c r="B2869" s="1" t="n">
        <v>45400</v>
      </c>
      <c r="C2869" s="1" t="n">
        <v>45633</v>
      </c>
      <c r="D2869" t="inlineStr">
        <is>
          <t>VÄSTERBOTTENS LÄN</t>
        </is>
      </c>
      <c r="E2869" t="inlineStr">
        <is>
          <t>SKELLEFTEÅ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15460-2024</t>
        </is>
      </c>
      <c r="B2870" s="1" t="n">
        <v>45400</v>
      </c>
      <c r="C2870" s="1" t="n">
        <v>45633</v>
      </c>
      <c r="D2870" t="inlineStr">
        <is>
          <t>VÄSTERBOTTENS LÄN</t>
        </is>
      </c>
      <c r="E2870" t="inlineStr">
        <is>
          <t>SKELLEFTEÅ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15625-2024</t>
        </is>
      </c>
      <c r="B2871" s="1" t="n">
        <v>45402</v>
      </c>
      <c r="C2871" s="1" t="n">
        <v>45633</v>
      </c>
      <c r="D2871" t="inlineStr">
        <is>
          <t>VÄSTERBOTTENS LÄN</t>
        </is>
      </c>
      <c r="E2871" t="inlineStr">
        <is>
          <t>SKELLEFTEÅ</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15728-2024</t>
        </is>
      </c>
      <c r="B2872" s="1" t="n">
        <v>45404</v>
      </c>
      <c r="C2872" s="1" t="n">
        <v>45633</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15801-2024</t>
        </is>
      </c>
      <c r="B2873" s="1" t="n">
        <v>45404</v>
      </c>
      <c r="C2873" s="1" t="n">
        <v>45633</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15846-2024</t>
        </is>
      </c>
      <c r="B2874" s="1" t="n">
        <v>45404</v>
      </c>
      <c r="C2874" s="1" t="n">
        <v>45633</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15848-2024</t>
        </is>
      </c>
      <c r="B2875" s="1" t="n">
        <v>45404</v>
      </c>
      <c r="C2875" s="1" t="n">
        <v>45633</v>
      </c>
      <c r="D2875" t="inlineStr">
        <is>
          <t>VÄSTERBOTTENS LÄN</t>
        </is>
      </c>
      <c r="E2875" t="inlineStr">
        <is>
          <t>SKELLEFTEÅ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15856-2024</t>
        </is>
      </c>
      <c r="B2876" s="1" t="n">
        <v>45404</v>
      </c>
      <c r="C2876" s="1" t="n">
        <v>45633</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15855-2024</t>
        </is>
      </c>
      <c r="B2877" s="1" t="n">
        <v>45405</v>
      </c>
      <c r="C2877" s="1" t="n">
        <v>45633</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15927-2024</t>
        </is>
      </c>
      <c r="B2878" s="1" t="n">
        <v>45405</v>
      </c>
      <c r="C2878" s="1" t="n">
        <v>45633</v>
      </c>
      <c r="D2878" t="inlineStr">
        <is>
          <t>VÄSTERBOTTENS LÄN</t>
        </is>
      </c>
      <c r="E2878" t="inlineStr">
        <is>
          <t>SKELLEFTEÅ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16037-2024</t>
        </is>
      </c>
      <c r="B2879" s="1" t="n">
        <v>45405</v>
      </c>
      <c r="C2879" s="1" t="n">
        <v>45633</v>
      </c>
      <c r="D2879" t="inlineStr">
        <is>
          <t>VÄSTERBOTTENS LÄN</t>
        </is>
      </c>
      <c r="E2879" t="inlineStr">
        <is>
          <t>SKELLEFTEÅ</t>
        </is>
      </c>
      <c r="F2879" t="inlineStr">
        <is>
          <t>Holmen skog AB</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16096-2024</t>
        </is>
      </c>
      <c r="B2880" s="1" t="n">
        <v>45406</v>
      </c>
      <c r="C2880" s="1" t="n">
        <v>45633</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16501-2024</t>
        </is>
      </c>
      <c r="B2881" s="1" t="n">
        <v>45408</v>
      </c>
      <c r="C2881" s="1" t="n">
        <v>45633</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16519-2024</t>
        </is>
      </c>
      <c r="B2882" s="1" t="n">
        <v>45408</v>
      </c>
      <c r="C2882" s="1" t="n">
        <v>45633</v>
      </c>
      <c r="D2882" t="inlineStr">
        <is>
          <t>VÄSTERBOTTENS LÄN</t>
        </is>
      </c>
      <c r="E2882" t="inlineStr">
        <is>
          <t>SKELLEFTEÅ</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16711-2024</t>
        </is>
      </c>
      <c r="B2883" s="1" t="n">
        <v>45409</v>
      </c>
      <c r="C2883" s="1" t="n">
        <v>45633</v>
      </c>
      <c r="D2883" t="inlineStr">
        <is>
          <t>VÄSTERBOTTENS LÄN</t>
        </is>
      </c>
      <c r="E2883" t="inlineStr">
        <is>
          <t>SKELLEFTEÅ</t>
        </is>
      </c>
      <c r="F2883" t="inlineStr">
        <is>
          <t>SCA</t>
        </is>
      </c>
      <c r="G2883" t="n">
        <v>30.4</v>
      </c>
      <c r="H2883" t="n">
        <v>0</v>
      </c>
      <c r="I2883" t="n">
        <v>0</v>
      </c>
      <c r="J2883" t="n">
        <v>0</v>
      </c>
      <c r="K2883" t="n">
        <v>0</v>
      </c>
      <c r="L2883" t="n">
        <v>0</v>
      </c>
      <c r="M2883" t="n">
        <v>0</v>
      </c>
      <c r="N2883" t="n">
        <v>0</v>
      </c>
      <c r="O2883" t="n">
        <v>0</v>
      </c>
      <c r="P2883" t="n">
        <v>0</v>
      </c>
      <c r="Q2883" t="n">
        <v>0</v>
      </c>
      <c r="R2883" s="2" t="inlineStr"/>
      <c r="U2883">
        <f>HYPERLINK("https://klasma.github.io/Logging_2482/knärot/A 16711-2024 karta knärot.png", "A 16711-2024")</f>
        <v/>
      </c>
      <c r="V2883">
        <f>HYPERLINK("https://klasma.github.io/Logging_2482/klagomål/A 16711-2024 FSC-klagomål.docx", "A 16711-2024")</f>
        <v/>
      </c>
      <c r="W2883">
        <f>HYPERLINK("https://klasma.github.io/Logging_2482/klagomålsmail/A 16711-2024 FSC-klagomål mail.docx", "A 16711-2024")</f>
        <v/>
      </c>
      <c r="X2883">
        <f>HYPERLINK("https://klasma.github.io/Logging_2482/tillsyn/A 16711-2024 tillsynsbegäran.docx", "A 16711-2024")</f>
        <v/>
      </c>
      <c r="Y2883">
        <f>HYPERLINK("https://klasma.github.io/Logging_2482/tillsynsmail/A 16711-2024 tillsynsbegäran mail.docx", "A 16711-2024")</f>
        <v/>
      </c>
    </row>
    <row r="2884" ht="15" customHeight="1">
      <c r="A2884" t="inlineStr">
        <is>
          <t>A 16959-2024</t>
        </is>
      </c>
      <c r="B2884" s="1" t="n">
        <v>45411</v>
      </c>
      <c r="C2884" s="1" t="n">
        <v>45633</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17005-2024</t>
        </is>
      </c>
      <c r="B2885" s="1" t="n">
        <v>45411</v>
      </c>
      <c r="C2885" s="1" t="n">
        <v>45633</v>
      </c>
      <c r="D2885" t="inlineStr">
        <is>
          <t>VÄSTERBOTTENS LÄN</t>
        </is>
      </c>
      <c r="E2885" t="inlineStr">
        <is>
          <t>SKELLEFTEÅ</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16977-2024</t>
        </is>
      </c>
      <c r="B2886" s="1" t="n">
        <v>45412</v>
      </c>
      <c r="C2886" s="1" t="n">
        <v>45633</v>
      </c>
      <c r="D2886" t="inlineStr">
        <is>
          <t>VÄSTERBOTTENS LÄN</t>
        </is>
      </c>
      <c r="E2886" t="inlineStr">
        <is>
          <t>SKELLEFTEÅ</t>
        </is>
      </c>
      <c r="F2886" t="inlineStr">
        <is>
          <t>SCA</t>
        </is>
      </c>
      <c r="G2886" t="n">
        <v>16.8</v>
      </c>
      <c r="H2886" t="n">
        <v>0</v>
      </c>
      <c r="I2886" t="n">
        <v>0</v>
      </c>
      <c r="J2886" t="n">
        <v>0</v>
      </c>
      <c r="K2886" t="n">
        <v>0</v>
      </c>
      <c r="L2886" t="n">
        <v>0</v>
      </c>
      <c r="M2886" t="n">
        <v>0</v>
      </c>
      <c r="N2886" t="n">
        <v>0</v>
      </c>
      <c r="O2886" t="n">
        <v>0</v>
      </c>
      <c r="P2886" t="n">
        <v>0</v>
      </c>
      <c r="Q2886" t="n">
        <v>0</v>
      </c>
      <c r="R2886" s="2" t="inlineStr"/>
    </row>
    <row r="2887" ht="15" customHeight="1">
      <c r="A2887" t="inlineStr">
        <is>
          <t>A 17509-2024</t>
        </is>
      </c>
      <c r="B2887" s="1" t="n">
        <v>45415</v>
      </c>
      <c r="C2887" s="1" t="n">
        <v>45633</v>
      </c>
      <c r="D2887" t="inlineStr">
        <is>
          <t>VÄSTERBOTTENS LÄN</t>
        </is>
      </c>
      <c r="E2887" t="inlineStr">
        <is>
          <t>SKELLEFTEÅ</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17542-2024</t>
        </is>
      </c>
      <c r="B2888" s="1" t="n">
        <v>45415</v>
      </c>
      <c r="C2888" s="1" t="n">
        <v>45633</v>
      </c>
      <c r="D2888" t="inlineStr">
        <is>
          <t>VÄSTERBOTTENS LÄN</t>
        </is>
      </c>
      <c r="E2888" t="inlineStr">
        <is>
          <t>SKELLEFTEÅ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17550-2024</t>
        </is>
      </c>
      <c r="B2889" s="1" t="n">
        <v>45415</v>
      </c>
      <c r="C2889" s="1" t="n">
        <v>45633</v>
      </c>
      <c r="D2889" t="inlineStr">
        <is>
          <t>VÄSTERBOTTENS LÄN</t>
        </is>
      </c>
      <c r="E2889" t="inlineStr">
        <is>
          <t>SKELLEFTEÅ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17506-2024</t>
        </is>
      </c>
      <c r="B2890" s="1" t="n">
        <v>45415</v>
      </c>
      <c r="C2890" s="1" t="n">
        <v>45633</v>
      </c>
      <c r="D2890" t="inlineStr">
        <is>
          <t>VÄSTERBOTTENS LÄN</t>
        </is>
      </c>
      <c r="E2890" t="inlineStr">
        <is>
          <t>SKELLEFTEÅ</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17568-2024</t>
        </is>
      </c>
      <c r="B2891" s="1" t="n">
        <v>45415</v>
      </c>
      <c r="C2891" s="1" t="n">
        <v>45633</v>
      </c>
      <c r="D2891" t="inlineStr">
        <is>
          <t>VÄSTERBOTTENS LÄN</t>
        </is>
      </c>
      <c r="E2891" t="inlineStr">
        <is>
          <t>SKELLEFTEÅ</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18595-2024</t>
        </is>
      </c>
      <c r="B2892" s="1" t="n">
        <v>45415</v>
      </c>
      <c r="C2892" s="1" t="n">
        <v>45633</v>
      </c>
      <c r="D2892" t="inlineStr">
        <is>
          <t>VÄSTERBOTTENS LÄN</t>
        </is>
      </c>
      <c r="E2892" t="inlineStr">
        <is>
          <t>SKELLEFTEÅ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17751-2024</t>
        </is>
      </c>
      <c r="B2893" s="1" t="n">
        <v>45418</v>
      </c>
      <c r="C2893" s="1" t="n">
        <v>45633</v>
      </c>
      <c r="D2893" t="inlineStr">
        <is>
          <t>VÄSTERBOTTENS LÄN</t>
        </is>
      </c>
      <c r="E2893" t="inlineStr">
        <is>
          <t>SKELLEFTEÅ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17880-2024</t>
        </is>
      </c>
      <c r="B2894" s="1" t="n">
        <v>45419</v>
      </c>
      <c r="C2894" s="1" t="n">
        <v>45633</v>
      </c>
      <c r="D2894" t="inlineStr">
        <is>
          <t>VÄSTERBOTTENS LÄN</t>
        </is>
      </c>
      <c r="E2894" t="inlineStr">
        <is>
          <t>SKELLEFTEÅ</t>
        </is>
      </c>
      <c r="F2894" t="inlineStr">
        <is>
          <t>Kommuner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17884-2024</t>
        </is>
      </c>
      <c r="B2895" s="1" t="n">
        <v>45419</v>
      </c>
      <c r="C2895" s="1" t="n">
        <v>45633</v>
      </c>
      <c r="D2895" t="inlineStr">
        <is>
          <t>VÄSTERBOTTENS LÄN</t>
        </is>
      </c>
      <c r="E2895" t="inlineStr">
        <is>
          <t>SKELLEFTEÅ</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18367-2024</t>
        </is>
      </c>
      <c r="B2896" s="1" t="n">
        <v>45422</v>
      </c>
      <c r="C2896" s="1" t="n">
        <v>45633</v>
      </c>
      <c r="D2896" t="inlineStr">
        <is>
          <t>VÄSTERBOTTENS LÄN</t>
        </is>
      </c>
      <c r="E2896" t="inlineStr">
        <is>
          <t>SKELLEFTEÅ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18368-2024</t>
        </is>
      </c>
      <c r="B2897" s="1" t="n">
        <v>45422</v>
      </c>
      <c r="C2897" s="1" t="n">
        <v>45633</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18578-2024</t>
        </is>
      </c>
      <c r="B2898" s="1" t="n">
        <v>45425</v>
      </c>
      <c r="C2898" s="1" t="n">
        <v>45633</v>
      </c>
      <c r="D2898" t="inlineStr">
        <is>
          <t>VÄSTERBOTTENS LÄN</t>
        </is>
      </c>
      <c r="E2898" t="inlineStr">
        <is>
          <t>SKELLEFTEÅ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18564-2024</t>
        </is>
      </c>
      <c r="B2899" s="1" t="n">
        <v>45425</v>
      </c>
      <c r="C2899" s="1" t="n">
        <v>45633</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18580-2024</t>
        </is>
      </c>
      <c r="B2900" s="1" t="n">
        <v>45425</v>
      </c>
      <c r="C2900" s="1" t="n">
        <v>45633</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18681-2024</t>
        </is>
      </c>
      <c r="B2901" s="1" t="n">
        <v>45426</v>
      </c>
      <c r="C2901" s="1" t="n">
        <v>45633</v>
      </c>
      <c r="D2901" t="inlineStr">
        <is>
          <t>VÄSTERBOTTENS LÄN</t>
        </is>
      </c>
      <c r="E2901" t="inlineStr">
        <is>
          <t>SKELLEFTEÅ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18979-2024</t>
        </is>
      </c>
      <c r="B2902" s="1" t="n">
        <v>45427</v>
      </c>
      <c r="C2902" s="1" t="n">
        <v>45633</v>
      </c>
      <c r="D2902" t="inlineStr">
        <is>
          <t>VÄSTERBOTTENS LÄN</t>
        </is>
      </c>
      <c r="E2902" t="inlineStr">
        <is>
          <t>SKELLEFTEÅ</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19405-2024</t>
        </is>
      </c>
      <c r="B2903" s="1" t="n">
        <v>45428</v>
      </c>
      <c r="C2903" s="1" t="n">
        <v>45633</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19582-2024</t>
        </is>
      </c>
      <c r="B2904" s="1" t="n">
        <v>45430</v>
      </c>
      <c r="C2904" s="1" t="n">
        <v>45633</v>
      </c>
      <c r="D2904" t="inlineStr">
        <is>
          <t>VÄSTERBOTTENS LÄN</t>
        </is>
      </c>
      <c r="E2904" t="inlineStr">
        <is>
          <t>SKELLEFTEÅ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19576-2024</t>
        </is>
      </c>
      <c r="B2905" s="1" t="n">
        <v>45430</v>
      </c>
      <c r="C2905" s="1" t="n">
        <v>45633</v>
      </c>
      <c r="D2905" t="inlineStr">
        <is>
          <t>VÄSTERBOTTENS LÄN</t>
        </is>
      </c>
      <c r="E2905" t="inlineStr">
        <is>
          <t>SKELLEFTEÅ</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19782-2024</t>
        </is>
      </c>
      <c r="B2906" s="1" t="n">
        <v>45432</v>
      </c>
      <c r="C2906" s="1" t="n">
        <v>45633</v>
      </c>
      <c r="D2906" t="inlineStr">
        <is>
          <t>VÄSTERBOTTENS LÄN</t>
        </is>
      </c>
      <c r="E2906" t="inlineStr">
        <is>
          <t>SKELLEFTEÅ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19784-2024</t>
        </is>
      </c>
      <c r="B2907" s="1" t="n">
        <v>45432</v>
      </c>
      <c r="C2907" s="1" t="n">
        <v>45633</v>
      </c>
      <c r="D2907" t="inlineStr">
        <is>
          <t>VÄSTERBOTTENS LÄN</t>
        </is>
      </c>
      <c r="E2907" t="inlineStr">
        <is>
          <t>SKELLEFTEÅ</t>
        </is>
      </c>
      <c r="F2907" t="inlineStr">
        <is>
          <t>Sveaskog</t>
        </is>
      </c>
      <c r="G2907" t="n">
        <v>16.7</v>
      </c>
      <c r="H2907" t="n">
        <v>0</v>
      </c>
      <c r="I2907" t="n">
        <v>0</v>
      </c>
      <c r="J2907" t="n">
        <v>0</v>
      </c>
      <c r="K2907" t="n">
        <v>0</v>
      </c>
      <c r="L2907" t="n">
        <v>0</v>
      </c>
      <c r="M2907" t="n">
        <v>0</v>
      </c>
      <c r="N2907" t="n">
        <v>0</v>
      </c>
      <c r="O2907" t="n">
        <v>0</v>
      </c>
      <c r="P2907" t="n">
        <v>0</v>
      </c>
      <c r="Q2907" t="n">
        <v>0</v>
      </c>
      <c r="R2907" s="2" t="inlineStr"/>
    </row>
    <row r="2908" ht="15" customHeight="1">
      <c r="A2908" t="inlineStr">
        <is>
          <t>A 19801-2024</t>
        </is>
      </c>
      <c r="B2908" s="1" t="n">
        <v>45432</v>
      </c>
      <c r="C2908" s="1" t="n">
        <v>45633</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19808-2024</t>
        </is>
      </c>
      <c r="B2909" s="1" t="n">
        <v>45432</v>
      </c>
      <c r="C2909" s="1" t="n">
        <v>45633</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19809-2024</t>
        </is>
      </c>
      <c r="B2910" s="1" t="n">
        <v>45432</v>
      </c>
      <c r="C2910" s="1" t="n">
        <v>45633</v>
      </c>
      <c r="D2910" t="inlineStr">
        <is>
          <t>VÄSTERBOTTENS LÄN</t>
        </is>
      </c>
      <c r="E2910" t="inlineStr">
        <is>
          <t>SKELLEFTEÅ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19839-2024</t>
        </is>
      </c>
      <c r="B2911" s="1" t="n">
        <v>45433</v>
      </c>
      <c r="C2911" s="1" t="n">
        <v>45633</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19905-2024</t>
        </is>
      </c>
      <c r="B2912" s="1" t="n">
        <v>45433</v>
      </c>
      <c r="C2912" s="1" t="n">
        <v>45633</v>
      </c>
      <c r="D2912" t="inlineStr">
        <is>
          <t>VÄSTERBOTTENS LÄN</t>
        </is>
      </c>
      <c r="E2912" t="inlineStr">
        <is>
          <t>SKELLEFTEÅ</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19957-2024</t>
        </is>
      </c>
      <c r="B2913" s="1" t="n">
        <v>45433</v>
      </c>
      <c r="C2913" s="1" t="n">
        <v>45633</v>
      </c>
      <c r="D2913" t="inlineStr">
        <is>
          <t>VÄSTERBOTTENS LÄN</t>
        </is>
      </c>
      <c r="E2913" t="inlineStr">
        <is>
          <t>SKELLEFTEÅ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19975-2024</t>
        </is>
      </c>
      <c r="B2914" s="1" t="n">
        <v>45433</v>
      </c>
      <c r="C2914" s="1" t="n">
        <v>45633</v>
      </c>
      <c r="D2914" t="inlineStr">
        <is>
          <t>VÄSTERBOTTENS LÄN</t>
        </is>
      </c>
      <c r="E2914" t="inlineStr">
        <is>
          <t>SKELLEFTEÅ</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20153-2024</t>
        </is>
      </c>
      <c r="B2915" s="1" t="n">
        <v>45434</v>
      </c>
      <c r="C2915" s="1" t="n">
        <v>45633</v>
      </c>
      <c r="D2915" t="inlineStr">
        <is>
          <t>VÄSTERBOTTENS LÄN</t>
        </is>
      </c>
      <c r="E2915" t="inlineStr">
        <is>
          <t>SKELLEFTEÅ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20205-2024</t>
        </is>
      </c>
      <c r="B2916" s="1" t="n">
        <v>45434</v>
      </c>
      <c r="C2916" s="1" t="n">
        <v>45633</v>
      </c>
      <c r="D2916" t="inlineStr">
        <is>
          <t>VÄSTERBOTTENS LÄN</t>
        </is>
      </c>
      <c r="E2916" t="inlineStr">
        <is>
          <t>SKELLEFTEÅ</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20209-2024</t>
        </is>
      </c>
      <c r="B2917" s="1" t="n">
        <v>45434</v>
      </c>
      <c r="C2917" s="1" t="n">
        <v>45633</v>
      </c>
      <c r="D2917" t="inlineStr">
        <is>
          <t>VÄSTERBOTTENS LÄN</t>
        </is>
      </c>
      <c r="E2917" t="inlineStr">
        <is>
          <t>SKELLEFTEÅ</t>
        </is>
      </c>
      <c r="F2917" t="inlineStr">
        <is>
          <t>Holmen skog AB</t>
        </is>
      </c>
      <c r="G2917" t="n">
        <v>22.1</v>
      </c>
      <c r="H2917" t="n">
        <v>0</v>
      </c>
      <c r="I2917" t="n">
        <v>0</v>
      </c>
      <c r="J2917" t="n">
        <v>0</v>
      </c>
      <c r="K2917" t="n">
        <v>0</v>
      </c>
      <c r="L2917" t="n">
        <v>0</v>
      </c>
      <c r="M2917" t="n">
        <v>0</v>
      </c>
      <c r="N2917" t="n">
        <v>0</v>
      </c>
      <c r="O2917" t="n">
        <v>0</v>
      </c>
      <c r="P2917" t="n">
        <v>0</v>
      </c>
      <c r="Q2917" t="n">
        <v>0</v>
      </c>
      <c r="R2917" s="2" t="inlineStr"/>
    </row>
    <row r="2918" ht="15" customHeight="1">
      <c r="A2918" t="inlineStr">
        <is>
          <t>A 20320-2024</t>
        </is>
      </c>
      <c r="B2918" s="1" t="n">
        <v>45435</v>
      </c>
      <c r="C2918" s="1" t="n">
        <v>45633</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20454-2024</t>
        </is>
      </c>
      <c r="B2919" s="1" t="n">
        <v>45435</v>
      </c>
      <c r="C2919" s="1" t="n">
        <v>45633</v>
      </c>
      <c r="D2919" t="inlineStr">
        <is>
          <t>VÄSTERBOTTENS LÄN</t>
        </is>
      </c>
      <c r="E2919" t="inlineStr">
        <is>
          <t>SKELLEFTEÅ</t>
        </is>
      </c>
      <c r="F2919" t="inlineStr">
        <is>
          <t>Holmen skog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20498-2024</t>
        </is>
      </c>
      <c r="B2920" s="1" t="n">
        <v>45435</v>
      </c>
      <c r="C2920" s="1" t="n">
        <v>45633</v>
      </c>
      <c r="D2920" t="inlineStr">
        <is>
          <t>VÄSTERBOTTENS LÄN</t>
        </is>
      </c>
      <c r="E2920" t="inlineStr">
        <is>
          <t>SKELLEFTEÅ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20429-2024</t>
        </is>
      </c>
      <c r="B2921" s="1" t="n">
        <v>45435</v>
      </c>
      <c r="C2921" s="1" t="n">
        <v>45633</v>
      </c>
      <c r="D2921" t="inlineStr">
        <is>
          <t>VÄSTERBOTTENS LÄN</t>
        </is>
      </c>
      <c r="E2921" t="inlineStr">
        <is>
          <t>SKELLEFTEÅ</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20497-2024</t>
        </is>
      </c>
      <c r="B2922" s="1" t="n">
        <v>45435</v>
      </c>
      <c r="C2922" s="1" t="n">
        <v>45633</v>
      </c>
      <c r="D2922" t="inlineStr">
        <is>
          <t>VÄSTERBOTTENS LÄN</t>
        </is>
      </c>
      <c r="E2922" t="inlineStr">
        <is>
          <t>SKELLEFTEÅ</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20448-2024</t>
        </is>
      </c>
      <c r="B2923" s="1" t="n">
        <v>45435</v>
      </c>
      <c r="C2923" s="1" t="n">
        <v>45633</v>
      </c>
      <c r="D2923" t="inlineStr">
        <is>
          <t>VÄSTERBOTTENS LÄN</t>
        </is>
      </c>
      <c r="E2923" t="inlineStr">
        <is>
          <t>SKELLEFTEÅ</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20500-2024</t>
        </is>
      </c>
      <c r="B2924" s="1" t="n">
        <v>45436</v>
      </c>
      <c r="C2924" s="1" t="n">
        <v>45633</v>
      </c>
      <c r="D2924" t="inlineStr">
        <is>
          <t>VÄSTERBOTTENS LÄN</t>
        </is>
      </c>
      <c r="E2924" t="inlineStr">
        <is>
          <t>SKELLEFTEÅ</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20479-2024</t>
        </is>
      </c>
      <c r="B2925" s="1" t="n">
        <v>45435</v>
      </c>
      <c r="C2925" s="1" t="n">
        <v>45633</v>
      </c>
      <c r="D2925" t="inlineStr">
        <is>
          <t>VÄSTERBOTTENS LÄN</t>
        </is>
      </c>
      <c r="E2925" t="inlineStr">
        <is>
          <t>SKELLEFTEÅ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20499-2024</t>
        </is>
      </c>
      <c r="B2926" s="1" t="n">
        <v>45435</v>
      </c>
      <c r="C2926" s="1" t="n">
        <v>45633</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20592-2024</t>
        </is>
      </c>
      <c r="B2927" s="1" t="n">
        <v>45436</v>
      </c>
      <c r="C2927" s="1" t="n">
        <v>45633</v>
      </c>
      <c r="D2927" t="inlineStr">
        <is>
          <t>VÄSTERBOTTENS LÄN</t>
        </is>
      </c>
      <c r="E2927" t="inlineStr">
        <is>
          <t>SKELLEFTEÅ</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20596-2024</t>
        </is>
      </c>
      <c r="B2928" s="1" t="n">
        <v>45436</v>
      </c>
      <c r="C2928" s="1" t="n">
        <v>45633</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20723-2024</t>
        </is>
      </c>
      <c r="B2929" s="1" t="n">
        <v>45436</v>
      </c>
      <c r="C2929" s="1" t="n">
        <v>45633</v>
      </c>
      <c r="D2929" t="inlineStr">
        <is>
          <t>VÄSTERBOTTENS LÄN</t>
        </is>
      </c>
      <c r="E2929" t="inlineStr">
        <is>
          <t>SKELLEFTEÅ</t>
        </is>
      </c>
      <c r="F2929" t="inlineStr">
        <is>
          <t>Holmen skog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20637-2024</t>
        </is>
      </c>
      <c r="B2930" s="1" t="n">
        <v>45436</v>
      </c>
      <c r="C2930" s="1" t="n">
        <v>45633</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20559-2024</t>
        </is>
      </c>
      <c r="B2931" s="1" t="n">
        <v>45436</v>
      </c>
      <c r="C2931" s="1" t="n">
        <v>45633</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20900-2024</t>
        </is>
      </c>
      <c r="B2932" s="1" t="n">
        <v>45439</v>
      </c>
      <c r="C2932" s="1" t="n">
        <v>45633</v>
      </c>
      <c r="D2932" t="inlineStr">
        <is>
          <t>VÄSTERBOTTENS LÄN</t>
        </is>
      </c>
      <c r="E2932" t="inlineStr">
        <is>
          <t>SKELLEFTEÅ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21078-2024</t>
        </is>
      </c>
      <c r="B2933" s="1" t="n">
        <v>45440</v>
      </c>
      <c r="C2933" s="1" t="n">
        <v>45633</v>
      </c>
      <c r="D2933" t="inlineStr">
        <is>
          <t>VÄSTERBOTTENS LÄN</t>
        </is>
      </c>
      <c r="E2933" t="inlineStr">
        <is>
          <t>SKELLEFTEÅ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21057-2024</t>
        </is>
      </c>
      <c r="B2934" s="1" t="n">
        <v>45439</v>
      </c>
      <c r="C2934" s="1" t="n">
        <v>45633</v>
      </c>
      <c r="D2934" t="inlineStr">
        <is>
          <t>VÄSTERBOTTENS LÄN</t>
        </is>
      </c>
      <c r="E2934" t="inlineStr">
        <is>
          <t>SKELLEFTEÅ</t>
        </is>
      </c>
      <c r="F2934" t="inlineStr">
        <is>
          <t>Sveaskog</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21076-2024</t>
        </is>
      </c>
      <c r="B2935" s="1" t="n">
        <v>45440</v>
      </c>
      <c r="C2935" s="1" t="n">
        <v>45633</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20924-2024</t>
        </is>
      </c>
      <c r="B2936" s="1" t="n">
        <v>45439</v>
      </c>
      <c r="C2936" s="1" t="n">
        <v>45633</v>
      </c>
      <c r="D2936" t="inlineStr">
        <is>
          <t>VÄSTERBOTTENS LÄN</t>
        </is>
      </c>
      <c r="E2936" t="inlineStr">
        <is>
          <t>SKELLEFTEÅ</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21077-2024</t>
        </is>
      </c>
      <c r="B2937" s="1" t="n">
        <v>45440</v>
      </c>
      <c r="C2937" s="1" t="n">
        <v>45633</v>
      </c>
      <c r="D2937" t="inlineStr">
        <is>
          <t>VÄSTERBOTTENS LÄN</t>
        </is>
      </c>
      <c r="E2937" t="inlineStr">
        <is>
          <t>SKELLEFTEÅ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21152-2024</t>
        </is>
      </c>
      <c r="B2938" s="1" t="n">
        <v>45440</v>
      </c>
      <c r="C2938" s="1" t="n">
        <v>45633</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21146-2024</t>
        </is>
      </c>
      <c r="B2939" s="1" t="n">
        <v>45440</v>
      </c>
      <c r="C2939" s="1" t="n">
        <v>45633</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21426-2024</t>
        </is>
      </c>
      <c r="B2940" s="1" t="n">
        <v>45441</v>
      </c>
      <c r="C2940" s="1" t="n">
        <v>45633</v>
      </c>
      <c r="D2940" t="inlineStr">
        <is>
          <t>VÄSTERBOTTENS LÄN</t>
        </is>
      </c>
      <c r="E2940" t="inlineStr">
        <is>
          <t>SKELLEFTEÅ</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21438-2024</t>
        </is>
      </c>
      <c r="B2941" s="1" t="n">
        <v>45441</v>
      </c>
      <c r="C2941" s="1" t="n">
        <v>45633</v>
      </c>
      <c r="D2941" t="inlineStr">
        <is>
          <t>VÄSTERBOTTENS LÄN</t>
        </is>
      </c>
      <c r="E2941" t="inlineStr">
        <is>
          <t>SKELLEFTEÅ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21495-2024</t>
        </is>
      </c>
      <c r="B2942" s="1" t="n">
        <v>45441</v>
      </c>
      <c r="C2942" s="1" t="n">
        <v>45633</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21593-2024</t>
        </is>
      </c>
      <c r="B2943" s="1" t="n">
        <v>45441</v>
      </c>
      <c r="C2943" s="1" t="n">
        <v>45633</v>
      </c>
      <c r="D2943" t="inlineStr">
        <is>
          <t>VÄSTERBOTTENS LÄN</t>
        </is>
      </c>
      <c r="E2943" t="inlineStr">
        <is>
          <t>SKELLEFTEÅ</t>
        </is>
      </c>
      <c r="F2943" t="inlineStr">
        <is>
          <t>Sveaskog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21730-2024</t>
        </is>
      </c>
      <c r="B2944" s="1" t="n">
        <v>45442</v>
      </c>
      <c r="C2944" s="1" t="n">
        <v>45633</v>
      </c>
      <c r="D2944" t="inlineStr">
        <is>
          <t>VÄSTERBOTTENS LÄN</t>
        </is>
      </c>
      <c r="E2944" t="inlineStr">
        <is>
          <t>SKELLEFTEÅ</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21737-2024</t>
        </is>
      </c>
      <c r="B2945" s="1" t="n">
        <v>45442</v>
      </c>
      <c r="C2945" s="1" t="n">
        <v>45633</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21765-2024</t>
        </is>
      </c>
      <c r="B2946" s="1" t="n">
        <v>45442</v>
      </c>
      <c r="C2946" s="1" t="n">
        <v>45633</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21785-2024</t>
        </is>
      </c>
      <c r="B2947" s="1" t="n">
        <v>45442</v>
      </c>
      <c r="C2947" s="1" t="n">
        <v>45633</v>
      </c>
      <c r="D2947" t="inlineStr">
        <is>
          <t>VÄSTERBOTTENS LÄN</t>
        </is>
      </c>
      <c r="E2947" t="inlineStr">
        <is>
          <t>SKELLEFTEÅ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21812-2024</t>
        </is>
      </c>
      <c r="B2948" s="1" t="n">
        <v>45442</v>
      </c>
      <c r="C2948" s="1" t="n">
        <v>45633</v>
      </c>
      <c r="D2948" t="inlineStr">
        <is>
          <t>VÄSTERBOTTENS LÄN</t>
        </is>
      </c>
      <c r="E2948" t="inlineStr">
        <is>
          <t>SKELLEFTEÅ</t>
        </is>
      </c>
      <c r="F2948" t="inlineStr">
        <is>
          <t>Holmen skog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21854-2024</t>
        </is>
      </c>
      <c r="B2949" s="1" t="n">
        <v>45442</v>
      </c>
      <c r="C2949" s="1" t="n">
        <v>45633</v>
      </c>
      <c r="D2949" t="inlineStr">
        <is>
          <t>VÄSTERBOTTENS LÄN</t>
        </is>
      </c>
      <c r="E2949" t="inlineStr">
        <is>
          <t>SKELLEFTEÅ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21836-2024</t>
        </is>
      </c>
      <c r="B2950" s="1" t="n">
        <v>45443</v>
      </c>
      <c r="C2950" s="1" t="n">
        <v>45633</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22044-2024</t>
        </is>
      </c>
      <c r="B2951" s="1" t="n">
        <v>45443</v>
      </c>
      <c r="C2951" s="1" t="n">
        <v>45633</v>
      </c>
      <c r="D2951" t="inlineStr">
        <is>
          <t>VÄSTERBOTTENS LÄN</t>
        </is>
      </c>
      <c r="E2951" t="inlineStr">
        <is>
          <t>SKELLEFTEÅ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22014-2024</t>
        </is>
      </c>
      <c r="B2952" s="1" t="n">
        <v>45443</v>
      </c>
      <c r="C2952" s="1" t="n">
        <v>45633</v>
      </c>
      <c r="D2952" t="inlineStr">
        <is>
          <t>VÄSTERBOTTENS LÄN</t>
        </is>
      </c>
      <c r="E2952" t="inlineStr">
        <is>
          <t>SKELLEFTEÅ</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22072-2024</t>
        </is>
      </c>
      <c r="B2953" s="1" t="n">
        <v>45443</v>
      </c>
      <c r="C2953" s="1" t="n">
        <v>45633</v>
      </c>
      <c r="D2953" t="inlineStr">
        <is>
          <t>VÄSTERBOTTENS LÄN</t>
        </is>
      </c>
      <c r="E2953" t="inlineStr">
        <is>
          <t>SKELLEFTEÅ</t>
        </is>
      </c>
      <c r="F2953" t="inlineStr">
        <is>
          <t>Holmen skog AB</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22136-2024</t>
        </is>
      </c>
      <c r="B2954" s="1" t="n">
        <v>45444</v>
      </c>
      <c r="C2954" s="1" t="n">
        <v>45633</v>
      </c>
      <c r="D2954" t="inlineStr">
        <is>
          <t>VÄSTERBOTTENS LÄN</t>
        </is>
      </c>
      <c r="E2954" t="inlineStr">
        <is>
          <t>SKELLEFTEÅ</t>
        </is>
      </c>
      <c r="F2954" t="inlineStr">
        <is>
          <t>Sveaskog</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22219-2024</t>
        </is>
      </c>
      <c r="B2955" s="1" t="n">
        <v>45446</v>
      </c>
      <c r="C2955" s="1" t="n">
        <v>45633</v>
      </c>
      <c r="D2955" t="inlineStr">
        <is>
          <t>VÄSTERBOTTENS LÄN</t>
        </is>
      </c>
      <c r="E2955" t="inlineStr">
        <is>
          <t>SKELLEFTEÅ</t>
        </is>
      </c>
      <c r="G2955" t="n">
        <v>14.9</v>
      </c>
      <c r="H2955" t="n">
        <v>0</v>
      </c>
      <c r="I2955" t="n">
        <v>0</v>
      </c>
      <c r="J2955" t="n">
        <v>0</v>
      </c>
      <c r="K2955" t="n">
        <v>0</v>
      </c>
      <c r="L2955" t="n">
        <v>0</v>
      </c>
      <c r="M2955" t="n">
        <v>0</v>
      </c>
      <c r="N2955" t="n">
        <v>0</v>
      </c>
      <c r="O2955" t="n">
        <v>0</v>
      </c>
      <c r="P2955" t="n">
        <v>0</v>
      </c>
      <c r="Q2955" t="n">
        <v>0</v>
      </c>
      <c r="R2955" s="2" t="inlineStr"/>
    </row>
    <row r="2956" ht="15" customHeight="1">
      <c r="A2956" t="inlineStr">
        <is>
          <t>A 22395-2024</t>
        </is>
      </c>
      <c r="B2956" s="1" t="n">
        <v>45446</v>
      </c>
      <c r="C2956" s="1" t="n">
        <v>45633</v>
      </c>
      <c r="D2956" t="inlineStr">
        <is>
          <t>VÄSTERBOTTENS LÄN</t>
        </is>
      </c>
      <c r="E2956" t="inlineStr">
        <is>
          <t>SKELLEFTEÅ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22199-2024</t>
        </is>
      </c>
      <c r="B2957" s="1" t="n">
        <v>45446</v>
      </c>
      <c r="C2957" s="1" t="n">
        <v>45633</v>
      </c>
      <c r="D2957" t="inlineStr">
        <is>
          <t>VÄSTERBOTTENS LÄN</t>
        </is>
      </c>
      <c r="E2957" t="inlineStr">
        <is>
          <t>SKELLEFTEÅ</t>
        </is>
      </c>
      <c r="F2957" t="inlineStr">
        <is>
          <t>Sveaskog</t>
        </is>
      </c>
      <c r="G2957" t="n">
        <v>40.5</v>
      </c>
      <c r="H2957" t="n">
        <v>0</v>
      </c>
      <c r="I2957" t="n">
        <v>0</v>
      </c>
      <c r="J2957" t="n">
        <v>0</v>
      </c>
      <c r="K2957" t="n">
        <v>0</v>
      </c>
      <c r="L2957" t="n">
        <v>0</v>
      </c>
      <c r="M2957" t="n">
        <v>0</v>
      </c>
      <c r="N2957" t="n">
        <v>0</v>
      </c>
      <c r="O2957" t="n">
        <v>0</v>
      </c>
      <c r="P2957" t="n">
        <v>0</v>
      </c>
      <c r="Q2957" t="n">
        <v>0</v>
      </c>
      <c r="R2957" s="2" t="inlineStr"/>
    </row>
    <row r="2958" ht="15" customHeight="1">
      <c r="A2958" t="inlineStr">
        <is>
          <t>A 22203-2024</t>
        </is>
      </c>
      <c r="B2958" s="1" t="n">
        <v>45446</v>
      </c>
      <c r="C2958" s="1" t="n">
        <v>45633</v>
      </c>
      <c r="D2958" t="inlineStr">
        <is>
          <t>VÄSTERBOTTENS LÄN</t>
        </is>
      </c>
      <c r="E2958" t="inlineStr">
        <is>
          <t>SKELLEFTEÅ</t>
        </is>
      </c>
      <c r="F2958" t="inlineStr">
        <is>
          <t>Sveaskog</t>
        </is>
      </c>
      <c r="G2958" t="n">
        <v>48.1</v>
      </c>
      <c r="H2958" t="n">
        <v>0</v>
      </c>
      <c r="I2958" t="n">
        <v>0</v>
      </c>
      <c r="J2958" t="n">
        <v>0</v>
      </c>
      <c r="K2958" t="n">
        <v>0</v>
      </c>
      <c r="L2958" t="n">
        <v>0</v>
      </c>
      <c r="M2958" t="n">
        <v>0</v>
      </c>
      <c r="N2958" t="n">
        <v>0</v>
      </c>
      <c r="O2958" t="n">
        <v>0</v>
      </c>
      <c r="P2958" t="n">
        <v>0</v>
      </c>
      <c r="Q2958" t="n">
        <v>0</v>
      </c>
      <c r="R2958" s="2" t="inlineStr"/>
    </row>
    <row r="2959" ht="15" customHeight="1">
      <c r="A2959" t="inlineStr">
        <is>
          <t>A 22205-2024</t>
        </is>
      </c>
      <c r="B2959" s="1" t="n">
        <v>45446</v>
      </c>
      <c r="C2959" s="1" t="n">
        <v>45633</v>
      </c>
      <c r="D2959" t="inlineStr">
        <is>
          <t>VÄSTERBOTTENS LÄN</t>
        </is>
      </c>
      <c r="E2959" t="inlineStr">
        <is>
          <t>SKELLEFTEÅ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22654-2024</t>
        </is>
      </c>
      <c r="B2960" s="1" t="n">
        <v>45447</v>
      </c>
      <c r="C2960" s="1" t="n">
        <v>45633</v>
      </c>
      <c r="D2960" t="inlineStr">
        <is>
          <t>VÄSTERBOTTENS LÄN</t>
        </is>
      </c>
      <c r="E2960" t="inlineStr">
        <is>
          <t>SKELLEFTEÅ</t>
        </is>
      </c>
      <c r="F2960" t="inlineStr">
        <is>
          <t>Sveaskog</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22609-2024</t>
        </is>
      </c>
      <c r="B2961" s="1" t="n">
        <v>45447</v>
      </c>
      <c r="C2961" s="1" t="n">
        <v>45633</v>
      </c>
      <c r="D2961" t="inlineStr">
        <is>
          <t>VÄSTERBOTTENS LÄN</t>
        </is>
      </c>
      <c r="E2961" t="inlineStr">
        <is>
          <t>SKELLEFTEÅ</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22921-2024</t>
        </is>
      </c>
      <c r="B2962" s="1" t="n">
        <v>45448</v>
      </c>
      <c r="C2962" s="1" t="n">
        <v>45633</v>
      </c>
      <c r="D2962" t="inlineStr">
        <is>
          <t>VÄSTERBOTTENS LÄN</t>
        </is>
      </c>
      <c r="E2962" t="inlineStr">
        <is>
          <t>SKELLEFTEÅ</t>
        </is>
      </c>
      <c r="F2962" t="inlineStr">
        <is>
          <t>Sveaskog</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22796-2024</t>
        </is>
      </c>
      <c r="B2963" s="1" t="n">
        <v>45448</v>
      </c>
      <c r="C2963" s="1" t="n">
        <v>45633</v>
      </c>
      <c r="D2963" t="inlineStr">
        <is>
          <t>VÄSTERBOTTENS LÄN</t>
        </is>
      </c>
      <c r="E2963" t="inlineStr">
        <is>
          <t>SKELLEFTEÅ</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22859-2024</t>
        </is>
      </c>
      <c r="B2964" s="1" t="n">
        <v>45448</v>
      </c>
      <c r="C2964" s="1" t="n">
        <v>45633</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23059-2024</t>
        </is>
      </c>
      <c r="B2965" s="1" t="n">
        <v>45450</v>
      </c>
      <c r="C2965" s="1" t="n">
        <v>45633</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23135-2024</t>
        </is>
      </c>
      <c r="B2966" s="1" t="n">
        <v>45450</v>
      </c>
      <c r="C2966" s="1" t="n">
        <v>45633</v>
      </c>
      <c r="D2966" t="inlineStr">
        <is>
          <t>VÄSTERBOTTENS LÄN</t>
        </is>
      </c>
      <c r="E2966" t="inlineStr">
        <is>
          <t>SKELLEFTEÅ</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23164-2024</t>
        </is>
      </c>
      <c r="B2967" s="1" t="n">
        <v>45450</v>
      </c>
      <c r="C2967" s="1" t="n">
        <v>45633</v>
      </c>
      <c r="D2967" t="inlineStr">
        <is>
          <t>VÄSTERBOTTENS LÄN</t>
        </is>
      </c>
      <c r="E2967" t="inlineStr">
        <is>
          <t>SKELLEFTEÅ</t>
        </is>
      </c>
      <c r="F2967" t="inlineStr">
        <is>
          <t>Sveaskog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23168-2024</t>
        </is>
      </c>
      <c r="B2968" s="1" t="n">
        <v>45450</v>
      </c>
      <c r="C2968" s="1" t="n">
        <v>45633</v>
      </c>
      <c r="D2968" t="inlineStr">
        <is>
          <t>VÄSTERBOTTENS LÄN</t>
        </is>
      </c>
      <c r="E2968" t="inlineStr">
        <is>
          <t>SKELLEFTEÅ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23062-2024</t>
        </is>
      </c>
      <c r="B2969" s="1" t="n">
        <v>45450</v>
      </c>
      <c r="C2969" s="1" t="n">
        <v>45633</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23169-2024</t>
        </is>
      </c>
      <c r="B2970" s="1" t="n">
        <v>45450</v>
      </c>
      <c r="C2970" s="1" t="n">
        <v>45633</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23522-2024</t>
        </is>
      </c>
      <c r="B2971" s="1" t="n">
        <v>45454</v>
      </c>
      <c r="C2971" s="1" t="n">
        <v>45633</v>
      </c>
      <c r="D2971" t="inlineStr">
        <is>
          <t>VÄSTERBOTTENS LÄN</t>
        </is>
      </c>
      <c r="E2971" t="inlineStr">
        <is>
          <t>SKELLEFTEÅ</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23502-2024</t>
        </is>
      </c>
      <c r="B2972" s="1" t="n">
        <v>45453</v>
      </c>
      <c r="C2972" s="1" t="n">
        <v>45633</v>
      </c>
      <c r="D2972" t="inlineStr">
        <is>
          <t>VÄSTERBOTTENS LÄN</t>
        </is>
      </c>
      <c r="E2972" t="inlineStr">
        <is>
          <t>SKELLEFTEÅ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23520-2024</t>
        </is>
      </c>
      <c r="B2973" s="1" t="n">
        <v>45453</v>
      </c>
      <c r="C2973" s="1" t="n">
        <v>45633</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23503-2024</t>
        </is>
      </c>
      <c r="B2974" s="1" t="n">
        <v>45453</v>
      </c>
      <c r="C2974" s="1" t="n">
        <v>45633</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23445-2024</t>
        </is>
      </c>
      <c r="B2975" s="1" t="n">
        <v>45453</v>
      </c>
      <c r="C2975" s="1" t="n">
        <v>45633</v>
      </c>
      <c r="D2975" t="inlineStr">
        <is>
          <t>VÄSTERBOTTENS LÄN</t>
        </is>
      </c>
      <c r="E2975" t="inlineStr">
        <is>
          <t>SKELLEFTEÅ</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23501-2024</t>
        </is>
      </c>
      <c r="B2976" s="1" t="n">
        <v>45453</v>
      </c>
      <c r="C2976" s="1" t="n">
        <v>45633</v>
      </c>
      <c r="D2976" t="inlineStr">
        <is>
          <t>VÄSTERBOTTENS LÄN</t>
        </is>
      </c>
      <c r="E2976" t="inlineStr">
        <is>
          <t>SKELLEFTEÅ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23521-2024</t>
        </is>
      </c>
      <c r="B2977" s="1" t="n">
        <v>45454</v>
      </c>
      <c r="C2977" s="1" t="n">
        <v>45633</v>
      </c>
      <c r="D2977" t="inlineStr">
        <is>
          <t>VÄSTERBOTTENS LÄN</t>
        </is>
      </c>
      <c r="E2977" t="inlineStr">
        <is>
          <t>SKELLEFTEÅ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23239-2024</t>
        </is>
      </c>
      <c r="B2978" s="1" t="n">
        <v>45453</v>
      </c>
      <c r="C2978" s="1" t="n">
        <v>45633</v>
      </c>
      <c r="D2978" t="inlineStr">
        <is>
          <t>VÄSTERBOTTENS LÄN</t>
        </is>
      </c>
      <c r="E2978" t="inlineStr">
        <is>
          <t>SKELLEFTEÅ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23634-2024</t>
        </is>
      </c>
      <c r="B2979" s="1" t="n">
        <v>45454</v>
      </c>
      <c r="C2979" s="1" t="n">
        <v>45633</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23629-2024</t>
        </is>
      </c>
      <c r="B2980" s="1" t="n">
        <v>45454</v>
      </c>
      <c r="C2980" s="1" t="n">
        <v>45633</v>
      </c>
      <c r="D2980" t="inlineStr">
        <is>
          <t>VÄSTERBOTTENS LÄN</t>
        </is>
      </c>
      <c r="E2980" t="inlineStr">
        <is>
          <t>SKELLEFTEÅ</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23925-2024</t>
        </is>
      </c>
      <c r="B2981" s="1" t="n">
        <v>45456</v>
      </c>
      <c r="C2981" s="1" t="n">
        <v>45633</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23929-2024</t>
        </is>
      </c>
      <c r="B2982" s="1" t="n">
        <v>45456</v>
      </c>
      <c r="C2982" s="1" t="n">
        <v>45633</v>
      </c>
      <c r="D2982" t="inlineStr">
        <is>
          <t>VÄSTERBOTTENS LÄN</t>
        </is>
      </c>
      <c r="E2982" t="inlineStr">
        <is>
          <t>SKELLEFTEÅ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23903-2024</t>
        </is>
      </c>
      <c r="B2983" s="1" t="n">
        <v>45455</v>
      </c>
      <c r="C2983" s="1" t="n">
        <v>45633</v>
      </c>
      <c r="D2983" t="inlineStr">
        <is>
          <t>VÄSTERBOTTENS LÄN</t>
        </is>
      </c>
      <c r="E2983" t="inlineStr">
        <is>
          <t>SKELLEFTEÅ</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23823-2024</t>
        </is>
      </c>
      <c r="B2984" s="1" t="n">
        <v>45455</v>
      </c>
      <c r="C2984" s="1" t="n">
        <v>45633</v>
      </c>
      <c r="D2984" t="inlineStr">
        <is>
          <t>VÄSTERBOTTENS LÄN</t>
        </is>
      </c>
      <c r="E2984" t="inlineStr">
        <is>
          <t>SKELLEFTEÅ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24080-2024</t>
        </is>
      </c>
      <c r="B2985" s="1" t="n">
        <v>45456</v>
      </c>
      <c r="C2985" s="1" t="n">
        <v>45633</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24195-2024</t>
        </is>
      </c>
      <c r="B2986" s="1" t="n">
        <v>45456</v>
      </c>
      <c r="C2986" s="1" t="n">
        <v>45633</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24362-2024</t>
        </is>
      </c>
      <c r="B2987" s="1" t="n">
        <v>45457</v>
      </c>
      <c r="C2987" s="1" t="n">
        <v>45633</v>
      </c>
      <c r="D2987" t="inlineStr">
        <is>
          <t>VÄSTERBOTTENS LÄN</t>
        </is>
      </c>
      <c r="E2987" t="inlineStr">
        <is>
          <t>SKELLEFTEÅ</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24418-2024</t>
        </is>
      </c>
      <c r="B2988" s="1" t="n">
        <v>45457</v>
      </c>
      <c r="C2988" s="1" t="n">
        <v>45633</v>
      </c>
      <c r="D2988" t="inlineStr">
        <is>
          <t>VÄSTERBOTTENS LÄN</t>
        </is>
      </c>
      <c r="E2988" t="inlineStr">
        <is>
          <t>SKELLEFTEÅ</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24349-2024</t>
        </is>
      </c>
      <c r="B2989" s="1" t="n">
        <v>45457</v>
      </c>
      <c r="C2989" s="1" t="n">
        <v>45633</v>
      </c>
      <c r="D2989" t="inlineStr">
        <is>
          <t>VÄSTERBOTTENS LÄN</t>
        </is>
      </c>
      <c r="E2989" t="inlineStr">
        <is>
          <t>SKELLEFTEÅ</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24352-2024</t>
        </is>
      </c>
      <c r="B2990" s="1" t="n">
        <v>45457</v>
      </c>
      <c r="C2990" s="1" t="n">
        <v>45633</v>
      </c>
      <c r="D2990" t="inlineStr">
        <is>
          <t>VÄSTERBOTTENS LÄN</t>
        </is>
      </c>
      <c r="E2990" t="inlineStr">
        <is>
          <t>SKELLEFTEÅ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24696-2024</t>
        </is>
      </c>
      <c r="B2991" s="1" t="n">
        <v>45460</v>
      </c>
      <c r="C2991" s="1" t="n">
        <v>45633</v>
      </c>
      <c r="D2991" t="inlineStr">
        <is>
          <t>VÄSTERBOTTENS LÄN</t>
        </is>
      </c>
      <c r="E2991" t="inlineStr">
        <is>
          <t>SKELLEFTEÅ</t>
        </is>
      </c>
      <c r="F2991" t="inlineStr">
        <is>
          <t>Holmen skog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24780-2024</t>
        </is>
      </c>
      <c r="B2992" s="1" t="n">
        <v>45460</v>
      </c>
      <c r="C2992" s="1" t="n">
        <v>45633</v>
      </c>
      <c r="D2992" t="inlineStr">
        <is>
          <t>VÄSTERBOTTENS LÄN</t>
        </is>
      </c>
      <c r="E2992" t="inlineStr">
        <is>
          <t>SKELLEFTEÅ</t>
        </is>
      </c>
      <c r="F2992" t="inlineStr">
        <is>
          <t>Sveaskog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24604-2024</t>
        </is>
      </c>
      <c r="B2993" s="1" t="n">
        <v>45460</v>
      </c>
      <c r="C2993" s="1" t="n">
        <v>45633</v>
      </c>
      <c r="D2993" t="inlineStr">
        <is>
          <t>VÄSTERBOTTENS LÄN</t>
        </is>
      </c>
      <c r="E2993" t="inlineStr">
        <is>
          <t>SKELLEFTEÅ</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24576-2024</t>
        </is>
      </c>
      <c r="B2994" s="1" t="n">
        <v>45460</v>
      </c>
      <c r="C2994" s="1" t="n">
        <v>45633</v>
      </c>
      <c r="D2994" t="inlineStr">
        <is>
          <t>VÄSTERBOTTENS LÄN</t>
        </is>
      </c>
      <c r="E2994" t="inlineStr">
        <is>
          <t>SKELLEFTEÅ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24914-2024</t>
        </is>
      </c>
      <c r="B2995" s="1" t="n">
        <v>45461</v>
      </c>
      <c r="C2995" s="1" t="n">
        <v>45633</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25006-2024</t>
        </is>
      </c>
      <c r="B2996" s="1" t="n">
        <v>45461</v>
      </c>
      <c r="C2996" s="1" t="n">
        <v>45633</v>
      </c>
      <c r="D2996" t="inlineStr">
        <is>
          <t>VÄSTERBOTTENS LÄN</t>
        </is>
      </c>
      <c r="E2996" t="inlineStr">
        <is>
          <t>SKELLEFTEÅ</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24920-2024</t>
        </is>
      </c>
      <c r="B2997" s="1" t="n">
        <v>45461</v>
      </c>
      <c r="C2997" s="1" t="n">
        <v>45633</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25354-2024</t>
        </is>
      </c>
      <c r="B2998" s="1" t="n">
        <v>45462</v>
      </c>
      <c r="C2998" s="1" t="n">
        <v>45633</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25209-2024</t>
        </is>
      </c>
      <c r="B2999" s="1" t="n">
        <v>45462</v>
      </c>
      <c r="C2999" s="1" t="n">
        <v>45633</v>
      </c>
      <c r="D2999" t="inlineStr">
        <is>
          <t>VÄSTERBOTTENS LÄN</t>
        </is>
      </c>
      <c r="E2999" t="inlineStr">
        <is>
          <t>SKELLEFTEÅ</t>
        </is>
      </c>
      <c r="F2999" t="inlineStr">
        <is>
          <t>Holmen skog AB</t>
        </is>
      </c>
      <c r="G2999" t="n">
        <v>30.3</v>
      </c>
      <c r="H2999" t="n">
        <v>0</v>
      </c>
      <c r="I2999" t="n">
        <v>0</v>
      </c>
      <c r="J2999" t="n">
        <v>0</v>
      </c>
      <c r="K2999" t="n">
        <v>0</v>
      </c>
      <c r="L2999" t="n">
        <v>0</v>
      </c>
      <c r="M2999" t="n">
        <v>0</v>
      </c>
      <c r="N2999" t="n">
        <v>0</v>
      </c>
      <c r="O2999" t="n">
        <v>0</v>
      </c>
      <c r="P2999" t="n">
        <v>0</v>
      </c>
      <c r="Q2999" t="n">
        <v>0</v>
      </c>
      <c r="R2999" s="2" t="inlineStr"/>
    </row>
    <row r="3000" ht="15" customHeight="1">
      <c r="A3000" t="inlineStr">
        <is>
          <t>A 25157-2024</t>
        </is>
      </c>
      <c r="B3000" s="1" t="n">
        <v>45462</v>
      </c>
      <c r="C3000" s="1" t="n">
        <v>45633</v>
      </c>
      <c r="D3000" t="inlineStr">
        <is>
          <t>VÄSTERBOTTENS LÄN</t>
        </is>
      </c>
      <c r="E3000" t="inlineStr">
        <is>
          <t>SKELLEFTEÅ</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25111-2024</t>
        </is>
      </c>
      <c r="B3001" s="1" t="n">
        <v>45462</v>
      </c>
      <c r="C3001" s="1" t="n">
        <v>45633</v>
      </c>
      <c r="D3001" t="inlineStr">
        <is>
          <t>VÄSTERBOTTENS LÄN</t>
        </is>
      </c>
      <c r="E3001" t="inlineStr">
        <is>
          <t>SKELLEFTEÅ</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25106-2024</t>
        </is>
      </c>
      <c r="B3002" s="1" t="n">
        <v>45462</v>
      </c>
      <c r="C3002" s="1" t="n">
        <v>45633</v>
      </c>
      <c r="D3002" t="inlineStr">
        <is>
          <t>VÄSTERBOTTENS LÄN</t>
        </is>
      </c>
      <c r="E3002" t="inlineStr">
        <is>
          <t>SKELLEFTEÅ</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25184-2024</t>
        </is>
      </c>
      <c r="B3003" s="1" t="n">
        <v>45462</v>
      </c>
      <c r="C3003" s="1" t="n">
        <v>45633</v>
      </c>
      <c r="D3003" t="inlineStr">
        <is>
          <t>VÄSTERBOTTENS LÄN</t>
        </is>
      </c>
      <c r="E3003" t="inlineStr">
        <is>
          <t>SKELLEFTEÅ</t>
        </is>
      </c>
      <c r="F3003" t="inlineStr">
        <is>
          <t>Holmen skog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25158-2024</t>
        </is>
      </c>
      <c r="B3004" s="1" t="n">
        <v>45462</v>
      </c>
      <c r="C3004" s="1" t="n">
        <v>45633</v>
      </c>
      <c r="D3004" t="inlineStr">
        <is>
          <t>VÄSTERBOTTENS LÄN</t>
        </is>
      </c>
      <c r="E3004" t="inlineStr">
        <is>
          <t>SKELLEFTEÅ</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25099-2024</t>
        </is>
      </c>
      <c r="B3005" s="1" t="n">
        <v>45462</v>
      </c>
      <c r="C3005" s="1" t="n">
        <v>45633</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25155-2024</t>
        </is>
      </c>
      <c r="B3006" s="1" t="n">
        <v>45462</v>
      </c>
      <c r="C3006" s="1" t="n">
        <v>45633</v>
      </c>
      <c r="D3006" t="inlineStr">
        <is>
          <t>VÄSTERBOTTENS LÄN</t>
        </is>
      </c>
      <c r="E3006" t="inlineStr">
        <is>
          <t>SKELLEFTEÅ</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25682-2024</t>
        </is>
      </c>
      <c r="B3007" s="1" t="n">
        <v>45463</v>
      </c>
      <c r="C3007" s="1" t="n">
        <v>45633</v>
      </c>
      <c r="D3007" t="inlineStr">
        <is>
          <t>VÄSTERBOTTENS LÄN</t>
        </is>
      </c>
      <c r="E3007" t="inlineStr">
        <is>
          <t>SKELLEFTEÅ</t>
        </is>
      </c>
      <c r="F3007" t="inlineStr">
        <is>
          <t>Sveaskog</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25666-2024</t>
        </is>
      </c>
      <c r="B3008" s="1" t="n">
        <v>45463</v>
      </c>
      <c r="C3008" s="1" t="n">
        <v>45633</v>
      </c>
      <c r="D3008" t="inlineStr">
        <is>
          <t>VÄSTERBOTTENS LÄN</t>
        </is>
      </c>
      <c r="E3008" t="inlineStr">
        <is>
          <t>SKELLEFTEÅ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25795-2024</t>
        </is>
      </c>
      <c r="B3009" s="1" t="n">
        <v>45463</v>
      </c>
      <c r="C3009" s="1" t="n">
        <v>45633</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25665-2024</t>
        </is>
      </c>
      <c r="B3010" s="1" t="n">
        <v>45463</v>
      </c>
      <c r="C3010" s="1" t="n">
        <v>45633</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25984-2024</t>
        </is>
      </c>
      <c r="B3011" s="1" t="n">
        <v>45467</v>
      </c>
      <c r="C3011" s="1" t="n">
        <v>45633</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25943-2024</t>
        </is>
      </c>
      <c r="B3012" s="1" t="n">
        <v>45467</v>
      </c>
      <c r="C3012" s="1" t="n">
        <v>45633</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25983-2024</t>
        </is>
      </c>
      <c r="B3013" s="1" t="n">
        <v>45467</v>
      </c>
      <c r="C3013" s="1" t="n">
        <v>45633</v>
      </c>
      <c r="D3013" t="inlineStr">
        <is>
          <t>VÄSTERBOTTENS LÄN</t>
        </is>
      </c>
      <c r="E3013" t="inlineStr">
        <is>
          <t>SKELLEFTEÅ</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26096-2024</t>
        </is>
      </c>
      <c r="B3014" s="1" t="n">
        <v>45467</v>
      </c>
      <c r="C3014" s="1" t="n">
        <v>45633</v>
      </c>
      <c r="D3014" t="inlineStr">
        <is>
          <t>VÄSTERBOTTENS LÄN</t>
        </is>
      </c>
      <c r="E3014" t="inlineStr">
        <is>
          <t>SKELLEFTEÅ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26253-2024</t>
        </is>
      </c>
      <c r="B3015" s="1" t="n">
        <v>45468</v>
      </c>
      <c r="C3015" s="1" t="n">
        <v>45633</v>
      </c>
      <c r="D3015" t="inlineStr">
        <is>
          <t>VÄSTERBOTTENS LÄN</t>
        </is>
      </c>
      <c r="E3015" t="inlineStr">
        <is>
          <t>SKELLEFTEÅ</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26190-2024</t>
        </is>
      </c>
      <c r="B3016" s="1" t="n">
        <v>45468</v>
      </c>
      <c r="C3016" s="1" t="n">
        <v>45633</v>
      </c>
      <c r="D3016" t="inlineStr">
        <is>
          <t>VÄSTERBOTTENS LÄN</t>
        </is>
      </c>
      <c r="E3016" t="inlineStr">
        <is>
          <t>SKELLEFTEÅ</t>
        </is>
      </c>
      <c r="F3016" t="inlineStr">
        <is>
          <t>Holmen skog AB</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26226-2024</t>
        </is>
      </c>
      <c r="B3017" s="1" t="n">
        <v>45468</v>
      </c>
      <c r="C3017" s="1" t="n">
        <v>45633</v>
      </c>
      <c r="D3017" t="inlineStr">
        <is>
          <t>VÄSTERBOTTENS LÄN</t>
        </is>
      </c>
      <c r="E3017" t="inlineStr">
        <is>
          <t>SKELLEFTEÅ</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26293-2024</t>
        </is>
      </c>
      <c r="B3018" s="1" t="n">
        <v>45468</v>
      </c>
      <c r="C3018" s="1" t="n">
        <v>45633</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26257-2024</t>
        </is>
      </c>
      <c r="B3019" s="1" t="n">
        <v>45468</v>
      </c>
      <c r="C3019" s="1" t="n">
        <v>45633</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26212-2024</t>
        </is>
      </c>
      <c r="B3020" s="1" t="n">
        <v>45468</v>
      </c>
      <c r="C3020" s="1" t="n">
        <v>45633</v>
      </c>
      <c r="D3020" t="inlineStr">
        <is>
          <t>VÄSTERBOTTENS LÄN</t>
        </is>
      </c>
      <c r="E3020" t="inlineStr">
        <is>
          <t>SKELLEFTEÅ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26102-2024</t>
        </is>
      </c>
      <c r="B3021" s="1" t="n">
        <v>45468</v>
      </c>
      <c r="C3021" s="1" t="n">
        <v>45633</v>
      </c>
      <c r="D3021" t="inlineStr">
        <is>
          <t>VÄSTERBOTTENS LÄN</t>
        </is>
      </c>
      <c r="E3021" t="inlineStr">
        <is>
          <t>SKELLEFTEÅ</t>
        </is>
      </c>
      <c r="F3021" t="inlineStr">
        <is>
          <t>Holmen skog AB</t>
        </is>
      </c>
      <c r="G3021" t="n">
        <v>16.4</v>
      </c>
      <c r="H3021" t="n">
        <v>0</v>
      </c>
      <c r="I3021" t="n">
        <v>0</v>
      </c>
      <c r="J3021" t="n">
        <v>0</v>
      </c>
      <c r="K3021" t="n">
        <v>0</v>
      </c>
      <c r="L3021" t="n">
        <v>0</v>
      </c>
      <c r="M3021" t="n">
        <v>0</v>
      </c>
      <c r="N3021" t="n">
        <v>0</v>
      </c>
      <c r="O3021" t="n">
        <v>0</v>
      </c>
      <c r="P3021" t="n">
        <v>0</v>
      </c>
      <c r="Q3021" t="n">
        <v>0</v>
      </c>
      <c r="R3021" s="2" t="inlineStr"/>
    </row>
    <row r="3022" ht="15" customHeight="1">
      <c r="A3022" t="inlineStr">
        <is>
          <t>A 26447-2024</t>
        </is>
      </c>
      <c r="B3022" s="1" t="n">
        <v>45469</v>
      </c>
      <c r="C3022" s="1" t="n">
        <v>45633</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26328-2024</t>
        </is>
      </c>
      <c r="B3023" s="1" t="n">
        <v>45469</v>
      </c>
      <c r="C3023" s="1" t="n">
        <v>45633</v>
      </c>
      <c r="D3023" t="inlineStr">
        <is>
          <t>VÄSTERBOTTENS LÄN</t>
        </is>
      </c>
      <c r="E3023" t="inlineStr">
        <is>
          <t>SKELLEFTEÅ</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26399-2024</t>
        </is>
      </c>
      <c r="B3024" s="1" t="n">
        <v>45469</v>
      </c>
      <c r="C3024" s="1" t="n">
        <v>45633</v>
      </c>
      <c r="D3024" t="inlineStr">
        <is>
          <t>VÄSTERBOTTENS LÄN</t>
        </is>
      </c>
      <c r="E3024" t="inlineStr">
        <is>
          <t>SKELLEFTEÅ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26546-2024</t>
        </is>
      </c>
      <c r="B3025" s="1" t="n">
        <v>45469</v>
      </c>
      <c r="C3025" s="1" t="n">
        <v>45633</v>
      </c>
      <c r="D3025" t="inlineStr">
        <is>
          <t>VÄSTERBOTTENS LÄN</t>
        </is>
      </c>
      <c r="E3025" t="inlineStr">
        <is>
          <t>SKELLEFTEÅ</t>
        </is>
      </c>
      <c r="F3025" t="inlineStr">
        <is>
          <t>Sveaskog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26626-2024</t>
        </is>
      </c>
      <c r="B3026" s="1" t="n">
        <v>45469</v>
      </c>
      <c r="C3026" s="1" t="n">
        <v>45633</v>
      </c>
      <c r="D3026" t="inlineStr">
        <is>
          <t>VÄSTERBOTTENS LÄN</t>
        </is>
      </c>
      <c r="E3026" t="inlineStr">
        <is>
          <t>SKELLEFTEÅ</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26630-2024</t>
        </is>
      </c>
      <c r="B3027" s="1" t="n">
        <v>45469</v>
      </c>
      <c r="C3027" s="1" t="n">
        <v>45633</v>
      </c>
      <c r="D3027" t="inlineStr">
        <is>
          <t>VÄSTERBOTTENS LÄN</t>
        </is>
      </c>
      <c r="E3027" t="inlineStr">
        <is>
          <t>SKELLEFTEÅ</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26581-2024</t>
        </is>
      </c>
      <c r="B3028" s="1" t="n">
        <v>45469</v>
      </c>
      <c r="C3028" s="1" t="n">
        <v>45633</v>
      </c>
      <c r="D3028" t="inlineStr">
        <is>
          <t>VÄSTERBOTTENS LÄN</t>
        </is>
      </c>
      <c r="E3028" t="inlineStr">
        <is>
          <t>SKELLEFTEÅ</t>
        </is>
      </c>
      <c r="F3028" t="inlineStr">
        <is>
          <t>Holmen skog AB</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26497-2024</t>
        </is>
      </c>
      <c r="B3029" s="1" t="n">
        <v>45469</v>
      </c>
      <c r="C3029" s="1" t="n">
        <v>45633</v>
      </c>
      <c r="D3029" t="inlineStr">
        <is>
          <t>VÄSTERBOTTENS LÄN</t>
        </is>
      </c>
      <c r="E3029" t="inlineStr">
        <is>
          <t>SKELLEFTEÅ</t>
        </is>
      </c>
      <c r="F3029" t="inlineStr">
        <is>
          <t>Holmen skog AB</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26389-2024</t>
        </is>
      </c>
      <c r="B3030" s="1" t="n">
        <v>45469</v>
      </c>
      <c r="C3030" s="1" t="n">
        <v>45633</v>
      </c>
      <c r="D3030" t="inlineStr">
        <is>
          <t>VÄSTERBOTTENS LÄN</t>
        </is>
      </c>
      <c r="E3030" t="inlineStr">
        <is>
          <t>SKELLEFTEÅ</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26826-2024</t>
        </is>
      </c>
      <c r="B3031" s="1" t="n">
        <v>45470</v>
      </c>
      <c r="C3031" s="1" t="n">
        <v>45633</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26818-2024</t>
        </is>
      </c>
      <c r="B3032" s="1" t="n">
        <v>45470</v>
      </c>
      <c r="C3032" s="1" t="n">
        <v>45633</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26928-2024</t>
        </is>
      </c>
      <c r="B3033" s="1" t="n">
        <v>45471</v>
      </c>
      <c r="C3033" s="1" t="n">
        <v>45633</v>
      </c>
      <c r="D3033" t="inlineStr">
        <is>
          <t>VÄSTERBOTTENS LÄN</t>
        </is>
      </c>
      <c r="E3033" t="inlineStr">
        <is>
          <t>SKELLEFTEÅ</t>
        </is>
      </c>
      <c r="G3033" t="n">
        <v>17.6</v>
      </c>
      <c r="H3033" t="n">
        <v>0</v>
      </c>
      <c r="I3033" t="n">
        <v>0</v>
      </c>
      <c r="J3033" t="n">
        <v>0</v>
      </c>
      <c r="K3033" t="n">
        <v>0</v>
      </c>
      <c r="L3033" t="n">
        <v>0</v>
      </c>
      <c r="M3033" t="n">
        <v>0</v>
      </c>
      <c r="N3033" t="n">
        <v>0</v>
      </c>
      <c r="O3033" t="n">
        <v>0</v>
      </c>
      <c r="P3033" t="n">
        <v>0</v>
      </c>
      <c r="Q3033" t="n">
        <v>0</v>
      </c>
      <c r="R3033" s="2" t="inlineStr"/>
    </row>
    <row r="3034" ht="15" customHeight="1">
      <c r="A3034" t="inlineStr">
        <is>
          <t>A 26920-2024</t>
        </is>
      </c>
      <c r="B3034" s="1" t="n">
        <v>45471</v>
      </c>
      <c r="C3034" s="1" t="n">
        <v>45633</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26708-2024</t>
        </is>
      </c>
      <c r="B3035" s="1" t="n">
        <v>45470</v>
      </c>
      <c r="C3035" s="1" t="n">
        <v>45633</v>
      </c>
      <c r="D3035" t="inlineStr">
        <is>
          <t>VÄSTERBOTTENS LÄN</t>
        </is>
      </c>
      <c r="E3035" t="inlineStr">
        <is>
          <t>SKELLEFTEÅ</t>
        </is>
      </c>
      <c r="F3035" t="inlineStr">
        <is>
          <t>Sveaskog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26831-2024</t>
        </is>
      </c>
      <c r="B3036" s="1" t="n">
        <v>45470</v>
      </c>
      <c r="C3036" s="1" t="n">
        <v>45633</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26929-2024</t>
        </is>
      </c>
      <c r="B3037" s="1" t="n">
        <v>45471</v>
      </c>
      <c r="C3037" s="1" t="n">
        <v>45633</v>
      </c>
      <c r="D3037" t="inlineStr">
        <is>
          <t>VÄSTERBOTTENS LÄN</t>
        </is>
      </c>
      <c r="E3037" t="inlineStr">
        <is>
          <t>SKELLEFTEÅ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27190-2024</t>
        </is>
      </c>
      <c r="B3038" s="1" t="n">
        <v>45471</v>
      </c>
      <c r="C3038" s="1" t="n">
        <v>45633</v>
      </c>
      <c r="D3038" t="inlineStr">
        <is>
          <t>VÄSTERBOTTENS LÄN</t>
        </is>
      </c>
      <c r="E3038" t="inlineStr">
        <is>
          <t>SKELLEFTEÅ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27198-2024</t>
        </is>
      </c>
      <c r="B3039" s="1" t="n">
        <v>45471</v>
      </c>
      <c r="C3039" s="1" t="n">
        <v>45633</v>
      </c>
      <c r="D3039" t="inlineStr">
        <is>
          <t>VÄSTERBOTTENS LÄN</t>
        </is>
      </c>
      <c r="E3039" t="inlineStr">
        <is>
          <t>SKELLEFTEÅ</t>
        </is>
      </c>
      <c r="F3039" t="inlineStr">
        <is>
          <t>Holmen skog AB</t>
        </is>
      </c>
      <c r="G3039" t="n">
        <v>25.4</v>
      </c>
      <c r="H3039" t="n">
        <v>0</v>
      </c>
      <c r="I3039" t="n">
        <v>0</v>
      </c>
      <c r="J3039" t="n">
        <v>0</v>
      </c>
      <c r="K3039" t="n">
        <v>0</v>
      </c>
      <c r="L3039" t="n">
        <v>0</v>
      </c>
      <c r="M3039" t="n">
        <v>0</v>
      </c>
      <c r="N3039" t="n">
        <v>0</v>
      </c>
      <c r="O3039" t="n">
        <v>0</v>
      </c>
      <c r="P3039" t="n">
        <v>0</v>
      </c>
      <c r="Q3039" t="n">
        <v>0</v>
      </c>
      <c r="R3039" s="2" t="inlineStr"/>
    </row>
    <row r="3040" ht="15" customHeight="1">
      <c r="A3040" t="inlineStr">
        <is>
          <t>A 27083-2024</t>
        </is>
      </c>
      <c r="B3040" s="1" t="n">
        <v>45471</v>
      </c>
      <c r="C3040" s="1" t="n">
        <v>45633</v>
      </c>
      <c r="D3040" t="inlineStr">
        <is>
          <t>VÄSTERBOTTENS LÄN</t>
        </is>
      </c>
      <c r="E3040" t="inlineStr">
        <is>
          <t>SKELLEFTEÅ</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27143-2024</t>
        </is>
      </c>
      <c r="B3041" s="1" t="n">
        <v>45471</v>
      </c>
      <c r="C3041" s="1" t="n">
        <v>45633</v>
      </c>
      <c r="D3041" t="inlineStr">
        <is>
          <t>VÄSTERBOTTENS LÄN</t>
        </is>
      </c>
      <c r="E3041" t="inlineStr">
        <is>
          <t>SKELLEFTEÅ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27212-2024</t>
        </is>
      </c>
      <c r="B3042" s="1" t="n">
        <v>45471</v>
      </c>
      <c r="C3042" s="1" t="n">
        <v>45633</v>
      </c>
      <c r="D3042" t="inlineStr">
        <is>
          <t>VÄSTERBOTTENS LÄN</t>
        </is>
      </c>
      <c r="E3042" t="inlineStr">
        <is>
          <t>SKELLEFTEÅ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27228-2024</t>
        </is>
      </c>
      <c r="B3043" s="1" t="n">
        <v>45471</v>
      </c>
      <c r="C3043" s="1" t="n">
        <v>45633</v>
      </c>
      <c r="D3043" t="inlineStr">
        <is>
          <t>VÄSTERBOTTENS LÄN</t>
        </is>
      </c>
      <c r="E3043" t="inlineStr">
        <is>
          <t>SKELLEFTEÅ</t>
        </is>
      </c>
      <c r="F3043" t="inlineStr">
        <is>
          <t>Holmen skog AB</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27246-2024</t>
        </is>
      </c>
      <c r="B3044" s="1" t="n">
        <v>45471</v>
      </c>
      <c r="C3044" s="1" t="n">
        <v>45633</v>
      </c>
      <c r="D3044" t="inlineStr">
        <is>
          <t>VÄSTERBOTTENS LÄN</t>
        </is>
      </c>
      <c r="E3044" t="inlineStr">
        <is>
          <t>SKELLEFTEÅ</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27268-2024</t>
        </is>
      </c>
      <c r="B3045" s="1" t="n">
        <v>45471</v>
      </c>
      <c r="C3045" s="1" t="n">
        <v>45633</v>
      </c>
      <c r="D3045" t="inlineStr">
        <is>
          <t>VÄSTERBOTTENS LÄN</t>
        </is>
      </c>
      <c r="E3045" t="inlineStr">
        <is>
          <t>SKELLEFTEÅ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27289-2024</t>
        </is>
      </c>
      <c r="B3046" s="1" t="n">
        <v>45472</v>
      </c>
      <c r="C3046" s="1" t="n">
        <v>45633</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27253-2024</t>
        </is>
      </c>
      <c r="B3047" s="1" t="n">
        <v>45471</v>
      </c>
      <c r="C3047" s="1" t="n">
        <v>45633</v>
      </c>
      <c r="D3047" t="inlineStr">
        <is>
          <t>VÄSTERBOTTENS LÄN</t>
        </is>
      </c>
      <c r="E3047" t="inlineStr">
        <is>
          <t>SKELLEFTEÅ</t>
        </is>
      </c>
      <c r="F3047" t="inlineStr">
        <is>
          <t>Holmen skog AB</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27264-2024</t>
        </is>
      </c>
      <c r="B3048" s="1" t="n">
        <v>45471</v>
      </c>
      <c r="C3048" s="1" t="n">
        <v>45633</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27287-2024</t>
        </is>
      </c>
      <c r="B3049" s="1" t="n">
        <v>45472</v>
      </c>
      <c r="C3049" s="1" t="n">
        <v>45633</v>
      </c>
      <c r="D3049" t="inlineStr">
        <is>
          <t>VÄSTERBOTTENS LÄN</t>
        </is>
      </c>
      <c r="E3049" t="inlineStr">
        <is>
          <t>SKELLEFTEÅ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27269-2024</t>
        </is>
      </c>
      <c r="B3050" s="1" t="n">
        <v>45471</v>
      </c>
      <c r="C3050" s="1" t="n">
        <v>45633</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27286-2024</t>
        </is>
      </c>
      <c r="B3051" s="1" t="n">
        <v>45472</v>
      </c>
      <c r="C3051" s="1" t="n">
        <v>45633</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27026-2024</t>
        </is>
      </c>
      <c r="B3052" s="1" t="n">
        <v>45471</v>
      </c>
      <c r="C3052" s="1" t="n">
        <v>45633</v>
      </c>
      <c r="D3052" t="inlineStr">
        <is>
          <t>VÄSTERBOTTENS LÄN</t>
        </is>
      </c>
      <c r="E3052" t="inlineStr">
        <is>
          <t>SKELLEFTEÅ</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26997-2024</t>
        </is>
      </c>
      <c r="B3053" s="1" t="n">
        <v>45471</v>
      </c>
      <c r="C3053" s="1" t="n">
        <v>45633</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27267-2024</t>
        </is>
      </c>
      <c r="B3054" s="1" t="n">
        <v>45471</v>
      </c>
      <c r="C3054" s="1" t="n">
        <v>45633</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27288-2024</t>
        </is>
      </c>
      <c r="B3055" s="1" t="n">
        <v>45472</v>
      </c>
      <c r="C3055" s="1" t="n">
        <v>45633</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27332-2024</t>
        </is>
      </c>
      <c r="B3056" s="1" t="n">
        <v>45472</v>
      </c>
      <c r="C3056" s="1" t="n">
        <v>45633</v>
      </c>
      <c r="D3056" t="inlineStr">
        <is>
          <t>VÄSTERBOTTENS LÄN</t>
        </is>
      </c>
      <c r="E3056" t="inlineStr">
        <is>
          <t>SKELLEFTEÅ</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27333-2024</t>
        </is>
      </c>
      <c r="B3057" s="1" t="n">
        <v>45472</v>
      </c>
      <c r="C3057" s="1" t="n">
        <v>45633</v>
      </c>
      <c r="D3057" t="inlineStr">
        <is>
          <t>VÄSTERBOTTENS LÄN</t>
        </is>
      </c>
      <c r="E3057" t="inlineStr">
        <is>
          <t>SKELLEFTEÅ</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27439-2024</t>
        </is>
      </c>
      <c r="B3058" s="1" t="n">
        <v>45474</v>
      </c>
      <c r="C3058" s="1" t="n">
        <v>45633</v>
      </c>
      <c r="D3058" t="inlineStr">
        <is>
          <t>VÄSTERBOTTENS LÄN</t>
        </is>
      </c>
      <c r="E3058" t="inlineStr">
        <is>
          <t>SKELLEFTEÅ</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27627-2024</t>
        </is>
      </c>
      <c r="B3059" s="1" t="n">
        <v>45475</v>
      </c>
      <c r="C3059" s="1" t="n">
        <v>45633</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27631-2024</t>
        </is>
      </c>
      <c r="B3060" s="1" t="n">
        <v>45475</v>
      </c>
      <c r="C3060" s="1" t="n">
        <v>45633</v>
      </c>
      <c r="D3060" t="inlineStr">
        <is>
          <t>VÄSTERBOTTENS LÄN</t>
        </is>
      </c>
      <c r="E3060" t="inlineStr">
        <is>
          <t>SKELLEFTEÅ</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27542-2024</t>
        </is>
      </c>
      <c r="B3061" s="1" t="n">
        <v>45474</v>
      </c>
      <c r="C3061" s="1" t="n">
        <v>45633</v>
      </c>
      <c r="D3061" t="inlineStr">
        <is>
          <t>VÄSTERBOTTENS LÄN</t>
        </is>
      </c>
      <c r="E3061" t="inlineStr">
        <is>
          <t>SKELLEFTEÅ</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27566-2024</t>
        </is>
      </c>
      <c r="B3062" s="1" t="n">
        <v>45474</v>
      </c>
      <c r="C3062" s="1" t="n">
        <v>45633</v>
      </c>
      <c r="D3062" t="inlineStr">
        <is>
          <t>VÄSTERBOTTENS LÄN</t>
        </is>
      </c>
      <c r="E3062" t="inlineStr">
        <is>
          <t>SKELLEFTEÅ</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27628-2024</t>
        </is>
      </c>
      <c r="B3063" s="1" t="n">
        <v>45475</v>
      </c>
      <c r="C3063" s="1" t="n">
        <v>45633</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27896-2024</t>
        </is>
      </c>
      <c r="B3064" s="1" t="n">
        <v>45476</v>
      </c>
      <c r="C3064" s="1" t="n">
        <v>45633</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27830-2024</t>
        </is>
      </c>
      <c r="B3065" s="1" t="n">
        <v>45475</v>
      </c>
      <c r="C3065" s="1" t="n">
        <v>45633</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27864-2024</t>
        </is>
      </c>
      <c r="B3066" s="1" t="n">
        <v>45475</v>
      </c>
      <c r="C3066" s="1" t="n">
        <v>45633</v>
      </c>
      <c r="D3066" t="inlineStr">
        <is>
          <t>VÄSTERBOTTENS LÄN</t>
        </is>
      </c>
      <c r="E3066" t="inlineStr">
        <is>
          <t>SKELLEFTEÅ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27933-2024</t>
        </is>
      </c>
      <c r="B3067" s="1" t="n">
        <v>45476</v>
      </c>
      <c r="C3067" s="1" t="n">
        <v>45633</v>
      </c>
      <c r="D3067" t="inlineStr">
        <is>
          <t>VÄSTERBOTTENS LÄN</t>
        </is>
      </c>
      <c r="E3067" t="inlineStr">
        <is>
          <t>SKELLEFTEÅ</t>
        </is>
      </c>
      <c r="F3067" t="inlineStr">
        <is>
          <t>SCA</t>
        </is>
      </c>
      <c r="G3067" t="n">
        <v>28.7</v>
      </c>
      <c r="H3067" t="n">
        <v>0</v>
      </c>
      <c r="I3067" t="n">
        <v>0</v>
      </c>
      <c r="J3067" t="n">
        <v>0</v>
      </c>
      <c r="K3067" t="n">
        <v>0</v>
      </c>
      <c r="L3067" t="n">
        <v>0</v>
      </c>
      <c r="M3067" t="n">
        <v>0</v>
      </c>
      <c r="N3067" t="n">
        <v>0</v>
      </c>
      <c r="O3067" t="n">
        <v>0</v>
      </c>
      <c r="P3067" t="n">
        <v>0</v>
      </c>
      <c r="Q3067" t="n">
        <v>0</v>
      </c>
      <c r="R3067" s="2" t="inlineStr"/>
    </row>
    <row r="3068" ht="15" customHeight="1">
      <c r="A3068" t="inlineStr">
        <is>
          <t>A 27851-2024</t>
        </is>
      </c>
      <c r="B3068" s="1" t="n">
        <v>45475</v>
      </c>
      <c r="C3068" s="1" t="n">
        <v>45633</v>
      </c>
      <c r="D3068" t="inlineStr">
        <is>
          <t>VÄSTERBOTTENS LÄN</t>
        </is>
      </c>
      <c r="E3068" t="inlineStr">
        <is>
          <t>SKELLEFTEÅ</t>
        </is>
      </c>
      <c r="F3068" t="inlineStr">
        <is>
          <t>Sveaskog</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27863-2024</t>
        </is>
      </c>
      <c r="B3069" s="1" t="n">
        <v>45475</v>
      </c>
      <c r="C3069" s="1" t="n">
        <v>45633</v>
      </c>
      <c r="D3069" t="inlineStr">
        <is>
          <t>VÄSTERBOTTENS LÄN</t>
        </is>
      </c>
      <c r="E3069" t="inlineStr">
        <is>
          <t>SKELLEFTEÅ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28054-2024</t>
        </is>
      </c>
      <c r="B3070" s="1" t="n">
        <v>45476</v>
      </c>
      <c r="C3070" s="1" t="n">
        <v>45633</v>
      </c>
      <c r="D3070" t="inlineStr">
        <is>
          <t>VÄSTERBOTTENS LÄN</t>
        </is>
      </c>
      <c r="E3070" t="inlineStr">
        <is>
          <t>SKELLEFTEÅ</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27990-2024</t>
        </is>
      </c>
      <c r="B3071" s="1" t="n">
        <v>45476</v>
      </c>
      <c r="C3071" s="1" t="n">
        <v>45633</v>
      </c>
      <c r="D3071" t="inlineStr">
        <is>
          <t>VÄSTERBOTTENS LÄN</t>
        </is>
      </c>
      <c r="E3071" t="inlineStr">
        <is>
          <t>SKELLEFTEÅ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28057-2024</t>
        </is>
      </c>
      <c r="B3072" s="1" t="n">
        <v>45476</v>
      </c>
      <c r="C3072" s="1" t="n">
        <v>45633</v>
      </c>
      <c r="D3072" t="inlineStr">
        <is>
          <t>VÄSTERBOTTENS LÄN</t>
        </is>
      </c>
      <c r="E3072" t="inlineStr">
        <is>
          <t>SKELLEFTEÅ</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27980-2024</t>
        </is>
      </c>
      <c r="B3073" s="1" t="n">
        <v>45476</v>
      </c>
      <c r="C3073" s="1" t="n">
        <v>45633</v>
      </c>
      <c r="D3073" t="inlineStr">
        <is>
          <t>VÄSTERBOTTENS LÄN</t>
        </is>
      </c>
      <c r="E3073" t="inlineStr">
        <is>
          <t>SKELLEFTEÅ</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28353-2024</t>
        </is>
      </c>
      <c r="B3074" s="1" t="n">
        <v>45477</v>
      </c>
      <c r="C3074" s="1" t="n">
        <v>45633</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28493-2024</t>
        </is>
      </c>
      <c r="B3075" s="1" t="n">
        <v>45477</v>
      </c>
      <c r="C3075" s="1" t="n">
        <v>45633</v>
      </c>
      <c r="D3075" t="inlineStr">
        <is>
          <t>VÄSTERBOTTENS LÄN</t>
        </is>
      </c>
      <c r="E3075" t="inlineStr">
        <is>
          <t>SKELLEFTEÅ</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28283-2024</t>
        </is>
      </c>
      <c r="B3076" s="1" t="n">
        <v>45477</v>
      </c>
      <c r="C3076" s="1" t="n">
        <v>45633</v>
      </c>
      <c r="D3076" t="inlineStr">
        <is>
          <t>VÄSTERBOTTENS LÄN</t>
        </is>
      </c>
      <c r="E3076" t="inlineStr">
        <is>
          <t>SKELLEFTEÅ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28435-2024</t>
        </is>
      </c>
      <c r="B3077" s="1" t="n">
        <v>45477</v>
      </c>
      <c r="C3077" s="1" t="n">
        <v>45633</v>
      </c>
      <c r="D3077" t="inlineStr">
        <is>
          <t>VÄSTERBOTTENS LÄN</t>
        </is>
      </c>
      <c r="E3077" t="inlineStr">
        <is>
          <t>SKELLEFTEÅ</t>
        </is>
      </c>
      <c r="F3077" t="inlineStr">
        <is>
          <t>Holmen skog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28273-2024</t>
        </is>
      </c>
      <c r="B3078" s="1" t="n">
        <v>45477</v>
      </c>
      <c r="C3078" s="1" t="n">
        <v>45633</v>
      </c>
      <c r="D3078" t="inlineStr">
        <is>
          <t>VÄSTERBOTTENS LÄN</t>
        </is>
      </c>
      <c r="E3078" t="inlineStr">
        <is>
          <t>SKELLEFTEÅ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28356-2024</t>
        </is>
      </c>
      <c r="B3079" s="1" t="n">
        <v>45477</v>
      </c>
      <c r="C3079" s="1" t="n">
        <v>45633</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28308-2024</t>
        </is>
      </c>
      <c r="B3080" s="1" t="n">
        <v>45477</v>
      </c>
      <c r="C3080" s="1" t="n">
        <v>45633</v>
      </c>
      <c r="D3080" t="inlineStr">
        <is>
          <t>VÄSTERBOTTENS LÄN</t>
        </is>
      </c>
      <c r="E3080" t="inlineStr">
        <is>
          <t>SKELLEFTEÅ</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28630-2024</t>
        </is>
      </c>
      <c r="B3081" s="1" t="n">
        <v>45478</v>
      </c>
      <c r="C3081" s="1" t="n">
        <v>45633</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29125-2024</t>
        </is>
      </c>
      <c r="B3082" s="1" t="n">
        <v>45481</v>
      </c>
      <c r="C3082" s="1" t="n">
        <v>45633</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29124-2024</t>
        </is>
      </c>
      <c r="B3083" s="1" t="n">
        <v>45481</v>
      </c>
      <c r="C3083" s="1" t="n">
        <v>45633</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29154-2024</t>
        </is>
      </c>
      <c r="B3084" s="1" t="n">
        <v>45482</v>
      </c>
      <c r="C3084" s="1" t="n">
        <v>45633</v>
      </c>
      <c r="D3084" t="inlineStr">
        <is>
          <t>VÄSTERBOTTENS LÄN</t>
        </is>
      </c>
      <c r="E3084" t="inlineStr">
        <is>
          <t>SKELLEFTEÅ</t>
        </is>
      </c>
      <c r="F3084" t="inlineStr">
        <is>
          <t>Holmen skog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29201-2024</t>
        </is>
      </c>
      <c r="B3085" s="1" t="n">
        <v>45482</v>
      </c>
      <c r="C3085" s="1" t="n">
        <v>45633</v>
      </c>
      <c r="D3085" t="inlineStr">
        <is>
          <t>VÄSTERBOTTENS LÄN</t>
        </is>
      </c>
      <c r="E3085" t="inlineStr">
        <is>
          <t>SKELLEFTEÅ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29160-2024</t>
        </is>
      </c>
      <c r="B3086" s="1" t="n">
        <v>45482</v>
      </c>
      <c r="C3086" s="1" t="n">
        <v>45633</v>
      </c>
      <c r="D3086" t="inlineStr">
        <is>
          <t>VÄSTERBOTTENS LÄN</t>
        </is>
      </c>
      <c r="E3086" t="inlineStr">
        <is>
          <t>SKELLEFTEÅ</t>
        </is>
      </c>
      <c r="F3086" t="inlineStr">
        <is>
          <t>Holmen skog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29167-2024</t>
        </is>
      </c>
      <c r="B3087" s="1" t="n">
        <v>45482</v>
      </c>
      <c r="C3087" s="1" t="n">
        <v>45633</v>
      </c>
      <c r="D3087" t="inlineStr">
        <is>
          <t>VÄSTERBOTTENS LÄN</t>
        </is>
      </c>
      <c r="E3087" t="inlineStr">
        <is>
          <t>SKELLEFTEÅ</t>
        </is>
      </c>
      <c r="F3087" t="inlineStr">
        <is>
          <t>Holmen skog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29326-2024</t>
        </is>
      </c>
      <c r="B3088" s="1" t="n">
        <v>45483</v>
      </c>
      <c r="C3088" s="1" t="n">
        <v>45633</v>
      </c>
      <c r="D3088" t="inlineStr">
        <is>
          <t>VÄSTERBOTTENS LÄN</t>
        </is>
      </c>
      <c r="E3088" t="inlineStr">
        <is>
          <t>SKELLEFTEÅ</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29323-2024</t>
        </is>
      </c>
      <c r="B3089" s="1" t="n">
        <v>45483</v>
      </c>
      <c r="C3089" s="1" t="n">
        <v>45633</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29321-2024</t>
        </is>
      </c>
      <c r="B3090" s="1" t="n">
        <v>45483</v>
      </c>
      <c r="C3090" s="1" t="n">
        <v>45633</v>
      </c>
      <c r="D3090" t="inlineStr">
        <is>
          <t>VÄSTERBOTTENS LÄN</t>
        </is>
      </c>
      <c r="E3090" t="inlineStr">
        <is>
          <t>SKELLEFTEÅ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29579-2024</t>
        </is>
      </c>
      <c r="B3091" s="1" t="n">
        <v>45484</v>
      </c>
      <c r="C3091" s="1" t="n">
        <v>45633</v>
      </c>
      <c r="D3091" t="inlineStr">
        <is>
          <t>VÄSTERBOTTENS LÄN</t>
        </is>
      </c>
      <c r="E3091" t="inlineStr">
        <is>
          <t>SKELLEFTEÅ</t>
        </is>
      </c>
      <c r="F3091" t="inlineStr">
        <is>
          <t>Holmen skog AB</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29654-2024</t>
        </is>
      </c>
      <c r="B3092" s="1" t="n">
        <v>45485</v>
      </c>
      <c r="C3092" s="1" t="n">
        <v>45633</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30012-2024</t>
        </is>
      </c>
      <c r="B3093" s="1" t="n">
        <v>45488</v>
      </c>
      <c r="C3093" s="1" t="n">
        <v>45633</v>
      </c>
      <c r="D3093" t="inlineStr">
        <is>
          <t>VÄSTERBOTTENS LÄN</t>
        </is>
      </c>
      <c r="E3093" t="inlineStr">
        <is>
          <t>SKELLEFTEÅ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30014-2024</t>
        </is>
      </c>
      <c r="B3094" s="1" t="n">
        <v>45488</v>
      </c>
      <c r="C3094" s="1" t="n">
        <v>45633</v>
      </c>
      <c r="D3094" t="inlineStr">
        <is>
          <t>VÄSTERBOTTENS LÄN</t>
        </is>
      </c>
      <c r="E3094" t="inlineStr">
        <is>
          <t>SKELLEFTEÅ</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30395-2024</t>
        </is>
      </c>
      <c r="B3095" s="1" t="n">
        <v>45491</v>
      </c>
      <c r="C3095" s="1" t="n">
        <v>45633</v>
      </c>
      <c r="D3095" t="inlineStr">
        <is>
          <t>VÄSTERBOTTENS LÄN</t>
        </is>
      </c>
      <c r="E3095" t="inlineStr">
        <is>
          <t>SKELLEFTEÅ</t>
        </is>
      </c>
      <c r="F3095" t="inlineStr">
        <is>
          <t>Holmen skog AB</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30508-2024</t>
        </is>
      </c>
      <c r="B3096" s="1" t="n">
        <v>45492</v>
      </c>
      <c r="C3096" s="1" t="n">
        <v>45633</v>
      </c>
      <c r="D3096" t="inlineStr">
        <is>
          <t>VÄSTERBOTTENS LÄN</t>
        </is>
      </c>
      <c r="E3096" t="inlineStr">
        <is>
          <t>SKELLEFTEÅ</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30650-2024</t>
        </is>
      </c>
      <c r="B3097" s="1" t="n">
        <v>45495</v>
      </c>
      <c r="C3097" s="1" t="n">
        <v>45633</v>
      </c>
      <c r="D3097" t="inlineStr">
        <is>
          <t>VÄSTERBOTTENS LÄN</t>
        </is>
      </c>
      <c r="E3097" t="inlineStr">
        <is>
          <t>SKELLEFTEÅ</t>
        </is>
      </c>
      <c r="F3097" t="inlineStr">
        <is>
          <t>Holmen skog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30900-2024</t>
        </is>
      </c>
      <c r="B3098" s="1" t="n">
        <v>45498</v>
      </c>
      <c r="C3098" s="1" t="n">
        <v>45633</v>
      </c>
      <c r="D3098" t="inlineStr">
        <is>
          <t>VÄSTERBOTTENS LÄN</t>
        </is>
      </c>
      <c r="E3098" t="inlineStr">
        <is>
          <t>SKELLEFTEÅ</t>
        </is>
      </c>
      <c r="G3098" t="n">
        <v>17.5</v>
      </c>
      <c r="H3098" t="n">
        <v>0</v>
      </c>
      <c r="I3098" t="n">
        <v>0</v>
      </c>
      <c r="J3098" t="n">
        <v>0</v>
      </c>
      <c r="K3098" t="n">
        <v>0</v>
      </c>
      <c r="L3098" t="n">
        <v>0</v>
      </c>
      <c r="M3098" t="n">
        <v>0</v>
      </c>
      <c r="N3098" t="n">
        <v>0</v>
      </c>
      <c r="O3098" t="n">
        <v>0</v>
      </c>
      <c r="P3098" t="n">
        <v>0</v>
      </c>
      <c r="Q3098" t="n">
        <v>0</v>
      </c>
      <c r="R3098" s="2" t="inlineStr"/>
    </row>
    <row r="3099" ht="15" customHeight="1">
      <c r="A3099" t="inlineStr">
        <is>
          <t>A 30904-2024</t>
        </is>
      </c>
      <c r="B3099" s="1" t="n">
        <v>45498</v>
      </c>
      <c r="C3099" s="1" t="n">
        <v>45633</v>
      </c>
      <c r="D3099" t="inlineStr">
        <is>
          <t>VÄSTERBOTTENS LÄN</t>
        </is>
      </c>
      <c r="E3099" t="inlineStr">
        <is>
          <t>SKELLEFTEÅ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30901-2024</t>
        </is>
      </c>
      <c r="B3100" s="1" t="n">
        <v>45498</v>
      </c>
      <c r="C3100" s="1" t="n">
        <v>45633</v>
      </c>
      <c r="D3100" t="inlineStr">
        <is>
          <t>VÄSTERBOTTENS LÄN</t>
        </is>
      </c>
      <c r="E3100" t="inlineStr">
        <is>
          <t>SKELLEFTEÅ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30897-2024</t>
        </is>
      </c>
      <c r="B3101" s="1" t="n">
        <v>45498</v>
      </c>
      <c r="C3101" s="1" t="n">
        <v>45633</v>
      </c>
      <c r="D3101" t="inlineStr">
        <is>
          <t>VÄSTERBOTTENS LÄN</t>
        </is>
      </c>
      <c r="E3101" t="inlineStr">
        <is>
          <t>SKELLEFTEÅ</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30986-2024</t>
        </is>
      </c>
      <c r="B3102" s="1" t="n">
        <v>45499</v>
      </c>
      <c r="C3102" s="1" t="n">
        <v>45633</v>
      </c>
      <c r="D3102" t="inlineStr">
        <is>
          <t>VÄSTERBOTTENS LÄN</t>
        </is>
      </c>
      <c r="E3102" t="inlineStr">
        <is>
          <t>SKELLEFTEÅ</t>
        </is>
      </c>
      <c r="F3102" t="inlineStr">
        <is>
          <t>Sveaskog</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31103-2024</t>
        </is>
      </c>
      <c r="B3103" s="1" t="n">
        <v>45502</v>
      </c>
      <c r="C3103" s="1" t="n">
        <v>45633</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31179-2024</t>
        </is>
      </c>
      <c r="B3104" s="1" t="n">
        <v>45503</v>
      </c>
      <c r="C3104" s="1" t="n">
        <v>45633</v>
      </c>
      <c r="D3104" t="inlineStr">
        <is>
          <t>VÄSTERBOTTENS LÄN</t>
        </is>
      </c>
      <c r="E3104" t="inlineStr">
        <is>
          <t>SKELLEFTEÅ</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31197-2024</t>
        </is>
      </c>
      <c r="B3105" s="1" t="n">
        <v>45503</v>
      </c>
      <c r="C3105" s="1" t="n">
        <v>45633</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31167-2024</t>
        </is>
      </c>
      <c r="B3106" s="1" t="n">
        <v>45503</v>
      </c>
      <c r="C3106" s="1" t="n">
        <v>45633</v>
      </c>
      <c r="D3106" t="inlineStr">
        <is>
          <t>VÄSTERBOTTENS LÄN</t>
        </is>
      </c>
      <c r="E3106" t="inlineStr">
        <is>
          <t>SKELLEFTEÅ</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31392-2024</t>
        </is>
      </c>
      <c r="B3107" s="1" t="n">
        <v>45505</v>
      </c>
      <c r="C3107" s="1" t="n">
        <v>45633</v>
      </c>
      <c r="D3107" t="inlineStr">
        <is>
          <t>VÄSTERBOTTENS LÄN</t>
        </is>
      </c>
      <c r="E3107" t="inlineStr">
        <is>
          <t>SKELLEFTEÅ</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31384-2024</t>
        </is>
      </c>
      <c r="B3108" s="1" t="n">
        <v>45505</v>
      </c>
      <c r="C3108" s="1" t="n">
        <v>45633</v>
      </c>
      <c r="D3108" t="inlineStr">
        <is>
          <t>VÄSTERBOTTENS LÄN</t>
        </is>
      </c>
      <c r="E3108" t="inlineStr">
        <is>
          <t>SKELLEFTEÅ</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31689-2024</t>
        </is>
      </c>
      <c r="B3109" s="1" t="n">
        <v>45507</v>
      </c>
      <c r="C3109" s="1" t="n">
        <v>45633</v>
      </c>
      <c r="D3109" t="inlineStr">
        <is>
          <t>VÄSTERBOTTENS LÄN</t>
        </is>
      </c>
      <c r="E3109" t="inlineStr">
        <is>
          <t>SKELLEFTEÅ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31809-2024</t>
        </is>
      </c>
      <c r="B3110" s="1" t="n">
        <v>45509</v>
      </c>
      <c r="C3110" s="1" t="n">
        <v>45633</v>
      </c>
      <c r="D3110" t="inlineStr">
        <is>
          <t>VÄSTERBOTTENS LÄN</t>
        </is>
      </c>
      <c r="E3110" t="inlineStr">
        <is>
          <t>SKELLEFTEÅ</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31872-2024</t>
        </is>
      </c>
      <c r="B3111" s="1" t="n">
        <v>45510</v>
      </c>
      <c r="C3111" s="1" t="n">
        <v>45633</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31871-2024</t>
        </is>
      </c>
      <c r="B3112" s="1" t="n">
        <v>45510</v>
      </c>
      <c r="C3112" s="1" t="n">
        <v>45633</v>
      </c>
      <c r="D3112" t="inlineStr">
        <is>
          <t>VÄSTERBOTTENS LÄN</t>
        </is>
      </c>
      <c r="E3112" t="inlineStr">
        <is>
          <t>SKELLEFTEÅ</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31874-2024</t>
        </is>
      </c>
      <c r="B3113" s="1" t="n">
        <v>45509</v>
      </c>
      <c r="C3113" s="1" t="n">
        <v>45633</v>
      </c>
      <c r="D3113" t="inlineStr">
        <is>
          <t>VÄSTERBOTTENS LÄN</t>
        </is>
      </c>
      <c r="E3113" t="inlineStr">
        <is>
          <t>SKELLEFTEÅ</t>
        </is>
      </c>
      <c r="G3113" t="n">
        <v>137.5</v>
      </c>
      <c r="H3113" t="n">
        <v>0</v>
      </c>
      <c r="I3113" t="n">
        <v>0</v>
      </c>
      <c r="J3113" t="n">
        <v>0</v>
      </c>
      <c r="K3113" t="n">
        <v>0</v>
      </c>
      <c r="L3113" t="n">
        <v>0</v>
      </c>
      <c r="M3113" t="n">
        <v>0</v>
      </c>
      <c r="N3113" t="n">
        <v>0</v>
      </c>
      <c r="O3113" t="n">
        <v>0</v>
      </c>
      <c r="P3113" t="n">
        <v>0</v>
      </c>
      <c r="Q3113" t="n">
        <v>0</v>
      </c>
      <c r="R3113" s="2" t="inlineStr"/>
    </row>
    <row r="3114" ht="15" customHeight="1">
      <c r="A3114" t="inlineStr">
        <is>
          <t>A 31975-2024</t>
        </is>
      </c>
      <c r="B3114" s="1" t="n">
        <v>45510</v>
      </c>
      <c r="C3114" s="1" t="n">
        <v>45633</v>
      </c>
      <c r="D3114" t="inlineStr">
        <is>
          <t>VÄSTERBOTTENS LÄN</t>
        </is>
      </c>
      <c r="E3114" t="inlineStr">
        <is>
          <t>SKELLEFTEÅ</t>
        </is>
      </c>
      <c r="F3114" t="inlineStr">
        <is>
          <t>Holmen skog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31966-2024</t>
        </is>
      </c>
      <c r="B3115" s="1" t="n">
        <v>45510</v>
      </c>
      <c r="C3115" s="1" t="n">
        <v>45633</v>
      </c>
      <c r="D3115" t="inlineStr">
        <is>
          <t>VÄSTERBOTTENS LÄN</t>
        </is>
      </c>
      <c r="E3115" t="inlineStr">
        <is>
          <t>SKELLEFTEÅ</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32217-2024</t>
        </is>
      </c>
      <c r="B3116" s="1" t="n">
        <v>45512</v>
      </c>
      <c r="C3116" s="1" t="n">
        <v>45633</v>
      </c>
      <c r="D3116" t="inlineStr">
        <is>
          <t>VÄSTERBOTTENS LÄN</t>
        </is>
      </c>
      <c r="E3116" t="inlineStr">
        <is>
          <t>SKELLEFTEÅ</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32298-2024</t>
        </is>
      </c>
      <c r="B3117" s="1" t="n">
        <v>45512</v>
      </c>
      <c r="C3117" s="1" t="n">
        <v>45633</v>
      </c>
      <c r="D3117" t="inlineStr">
        <is>
          <t>VÄSTERBOTTENS LÄN</t>
        </is>
      </c>
      <c r="E3117" t="inlineStr">
        <is>
          <t>SKELLEFTEÅ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32499-2024</t>
        </is>
      </c>
      <c r="B3118" s="1" t="n">
        <v>45513</v>
      </c>
      <c r="C3118" s="1" t="n">
        <v>45633</v>
      </c>
      <c r="D3118" t="inlineStr">
        <is>
          <t>VÄSTERBOTTENS LÄN</t>
        </is>
      </c>
      <c r="E3118" t="inlineStr">
        <is>
          <t>SKELLEFTEÅ</t>
        </is>
      </c>
      <c r="F3118" t="inlineStr">
        <is>
          <t>Holmen skog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32593-2024</t>
        </is>
      </c>
      <c r="B3119" s="1" t="n">
        <v>45513</v>
      </c>
      <c r="C3119" s="1" t="n">
        <v>45633</v>
      </c>
      <c r="D3119" t="inlineStr">
        <is>
          <t>VÄSTERBOTTENS LÄN</t>
        </is>
      </c>
      <c r="E3119" t="inlineStr">
        <is>
          <t>SKELLEFTEÅ</t>
        </is>
      </c>
      <c r="F3119" t="inlineStr">
        <is>
          <t>Holmen skog AB</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32914-2024</t>
        </is>
      </c>
      <c r="B3120" s="1" t="n">
        <v>45517</v>
      </c>
      <c r="C3120" s="1" t="n">
        <v>45633</v>
      </c>
      <c r="D3120" t="inlineStr">
        <is>
          <t>VÄSTERBOTTENS LÄN</t>
        </is>
      </c>
      <c r="E3120" t="inlineStr">
        <is>
          <t>SKELLEFTEÅ</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32918-2024</t>
        </is>
      </c>
      <c r="B3121" s="1" t="n">
        <v>45517</v>
      </c>
      <c r="C3121" s="1" t="n">
        <v>45633</v>
      </c>
      <c r="D3121" t="inlineStr">
        <is>
          <t>VÄSTERBOTTENS LÄN</t>
        </is>
      </c>
      <c r="E3121" t="inlineStr">
        <is>
          <t>SKELLEFTEÅ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32917-2024</t>
        </is>
      </c>
      <c r="B3122" s="1" t="n">
        <v>45517</v>
      </c>
      <c r="C3122" s="1" t="n">
        <v>45633</v>
      </c>
      <c r="D3122" t="inlineStr">
        <is>
          <t>VÄSTERBOTTENS LÄN</t>
        </is>
      </c>
      <c r="E3122" t="inlineStr">
        <is>
          <t>SKELLEFTEÅ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32916-2024</t>
        </is>
      </c>
      <c r="B3123" s="1" t="n">
        <v>45517</v>
      </c>
      <c r="C3123" s="1" t="n">
        <v>45633</v>
      </c>
      <c r="D3123" t="inlineStr">
        <is>
          <t>VÄSTERBOTTENS LÄN</t>
        </is>
      </c>
      <c r="E3123" t="inlineStr">
        <is>
          <t>SKELLEFTEÅ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32724-2024</t>
        </is>
      </c>
      <c r="B3124" s="1" t="n">
        <v>45516</v>
      </c>
      <c r="C3124" s="1" t="n">
        <v>45633</v>
      </c>
      <c r="D3124" t="inlineStr">
        <is>
          <t>VÄSTERBOTTENS LÄN</t>
        </is>
      </c>
      <c r="E3124" t="inlineStr">
        <is>
          <t>SKELLEFTEÅ</t>
        </is>
      </c>
      <c r="F3124" t="inlineStr">
        <is>
          <t>Holmen skog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32709-2024</t>
        </is>
      </c>
      <c r="B3125" s="1" t="n">
        <v>45516</v>
      </c>
      <c r="C3125" s="1" t="n">
        <v>45633</v>
      </c>
      <c r="D3125" t="inlineStr">
        <is>
          <t>VÄSTERBOTTENS LÄN</t>
        </is>
      </c>
      <c r="E3125" t="inlineStr">
        <is>
          <t>SKELLEFTEÅ</t>
        </is>
      </c>
      <c r="F3125" t="inlineStr">
        <is>
          <t>Holmen skog AB</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32919-2024</t>
        </is>
      </c>
      <c r="B3126" s="1" t="n">
        <v>45517</v>
      </c>
      <c r="C3126" s="1" t="n">
        <v>45633</v>
      </c>
      <c r="D3126" t="inlineStr">
        <is>
          <t>VÄSTERBOTTENS LÄN</t>
        </is>
      </c>
      <c r="E3126" t="inlineStr">
        <is>
          <t>SKELLEFTEÅ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33109-2024</t>
        </is>
      </c>
      <c r="B3127" s="1" t="n">
        <v>45517</v>
      </c>
      <c r="C3127" s="1" t="n">
        <v>45633</v>
      </c>
      <c r="D3127" t="inlineStr">
        <is>
          <t>VÄSTERBOTTENS LÄN</t>
        </is>
      </c>
      <c r="E3127" t="inlineStr">
        <is>
          <t>SKELLEFTEÅ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33204-2024</t>
        </is>
      </c>
      <c r="B3128" s="1" t="n">
        <v>45518</v>
      </c>
      <c r="C3128" s="1" t="n">
        <v>45633</v>
      </c>
      <c r="D3128" t="inlineStr">
        <is>
          <t>VÄSTERBOTTENS LÄN</t>
        </is>
      </c>
      <c r="E3128" t="inlineStr">
        <is>
          <t>SKELLEFTEÅ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33530-2024</t>
        </is>
      </c>
      <c r="B3129" s="1" t="n">
        <v>45519</v>
      </c>
      <c r="C3129" s="1" t="n">
        <v>45633</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33538-2024</t>
        </is>
      </c>
      <c r="B3130" s="1" t="n">
        <v>45519</v>
      </c>
      <c r="C3130" s="1" t="n">
        <v>45633</v>
      </c>
      <c r="D3130" t="inlineStr">
        <is>
          <t>VÄSTERBOTTENS LÄN</t>
        </is>
      </c>
      <c r="E3130" t="inlineStr">
        <is>
          <t>SKELLEFTEÅ</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33442-2024</t>
        </is>
      </c>
      <c r="B3131" s="1" t="n">
        <v>45519</v>
      </c>
      <c r="C3131" s="1" t="n">
        <v>45633</v>
      </c>
      <c r="D3131" t="inlineStr">
        <is>
          <t>VÄSTERBOTTENS LÄN</t>
        </is>
      </c>
      <c r="E3131" t="inlineStr">
        <is>
          <t>SKELLEFTEÅ</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33543-2024</t>
        </is>
      </c>
      <c r="B3132" s="1" t="n">
        <v>45519</v>
      </c>
      <c r="C3132" s="1" t="n">
        <v>45633</v>
      </c>
      <c r="D3132" t="inlineStr">
        <is>
          <t>VÄSTERBOTTENS LÄN</t>
        </is>
      </c>
      <c r="E3132" t="inlineStr">
        <is>
          <t>SKELLEFTEÅ</t>
        </is>
      </c>
      <c r="F3132" t="inlineStr">
        <is>
          <t>Holmen skog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33528-2024</t>
        </is>
      </c>
      <c r="B3133" s="1" t="n">
        <v>45519</v>
      </c>
      <c r="C3133" s="1" t="n">
        <v>45633</v>
      </c>
      <c r="D3133" t="inlineStr">
        <is>
          <t>VÄSTERBOTTENS LÄN</t>
        </is>
      </c>
      <c r="E3133" t="inlineStr">
        <is>
          <t>SKELLEFTEÅ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33785-2024</t>
        </is>
      </c>
      <c r="B3134" s="1" t="n">
        <v>45520</v>
      </c>
      <c r="C3134" s="1" t="n">
        <v>45633</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33776-2024</t>
        </is>
      </c>
      <c r="B3135" s="1" t="n">
        <v>45520</v>
      </c>
      <c r="C3135" s="1" t="n">
        <v>45633</v>
      </c>
      <c r="D3135" t="inlineStr">
        <is>
          <t>VÄSTERBOTTENS LÄN</t>
        </is>
      </c>
      <c r="E3135" t="inlineStr">
        <is>
          <t>SKELLEFTEÅ</t>
        </is>
      </c>
      <c r="F3135" t="inlineStr">
        <is>
          <t>Sveaskog</t>
        </is>
      </c>
      <c r="G3135" t="n">
        <v>16.4</v>
      </c>
      <c r="H3135" t="n">
        <v>0</v>
      </c>
      <c r="I3135" t="n">
        <v>0</v>
      </c>
      <c r="J3135" t="n">
        <v>0</v>
      </c>
      <c r="K3135" t="n">
        <v>0</v>
      </c>
      <c r="L3135" t="n">
        <v>0</v>
      </c>
      <c r="M3135" t="n">
        <v>0</v>
      </c>
      <c r="N3135" t="n">
        <v>0</v>
      </c>
      <c r="O3135" t="n">
        <v>0</v>
      </c>
      <c r="P3135" t="n">
        <v>0</v>
      </c>
      <c r="Q3135" t="n">
        <v>0</v>
      </c>
      <c r="R3135" s="2" t="inlineStr"/>
    </row>
    <row r="3136" ht="15" customHeight="1">
      <c r="A3136" t="inlineStr">
        <is>
          <t>A 34242-2024</t>
        </is>
      </c>
      <c r="B3136" s="1" t="n">
        <v>45524</v>
      </c>
      <c r="C3136" s="1" t="n">
        <v>45633</v>
      </c>
      <c r="D3136" t="inlineStr">
        <is>
          <t>VÄSTERBOTTENS LÄN</t>
        </is>
      </c>
      <c r="E3136" t="inlineStr">
        <is>
          <t>SKELLEFTEÅ</t>
        </is>
      </c>
      <c r="F3136" t="inlineStr">
        <is>
          <t>Sveaskog</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34158-2024</t>
        </is>
      </c>
      <c r="B3137" s="1" t="n">
        <v>45524</v>
      </c>
      <c r="C3137" s="1" t="n">
        <v>45633</v>
      </c>
      <c r="D3137" t="inlineStr">
        <is>
          <t>VÄSTERBOTTENS LÄN</t>
        </is>
      </c>
      <c r="E3137" t="inlineStr">
        <is>
          <t>SKELLEFTEÅ</t>
        </is>
      </c>
      <c r="F3137" t="inlineStr">
        <is>
          <t>Sveaskog</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34332-2024</t>
        </is>
      </c>
      <c r="B3138" s="1" t="n">
        <v>45524</v>
      </c>
      <c r="C3138" s="1" t="n">
        <v>45633</v>
      </c>
      <c r="D3138" t="inlineStr">
        <is>
          <t>VÄSTERBOTTENS LÄN</t>
        </is>
      </c>
      <c r="E3138" t="inlineStr">
        <is>
          <t>SKELLEFTEÅ</t>
        </is>
      </c>
      <c r="F3138" t="inlineStr">
        <is>
          <t>Sveaskog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34614-2024</t>
        </is>
      </c>
      <c r="B3139" s="1" t="n">
        <v>45526</v>
      </c>
      <c r="C3139" s="1" t="n">
        <v>45633</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34622-2024</t>
        </is>
      </c>
      <c r="B3140" s="1" t="n">
        <v>45526</v>
      </c>
      <c r="C3140" s="1" t="n">
        <v>45633</v>
      </c>
      <c r="D3140" t="inlineStr">
        <is>
          <t>VÄSTERBOTTENS LÄN</t>
        </is>
      </c>
      <c r="E3140" t="inlineStr">
        <is>
          <t>SKELLEFTEÅ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34631-2024</t>
        </is>
      </c>
      <c r="B3141" s="1" t="n">
        <v>45526</v>
      </c>
      <c r="C3141" s="1" t="n">
        <v>45633</v>
      </c>
      <c r="D3141" t="inlineStr">
        <is>
          <t>VÄSTERBOTTENS LÄN</t>
        </is>
      </c>
      <c r="E3141" t="inlineStr">
        <is>
          <t>SKELLEFTEÅ</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34644-2024</t>
        </is>
      </c>
      <c r="B3142" s="1" t="n">
        <v>45526</v>
      </c>
      <c r="C3142" s="1" t="n">
        <v>45633</v>
      </c>
      <c r="D3142" t="inlineStr">
        <is>
          <t>VÄSTERBOTTENS LÄN</t>
        </is>
      </c>
      <c r="E3142" t="inlineStr">
        <is>
          <t>SKELLEFTEÅ</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34821-2024</t>
        </is>
      </c>
      <c r="B3143" s="1" t="n">
        <v>45526</v>
      </c>
      <c r="C3143" s="1" t="n">
        <v>45633</v>
      </c>
      <c r="D3143" t="inlineStr">
        <is>
          <t>VÄSTERBOTTENS LÄN</t>
        </is>
      </c>
      <c r="E3143" t="inlineStr">
        <is>
          <t>SKELLEFTEÅ</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34615-2024</t>
        </is>
      </c>
      <c r="B3144" s="1" t="n">
        <v>45526</v>
      </c>
      <c r="C3144" s="1" t="n">
        <v>45633</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34713-2024</t>
        </is>
      </c>
      <c r="B3145" s="1" t="n">
        <v>45526</v>
      </c>
      <c r="C3145" s="1" t="n">
        <v>45633</v>
      </c>
      <c r="D3145" t="inlineStr">
        <is>
          <t>VÄSTERBOTTENS LÄN</t>
        </is>
      </c>
      <c r="E3145" t="inlineStr">
        <is>
          <t>SKELLEFTEÅ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34714-2024</t>
        </is>
      </c>
      <c r="B3146" s="1" t="n">
        <v>45526</v>
      </c>
      <c r="C3146" s="1" t="n">
        <v>45633</v>
      </c>
      <c r="D3146" t="inlineStr">
        <is>
          <t>VÄSTERBOTTENS LÄN</t>
        </is>
      </c>
      <c r="E3146" t="inlineStr">
        <is>
          <t>SKELLEFTEÅ</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34694-2024</t>
        </is>
      </c>
      <c r="B3147" s="1" t="n">
        <v>45526</v>
      </c>
      <c r="C3147" s="1" t="n">
        <v>45633</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34690-2024</t>
        </is>
      </c>
      <c r="B3148" s="1" t="n">
        <v>45526</v>
      </c>
      <c r="C3148" s="1" t="n">
        <v>45633</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34608-2024</t>
        </is>
      </c>
      <c r="B3149" s="1" t="n">
        <v>45526</v>
      </c>
      <c r="C3149" s="1" t="n">
        <v>45633</v>
      </c>
      <c r="D3149" t="inlineStr">
        <is>
          <t>VÄSTERBOTTENS LÄN</t>
        </is>
      </c>
      <c r="E3149" t="inlineStr">
        <is>
          <t>SKELLEFTEÅ</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34739-2024</t>
        </is>
      </c>
      <c r="B3150" s="1" t="n">
        <v>45526</v>
      </c>
      <c r="C3150" s="1" t="n">
        <v>45633</v>
      </c>
      <c r="D3150" t="inlineStr">
        <is>
          <t>VÄSTERBOTTENS LÄN</t>
        </is>
      </c>
      <c r="E3150" t="inlineStr">
        <is>
          <t>SKELLEFTEÅ</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35035-2024</t>
        </is>
      </c>
      <c r="B3151" s="1" t="n">
        <v>45527</v>
      </c>
      <c r="C3151" s="1" t="n">
        <v>45633</v>
      </c>
      <c r="D3151" t="inlineStr">
        <is>
          <t>VÄSTERBOTTENS LÄN</t>
        </is>
      </c>
      <c r="E3151" t="inlineStr">
        <is>
          <t>SKELLEFTEÅ</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34874-2024</t>
        </is>
      </c>
      <c r="B3152" s="1" t="n">
        <v>45527</v>
      </c>
      <c r="C3152" s="1" t="n">
        <v>45633</v>
      </c>
      <c r="D3152" t="inlineStr">
        <is>
          <t>VÄSTERBOTTENS LÄN</t>
        </is>
      </c>
      <c r="E3152" t="inlineStr">
        <is>
          <t>SKELLEFTEÅ</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34998-2024</t>
        </is>
      </c>
      <c r="B3153" s="1" t="n">
        <v>45527</v>
      </c>
      <c r="C3153" s="1" t="n">
        <v>45633</v>
      </c>
      <c r="D3153" t="inlineStr">
        <is>
          <t>VÄSTERBOTTENS LÄN</t>
        </is>
      </c>
      <c r="E3153" t="inlineStr">
        <is>
          <t>SKELLEFTEÅ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35114-2024</t>
        </is>
      </c>
      <c r="B3154" s="1" t="n">
        <v>45530</v>
      </c>
      <c r="C3154" s="1" t="n">
        <v>45633</v>
      </c>
      <c r="D3154" t="inlineStr">
        <is>
          <t>VÄSTERBOTTENS LÄN</t>
        </is>
      </c>
      <c r="E3154" t="inlineStr">
        <is>
          <t>SKELLEFTEÅ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35213-2024</t>
        </is>
      </c>
      <c r="B3155" s="1" t="n">
        <v>45530</v>
      </c>
      <c r="C3155" s="1" t="n">
        <v>45633</v>
      </c>
      <c r="D3155" t="inlineStr">
        <is>
          <t>VÄSTERBOTTENS LÄN</t>
        </is>
      </c>
      <c r="E3155" t="inlineStr">
        <is>
          <t>SKELLEFTEÅ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35135-2024</t>
        </is>
      </c>
      <c r="B3156" s="1" t="n">
        <v>45530</v>
      </c>
      <c r="C3156" s="1" t="n">
        <v>45633</v>
      </c>
      <c r="D3156" t="inlineStr">
        <is>
          <t>VÄSTERBOTTENS LÄN</t>
        </is>
      </c>
      <c r="E3156" t="inlineStr">
        <is>
          <t>SKELLEFTEÅ</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35168-2024</t>
        </is>
      </c>
      <c r="B3157" s="1" t="n">
        <v>45530</v>
      </c>
      <c r="C3157" s="1" t="n">
        <v>45633</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35216-2024</t>
        </is>
      </c>
      <c r="B3158" s="1" t="n">
        <v>45530</v>
      </c>
      <c r="C3158" s="1" t="n">
        <v>45633</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35208-2024</t>
        </is>
      </c>
      <c r="B3159" s="1" t="n">
        <v>45530</v>
      </c>
      <c r="C3159" s="1" t="n">
        <v>45633</v>
      </c>
      <c r="D3159" t="inlineStr">
        <is>
          <t>VÄSTERBOTTENS LÄN</t>
        </is>
      </c>
      <c r="E3159" t="inlineStr">
        <is>
          <t>SKELLEFTEÅ</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35435-2024</t>
        </is>
      </c>
      <c r="B3160" s="1" t="n">
        <v>45531</v>
      </c>
      <c r="C3160" s="1" t="n">
        <v>45633</v>
      </c>
      <c r="D3160" t="inlineStr">
        <is>
          <t>VÄSTERBOTTENS LÄN</t>
        </is>
      </c>
      <c r="E3160" t="inlineStr">
        <is>
          <t>SKELLEFTEÅ</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35800-2024</t>
        </is>
      </c>
      <c r="B3161" s="1" t="n">
        <v>45532</v>
      </c>
      <c r="C3161" s="1" t="n">
        <v>45633</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35807-2024</t>
        </is>
      </c>
      <c r="B3162" s="1" t="n">
        <v>45532</v>
      </c>
      <c r="C3162" s="1" t="n">
        <v>45633</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35881-2024</t>
        </is>
      </c>
      <c r="B3163" s="1" t="n">
        <v>45533</v>
      </c>
      <c r="C3163" s="1" t="n">
        <v>45633</v>
      </c>
      <c r="D3163" t="inlineStr">
        <is>
          <t>VÄSTERBOTTENS LÄN</t>
        </is>
      </c>
      <c r="E3163" t="inlineStr">
        <is>
          <t>SKELLEFTEÅ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35880-2024</t>
        </is>
      </c>
      <c r="B3164" s="1" t="n">
        <v>45533</v>
      </c>
      <c r="C3164" s="1" t="n">
        <v>45633</v>
      </c>
      <c r="D3164" t="inlineStr">
        <is>
          <t>VÄSTERBOTTENS LÄN</t>
        </is>
      </c>
      <c r="E3164" t="inlineStr">
        <is>
          <t>SKELLEFTEÅ</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36201-2024</t>
        </is>
      </c>
      <c r="B3165" s="1" t="n">
        <v>45534</v>
      </c>
      <c r="C3165" s="1" t="n">
        <v>45633</v>
      </c>
      <c r="D3165" t="inlineStr">
        <is>
          <t>VÄSTERBOTTENS LÄN</t>
        </is>
      </c>
      <c r="E3165" t="inlineStr">
        <is>
          <t>SKELLEFTEÅ</t>
        </is>
      </c>
      <c r="F3165" t="inlineStr">
        <is>
          <t>Holmen skog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36213-2024</t>
        </is>
      </c>
      <c r="B3166" s="1" t="n">
        <v>45534</v>
      </c>
      <c r="C3166" s="1" t="n">
        <v>45633</v>
      </c>
      <c r="D3166" t="inlineStr">
        <is>
          <t>VÄSTERBOTTENS LÄN</t>
        </is>
      </c>
      <c r="E3166" t="inlineStr">
        <is>
          <t>SKELLEFTEÅ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36122-2024</t>
        </is>
      </c>
      <c r="B3167" s="1" t="n">
        <v>45534</v>
      </c>
      <c r="C3167" s="1" t="n">
        <v>45633</v>
      </c>
      <c r="D3167" t="inlineStr">
        <is>
          <t>VÄSTERBOTTENS LÄN</t>
        </is>
      </c>
      <c r="E3167" t="inlineStr">
        <is>
          <t>SKELLEFTEÅ</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36222-2024</t>
        </is>
      </c>
      <c r="B3168" s="1" t="n">
        <v>45534</v>
      </c>
      <c r="C3168" s="1" t="n">
        <v>45633</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36216-2024</t>
        </is>
      </c>
      <c r="B3169" s="1" t="n">
        <v>45534</v>
      </c>
      <c r="C3169" s="1" t="n">
        <v>45633</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36297-2024</t>
        </is>
      </c>
      <c r="B3170" s="1" t="n">
        <v>45534</v>
      </c>
      <c r="C3170" s="1" t="n">
        <v>45633</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36329-2024</t>
        </is>
      </c>
      <c r="B3171" s="1" t="n">
        <v>45534</v>
      </c>
      <c r="C3171" s="1" t="n">
        <v>45633</v>
      </c>
      <c r="D3171" t="inlineStr">
        <is>
          <t>VÄSTERBOTTENS LÄN</t>
        </is>
      </c>
      <c r="E3171" t="inlineStr">
        <is>
          <t>SKELLEFTEÅ</t>
        </is>
      </c>
      <c r="F3171" t="inlineStr">
        <is>
          <t>Holmen skog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36351-2024</t>
        </is>
      </c>
      <c r="B3172" s="1" t="n">
        <v>45534</v>
      </c>
      <c r="C3172" s="1" t="n">
        <v>45633</v>
      </c>
      <c r="D3172" t="inlineStr">
        <is>
          <t>VÄSTERBOTTENS LÄN</t>
        </is>
      </c>
      <c r="E3172" t="inlineStr">
        <is>
          <t>SKELLEFTEÅ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36379-2024</t>
        </is>
      </c>
      <c r="B3173" s="1" t="n">
        <v>45534</v>
      </c>
      <c r="C3173" s="1" t="n">
        <v>45633</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36339-2024</t>
        </is>
      </c>
      <c r="B3174" s="1" t="n">
        <v>45534</v>
      </c>
      <c r="C3174" s="1" t="n">
        <v>45633</v>
      </c>
      <c r="D3174" t="inlineStr">
        <is>
          <t>VÄSTERBOTTENS LÄN</t>
        </is>
      </c>
      <c r="E3174" t="inlineStr">
        <is>
          <t>SKELLEFTEÅ</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36490-2024</t>
        </is>
      </c>
      <c r="B3175" s="1" t="n">
        <v>45537</v>
      </c>
      <c r="C3175" s="1" t="n">
        <v>45633</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36546-2024</t>
        </is>
      </c>
      <c r="B3176" s="1" t="n">
        <v>45537</v>
      </c>
      <c r="C3176" s="1" t="n">
        <v>45633</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36513-2024</t>
        </is>
      </c>
      <c r="B3177" s="1" t="n">
        <v>45537</v>
      </c>
      <c r="C3177" s="1" t="n">
        <v>45633</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36533-2024</t>
        </is>
      </c>
      <c r="B3178" s="1" t="n">
        <v>45537</v>
      </c>
      <c r="C3178" s="1" t="n">
        <v>45633</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36537-2024</t>
        </is>
      </c>
      <c r="B3179" s="1" t="n">
        <v>45537</v>
      </c>
      <c r="C3179" s="1" t="n">
        <v>45633</v>
      </c>
      <c r="D3179" t="inlineStr">
        <is>
          <t>VÄSTERBOTTENS LÄN</t>
        </is>
      </c>
      <c r="E3179" t="inlineStr">
        <is>
          <t>SKELLEFTEÅ</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36698-2024</t>
        </is>
      </c>
      <c r="B3180" s="1" t="n">
        <v>45537</v>
      </c>
      <c r="C3180" s="1" t="n">
        <v>45633</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36794-2024</t>
        </is>
      </c>
      <c r="B3181" s="1" t="n">
        <v>45538</v>
      </c>
      <c r="C3181" s="1" t="n">
        <v>45633</v>
      </c>
      <c r="D3181" t="inlineStr">
        <is>
          <t>VÄSTERBOTTENS LÄN</t>
        </is>
      </c>
      <c r="E3181" t="inlineStr">
        <is>
          <t>SKELLEFTEÅ</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36806-2024</t>
        </is>
      </c>
      <c r="B3182" s="1" t="n">
        <v>45538</v>
      </c>
      <c r="C3182" s="1" t="n">
        <v>45633</v>
      </c>
      <c r="D3182" t="inlineStr">
        <is>
          <t>VÄSTERBOTTENS LÄN</t>
        </is>
      </c>
      <c r="E3182" t="inlineStr">
        <is>
          <t>SKELLEFTEÅ</t>
        </is>
      </c>
      <c r="F3182" t="inlineStr">
        <is>
          <t>Sveaskog</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36771-2024</t>
        </is>
      </c>
      <c r="B3183" s="1" t="n">
        <v>45538</v>
      </c>
      <c r="C3183" s="1" t="n">
        <v>45633</v>
      </c>
      <c r="D3183" t="inlineStr">
        <is>
          <t>VÄSTERBOTTENS LÄN</t>
        </is>
      </c>
      <c r="E3183" t="inlineStr">
        <is>
          <t>SKELLEFTEÅ</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36779-2024</t>
        </is>
      </c>
      <c r="B3184" s="1" t="n">
        <v>45538</v>
      </c>
      <c r="C3184" s="1" t="n">
        <v>45633</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36792-2024</t>
        </is>
      </c>
      <c r="B3185" s="1" t="n">
        <v>45538</v>
      </c>
      <c r="C3185" s="1" t="n">
        <v>45633</v>
      </c>
      <c r="D3185" t="inlineStr">
        <is>
          <t>VÄSTERBOTTENS LÄN</t>
        </is>
      </c>
      <c r="E3185" t="inlineStr">
        <is>
          <t>SKELLEFTEÅ</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36800-2024</t>
        </is>
      </c>
      <c r="B3186" s="1" t="n">
        <v>45538</v>
      </c>
      <c r="C3186" s="1" t="n">
        <v>45633</v>
      </c>
      <c r="D3186" t="inlineStr">
        <is>
          <t>VÄSTERBOTTENS LÄN</t>
        </is>
      </c>
      <c r="E3186" t="inlineStr">
        <is>
          <t>SKELLEFTEÅ</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36823-2024</t>
        </is>
      </c>
      <c r="B3187" s="1" t="n">
        <v>45538</v>
      </c>
      <c r="C3187" s="1" t="n">
        <v>45633</v>
      </c>
      <c r="D3187" t="inlineStr">
        <is>
          <t>VÄSTERBOTTENS LÄN</t>
        </is>
      </c>
      <c r="E3187" t="inlineStr">
        <is>
          <t>SKELLEFTEÅ</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36824-2024</t>
        </is>
      </c>
      <c r="B3188" s="1" t="n">
        <v>45538</v>
      </c>
      <c r="C3188" s="1" t="n">
        <v>45633</v>
      </c>
      <c r="D3188" t="inlineStr">
        <is>
          <t>VÄSTERBOTTENS LÄN</t>
        </is>
      </c>
      <c r="E3188" t="inlineStr">
        <is>
          <t>SKELLEFTEÅ</t>
        </is>
      </c>
      <c r="F3188" t="inlineStr">
        <is>
          <t>Sveaskog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36867-2024</t>
        </is>
      </c>
      <c r="B3189" s="1" t="n">
        <v>45538</v>
      </c>
      <c r="C3189" s="1" t="n">
        <v>45633</v>
      </c>
      <c r="D3189" t="inlineStr">
        <is>
          <t>VÄSTERBOTTENS LÄN</t>
        </is>
      </c>
      <c r="E3189" t="inlineStr">
        <is>
          <t>SKELLEFTEÅ</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36895-2024</t>
        </is>
      </c>
      <c r="B3190" s="1" t="n">
        <v>45538</v>
      </c>
      <c r="C3190" s="1" t="n">
        <v>45633</v>
      </c>
      <c r="D3190" t="inlineStr">
        <is>
          <t>VÄSTERBOTTENS LÄN</t>
        </is>
      </c>
      <c r="E3190" t="inlineStr">
        <is>
          <t>SKELLEFTEÅ</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37139-2024</t>
        </is>
      </c>
      <c r="B3191" s="1" t="n">
        <v>45539</v>
      </c>
      <c r="C3191" s="1" t="n">
        <v>45633</v>
      </c>
      <c r="D3191" t="inlineStr">
        <is>
          <t>VÄSTERBOTTENS LÄN</t>
        </is>
      </c>
      <c r="E3191" t="inlineStr">
        <is>
          <t>SKELLEFTEÅ</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37298-2024</t>
        </is>
      </c>
      <c r="B3192" s="1" t="n">
        <v>45540</v>
      </c>
      <c r="C3192" s="1" t="n">
        <v>45633</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37320-2024</t>
        </is>
      </c>
      <c r="B3193" s="1" t="n">
        <v>45540</v>
      </c>
      <c r="C3193" s="1" t="n">
        <v>45633</v>
      </c>
      <c r="D3193" t="inlineStr">
        <is>
          <t>VÄSTERBOTTENS LÄN</t>
        </is>
      </c>
      <c r="E3193" t="inlineStr">
        <is>
          <t>SKELLEFTEÅ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37499-2024</t>
        </is>
      </c>
      <c r="B3194" s="1" t="n">
        <v>45541</v>
      </c>
      <c r="C3194" s="1" t="n">
        <v>45633</v>
      </c>
      <c r="D3194" t="inlineStr">
        <is>
          <t>VÄSTERBOTTENS LÄN</t>
        </is>
      </c>
      <c r="E3194" t="inlineStr">
        <is>
          <t>SKELLEFTEÅ</t>
        </is>
      </c>
      <c r="F3194" t="inlineStr">
        <is>
          <t>Holmen skog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37547-2024</t>
        </is>
      </c>
      <c r="B3195" s="1" t="n">
        <v>45541</v>
      </c>
      <c r="C3195" s="1" t="n">
        <v>45633</v>
      </c>
      <c r="D3195" t="inlineStr">
        <is>
          <t>VÄSTERBOTTENS LÄN</t>
        </is>
      </c>
      <c r="E3195" t="inlineStr">
        <is>
          <t>SKELLEFTEÅ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37760-2024</t>
        </is>
      </c>
      <c r="B3196" s="1" t="n">
        <v>45541</v>
      </c>
      <c r="C3196" s="1" t="n">
        <v>45633</v>
      </c>
      <c r="D3196" t="inlineStr">
        <is>
          <t>VÄSTERBOTTENS LÄN</t>
        </is>
      </c>
      <c r="E3196" t="inlineStr">
        <is>
          <t>SKELLEFTEÅ</t>
        </is>
      </c>
      <c r="F3196" t="inlineStr">
        <is>
          <t>Sveaskog</t>
        </is>
      </c>
      <c r="G3196" t="n">
        <v>27.6</v>
      </c>
      <c r="H3196" t="n">
        <v>0</v>
      </c>
      <c r="I3196" t="n">
        <v>0</v>
      </c>
      <c r="J3196" t="n">
        <v>0</v>
      </c>
      <c r="K3196" t="n">
        <v>0</v>
      </c>
      <c r="L3196" t="n">
        <v>0</v>
      </c>
      <c r="M3196" t="n">
        <v>0</v>
      </c>
      <c r="N3196" t="n">
        <v>0</v>
      </c>
      <c r="O3196" t="n">
        <v>0</v>
      </c>
      <c r="P3196" t="n">
        <v>0</v>
      </c>
      <c r="Q3196" t="n">
        <v>0</v>
      </c>
      <c r="R3196" s="2" t="inlineStr"/>
    </row>
    <row r="3197" ht="15" customHeight="1">
      <c r="A3197" t="inlineStr">
        <is>
          <t>A 37892-2024</t>
        </is>
      </c>
      <c r="B3197" s="1" t="n">
        <v>45544</v>
      </c>
      <c r="C3197" s="1" t="n">
        <v>45633</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37946-2024</t>
        </is>
      </c>
      <c r="B3198" s="1" t="n">
        <v>45544</v>
      </c>
      <c r="C3198" s="1" t="n">
        <v>45633</v>
      </c>
      <c r="D3198" t="inlineStr">
        <is>
          <t>VÄSTERBOTTENS LÄN</t>
        </is>
      </c>
      <c r="E3198" t="inlineStr">
        <is>
          <t>SKELLEFTEÅ</t>
        </is>
      </c>
      <c r="F3198" t="inlineStr">
        <is>
          <t>Holmen skog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38023-2024</t>
        </is>
      </c>
      <c r="B3199" s="1" t="n">
        <v>45544</v>
      </c>
      <c r="C3199" s="1" t="n">
        <v>45633</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38432-2024</t>
        </is>
      </c>
      <c r="B3200" s="1" t="n">
        <v>45546</v>
      </c>
      <c r="C3200" s="1" t="n">
        <v>45633</v>
      </c>
      <c r="D3200" t="inlineStr">
        <is>
          <t>VÄSTERBOTTENS LÄN</t>
        </is>
      </c>
      <c r="E3200" t="inlineStr">
        <is>
          <t>SKELLEFTEÅ</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38496-2024</t>
        </is>
      </c>
      <c r="B3201" s="1" t="n">
        <v>45546</v>
      </c>
      <c r="C3201" s="1" t="n">
        <v>45633</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38558-2024</t>
        </is>
      </c>
      <c r="B3202" s="1" t="n">
        <v>45546</v>
      </c>
      <c r="C3202" s="1" t="n">
        <v>45633</v>
      </c>
      <c r="D3202" t="inlineStr">
        <is>
          <t>VÄSTERBOTTENS LÄN</t>
        </is>
      </c>
      <c r="E3202" t="inlineStr">
        <is>
          <t>SKELLEFTEÅ</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38398-2024</t>
        </is>
      </c>
      <c r="B3203" s="1" t="n">
        <v>45546</v>
      </c>
      <c r="C3203" s="1" t="n">
        <v>45633</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38430-2024</t>
        </is>
      </c>
      <c r="B3204" s="1" t="n">
        <v>45546</v>
      </c>
      <c r="C3204" s="1" t="n">
        <v>45633</v>
      </c>
      <c r="D3204" t="inlineStr">
        <is>
          <t>VÄSTERBOTTENS LÄN</t>
        </is>
      </c>
      <c r="E3204" t="inlineStr">
        <is>
          <t>SKELLEFTEÅ</t>
        </is>
      </c>
      <c r="F3204" t="inlineStr">
        <is>
          <t>Holmen skog AB</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38445-2024</t>
        </is>
      </c>
      <c r="B3205" s="1" t="n">
        <v>45546</v>
      </c>
      <c r="C3205" s="1" t="n">
        <v>45633</v>
      </c>
      <c r="D3205" t="inlineStr">
        <is>
          <t>VÄSTERBOTTENS LÄN</t>
        </is>
      </c>
      <c r="E3205" t="inlineStr">
        <is>
          <t>SKELLEFTEÅ</t>
        </is>
      </c>
      <c r="F3205" t="inlineStr">
        <is>
          <t>Holmen skog AB</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38493-2024</t>
        </is>
      </c>
      <c r="B3206" s="1" t="n">
        <v>45546</v>
      </c>
      <c r="C3206" s="1" t="n">
        <v>45633</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38503-2024</t>
        </is>
      </c>
      <c r="B3207" s="1" t="n">
        <v>45546</v>
      </c>
      <c r="C3207" s="1" t="n">
        <v>45633</v>
      </c>
      <c r="D3207" t="inlineStr">
        <is>
          <t>VÄSTERBOTTENS LÄN</t>
        </is>
      </c>
      <c r="E3207" t="inlineStr">
        <is>
          <t>SKELLEFTEÅ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38532-2024</t>
        </is>
      </c>
      <c r="B3208" s="1" t="n">
        <v>45546</v>
      </c>
      <c r="C3208" s="1" t="n">
        <v>45633</v>
      </c>
      <c r="D3208" t="inlineStr">
        <is>
          <t>VÄSTERBOTTENS LÄN</t>
        </is>
      </c>
      <c r="E3208" t="inlineStr">
        <is>
          <t>SKELLEFTEÅ</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38568-2024</t>
        </is>
      </c>
      <c r="B3209" s="1" t="n">
        <v>45546</v>
      </c>
      <c r="C3209" s="1" t="n">
        <v>45633</v>
      </c>
      <c r="D3209" t="inlineStr">
        <is>
          <t>VÄSTERBOTTENS LÄN</t>
        </is>
      </c>
      <c r="E3209" t="inlineStr">
        <is>
          <t>SKELLEFTEÅ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38588-2024</t>
        </is>
      </c>
      <c r="B3210" s="1" t="n">
        <v>45546</v>
      </c>
      <c r="C3210" s="1" t="n">
        <v>45633</v>
      </c>
      <c r="D3210" t="inlineStr">
        <is>
          <t>VÄSTERBOTTENS LÄN</t>
        </is>
      </c>
      <c r="E3210" t="inlineStr">
        <is>
          <t>SKELLEFTEÅ</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38616-2024</t>
        </is>
      </c>
      <c r="B3211" s="1" t="n">
        <v>45546</v>
      </c>
      <c r="C3211" s="1" t="n">
        <v>45633</v>
      </c>
      <c r="D3211" t="inlineStr">
        <is>
          <t>VÄSTERBOTTENS LÄN</t>
        </is>
      </c>
      <c r="E3211" t="inlineStr">
        <is>
          <t>SKELLEFTEÅ</t>
        </is>
      </c>
      <c r="F3211" t="inlineStr">
        <is>
          <t>Holmen skog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38620-2024</t>
        </is>
      </c>
      <c r="B3212" s="1" t="n">
        <v>45546</v>
      </c>
      <c r="C3212" s="1" t="n">
        <v>45633</v>
      </c>
      <c r="D3212" t="inlineStr">
        <is>
          <t>VÄSTERBOTTENS LÄN</t>
        </is>
      </c>
      <c r="E3212" t="inlineStr">
        <is>
          <t>SKELLEFTEÅ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38637-2024</t>
        </is>
      </c>
      <c r="B3213" s="1" t="n">
        <v>45546</v>
      </c>
      <c r="C3213" s="1" t="n">
        <v>45633</v>
      </c>
      <c r="D3213" t="inlineStr">
        <is>
          <t>VÄSTERBOTTENS LÄN</t>
        </is>
      </c>
      <c r="E3213" t="inlineStr">
        <is>
          <t>SKELLEFTEÅ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38635-2024</t>
        </is>
      </c>
      <c r="B3214" s="1" t="n">
        <v>45546</v>
      </c>
      <c r="C3214" s="1" t="n">
        <v>45633</v>
      </c>
      <c r="D3214" t="inlineStr">
        <is>
          <t>VÄSTERBOTTENS LÄN</t>
        </is>
      </c>
      <c r="E3214" t="inlineStr">
        <is>
          <t>SKELLEFTEÅ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38657-2024</t>
        </is>
      </c>
      <c r="B3215" s="1" t="n">
        <v>45546</v>
      </c>
      <c r="C3215" s="1" t="n">
        <v>45633</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38706-2024</t>
        </is>
      </c>
      <c r="B3216" s="1" t="n">
        <v>45547</v>
      </c>
      <c r="C3216" s="1" t="n">
        <v>45633</v>
      </c>
      <c r="D3216" t="inlineStr">
        <is>
          <t>VÄSTERBOTTENS LÄN</t>
        </is>
      </c>
      <c r="E3216" t="inlineStr">
        <is>
          <t>SKELLEFTEÅ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38935-2024</t>
        </is>
      </c>
      <c r="B3217" s="1" t="n">
        <v>45548</v>
      </c>
      <c r="C3217" s="1" t="n">
        <v>45633</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38957-2024</t>
        </is>
      </c>
      <c r="B3218" s="1" t="n">
        <v>45548</v>
      </c>
      <c r="C3218" s="1" t="n">
        <v>45633</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39054-2024</t>
        </is>
      </c>
      <c r="B3219" s="1" t="n">
        <v>45548</v>
      </c>
      <c r="C3219" s="1" t="n">
        <v>45633</v>
      </c>
      <c r="D3219" t="inlineStr">
        <is>
          <t>VÄSTERBOTTENS LÄN</t>
        </is>
      </c>
      <c r="E3219" t="inlineStr">
        <is>
          <t>SKELLEFTEÅ</t>
        </is>
      </c>
      <c r="F3219" t="inlineStr">
        <is>
          <t>Sveaskog</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39146-2024</t>
        </is>
      </c>
      <c r="B3220" s="1" t="n">
        <v>45548</v>
      </c>
      <c r="C3220" s="1" t="n">
        <v>45633</v>
      </c>
      <c r="D3220" t="inlineStr">
        <is>
          <t>VÄSTERBOTTENS LÄN</t>
        </is>
      </c>
      <c r="E3220" t="inlineStr">
        <is>
          <t>SKELLEFTEÅ</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39133-2024</t>
        </is>
      </c>
      <c r="B3221" s="1" t="n">
        <v>45548</v>
      </c>
      <c r="C3221" s="1" t="n">
        <v>45633</v>
      </c>
      <c r="D3221" t="inlineStr">
        <is>
          <t>VÄSTERBOTTENS LÄN</t>
        </is>
      </c>
      <c r="E3221" t="inlineStr">
        <is>
          <t>SKELLEFTEÅ</t>
        </is>
      </c>
      <c r="F3221" t="inlineStr">
        <is>
          <t>Sveaskog</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39371-2024</t>
        </is>
      </c>
      <c r="B3222" s="1" t="n">
        <v>45551</v>
      </c>
      <c r="C3222" s="1" t="n">
        <v>45633</v>
      </c>
      <c r="D3222" t="inlineStr">
        <is>
          <t>VÄSTERBOTTENS LÄN</t>
        </is>
      </c>
      <c r="E3222" t="inlineStr">
        <is>
          <t>SKELLEFTEÅ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39444-2024</t>
        </is>
      </c>
      <c r="B3223" s="1" t="n">
        <v>45551</v>
      </c>
      <c r="C3223" s="1" t="n">
        <v>45633</v>
      </c>
      <c r="D3223" t="inlineStr">
        <is>
          <t>VÄSTERBOTTENS LÄN</t>
        </is>
      </c>
      <c r="E3223" t="inlineStr">
        <is>
          <t>SKELLEFTEÅ</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39465-2024</t>
        </is>
      </c>
      <c r="B3224" s="1" t="n">
        <v>45551</v>
      </c>
      <c r="C3224" s="1" t="n">
        <v>45633</v>
      </c>
      <c r="D3224" t="inlineStr">
        <is>
          <t>VÄSTERBOTTENS LÄN</t>
        </is>
      </c>
      <c r="E3224" t="inlineStr">
        <is>
          <t>SKELLEFTEÅ</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39464-2024</t>
        </is>
      </c>
      <c r="B3225" s="1" t="n">
        <v>45551</v>
      </c>
      <c r="C3225" s="1" t="n">
        <v>45633</v>
      </c>
      <c r="D3225" t="inlineStr">
        <is>
          <t>VÄSTERBOTTENS LÄN</t>
        </is>
      </c>
      <c r="E3225" t="inlineStr">
        <is>
          <t>SKELLEFTEÅ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39468-2024</t>
        </is>
      </c>
      <c r="B3226" s="1" t="n">
        <v>45551</v>
      </c>
      <c r="C3226" s="1" t="n">
        <v>45633</v>
      </c>
      <c r="D3226" t="inlineStr">
        <is>
          <t>VÄSTERBOTTENS LÄN</t>
        </is>
      </c>
      <c r="E3226" t="inlineStr">
        <is>
          <t>SKELLEFTEÅ</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39690-2024</t>
        </is>
      </c>
      <c r="B3227" s="1" t="n">
        <v>45552</v>
      </c>
      <c r="C3227" s="1" t="n">
        <v>45633</v>
      </c>
      <c r="D3227" t="inlineStr">
        <is>
          <t>VÄSTERBOTTENS LÄN</t>
        </is>
      </c>
      <c r="E3227" t="inlineStr">
        <is>
          <t>SKELLEFTEÅ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39765-2024</t>
        </is>
      </c>
      <c r="B3228" s="1" t="n">
        <v>45552</v>
      </c>
      <c r="C3228" s="1" t="n">
        <v>45633</v>
      </c>
      <c r="D3228" t="inlineStr">
        <is>
          <t>VÄSTERBOTTENS LÄN</t>
        </is>
      </c>
      <c r="E3228" t="inlineStr">
        <is>
          <t>SKELLEFTEÅ</t>
        </is>
      </c>
      <c r="F3228" t="inlineStr">
        <is>
          <t>Sveaskog</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39691-2024</t>
        </is>
      </c>
      <c r="B3229" s="1" t="n">
        <v>45552</v>
      </c>
      <c r="C3229" s="1" t="n">
        <v>45633</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39794-2024</t>
        </is>
      </c>
      <c r="B3230" s="1" t="n">
        <v>45553</v>
      </c>
      <c r="C3230" s="1" t="n">
        <v>45633</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39852-2024</t>
        </is>
      </c>
      <c r="B3231" s="1" t="n">
        <v>45553</v>
      </c>
      <c r="C3231" s="1" t="n">
        <v>45633</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39870-2024</t>
        </is>
      </c>
      <c r="B3232" s="1" t="n">
        <v>45553</v>
      </c>
      <c r="C3232" s="1" t="n">
        <v>45633</v>
      </c>
      <c r="D3232" t="inlineStr">
        <is>
          <t>VÄSTERBOTTENS LÄN</t>
        </is>
      </c>
      <c r="E3232" t="inlineStr">
        <is>
          <t>SKELLEFTEÅ</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v>
      </c>
      <c r="C3233" s="1" t="n">
        <v>45633</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40205-2024</t>
        </is>
      </c>
      <c r="B3234" s="1" t="n">
        <v>45554</v>
      </c>
      <c r="C3234" s="1" t="n">
        <v>45633</v>
      </c>
      <c r="D3234" t="inlineStr">
        <is>
          <t>VÄSTERBOTTENS LÄN</t>
        </is>
      </c>
      <c r="E3234" t="inlineStr">
        <is>
          <t>SKELLEFTEÅ</t>
        </is>
      </c>
      <c r="F3234" t="inlineStr">
        <is>
          <t>Holmen skog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40118-2024</t>
        </is>
      </c>
      <c r="B3235" s="1" t="n">
        <v>45554</v>
      </c>
      <c r="C3235" s="1" t="n">
        <v>45633</v>
      </c>
      <c r="D3235" t="inlineStr">
        <is>
          <t>VÄSTERBOTTENS LÄN</t>
        </is>
      </c>
      <c r="E3235" t="inlineStr">
        <is>
          <t>SKELLEFTEÅ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40122-2024</t>
        </is>
      </c>
      <c r="B3236" s="1" t="n">
        <v>45554</v>
      </c>
      <c r="C3236" s="1" t="n">
        <v>45633</v>
      </c>
      <c r="D3236" t="inlineStr">
        <is>
          <t>VÄSTERBOTTENS LÄN</t>
        </is>
      </c>
      <c r="E3236" t="inlineStr">
        <is>
          <t>SKELLEFTEÅ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40253-2024</t>
        </is>
      </c>
      <c r="B3237" s="1" t="n">
        <v>45554</v>
      </c>
      <c r="C3237" s="1" t="n">
        <v>45633</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40093-2024</t>
        </is>
      </c>
      <c r="B3238" s="1" t="n">
        <v>45554</v>
      </c>
      <c r="C3238" s="1" t="n">
        <v>45633</v>
      </c>
      <c r="D3238" t="inlineStr">
        <is>
          <t>VÄSTERBOTTENS LÄN</t>
        </is>
      </c>
      <c r="E3238" t="inlineStr">
        <is>
          <t>SKELLEFTEÅ</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40198-2024</t>
        </is>
      </c>
      <c r="B3239" s="1" t="n">
        <v>45554</v>
      </c>
      <c r="C3239" s="1" t="n">
        <v>45633</v>
      </c>
      <c r="D3239" t="inlineStr">
        <is>
          <t>VÄSTERBOTTENS LÄN</t>
        </is>
      </c>
      <c r="E3239" t="inlineStr">
        <is>
          <t>SKELLEFTEÅ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40248-2024</t>
        </is>
      </c>
      <c r="B3240" s="1" t="n">
        <v>45554</v>
      </c>
      <c r="C3240" s="1" t="n">
        <v>45633</v>
      </c>
      <c r="D3240" t="inlineStr">
        <is>
          <t>VÄSTERBOTTENS LÄN</t>
        </is>
      </c>
      <c r="E3240" t="inlineStr">
        <is>
          <t>SKELLEFTEÅ</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40183-2024</t>
        </is>
      </c>
      <c r="B3241" s="1" t="n">
        <v>45554</v>
      </c>
      <c r="C3241" s="1" t="n">
        <v>45633</v>
      </c>
      <c r="D3241" t="inlineStr">
        <is>
          <t>VÄSTERBOTTENS LÄN</t>
        </is>
      </c>
      <c r="E3241" t="inlineStr">
        <is>
          <t>SKELLEFTEÅ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40347-2024</t>
        </is>
      </c>
      <c r="B3242" s="1" t="n">
        <v>45555</v>
      </c>
      <c r="C3242" s="1" t="n">
        <v>45633</v>
      </c>
      <c r="D3242" t="inlineStr">
        <is>
          <t>VÄSTERBOTTENS LÄN</t>
        </is>
      </c>
      <c r="E3242" t="inlineStr">
        <is>
          <t>SKELLEFTEÅ</t>
        </is>
      </c>
      <c r="F3242" t="inlineStr">
        <is>
          <t>Kommuner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40511-2024</t>
        </is>
      </c>
      <c r="B3243" s="1" t="n">
        <v>45555</v>
      </c>
      <c r="C3243" s="1" t="n">
        <v>45633</v>
      </c>
      <c r="D3243" t="inlineStr">
        <is>
          <t>VÄSTERBOTTENS LÄN</t>
        </is>
      </c>
      <c r="E3243" t="inlineStr">
        <is>
          <t>SKELLEFTEÅ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40653-2024</t>
        </is>
      </c>
      <c r="B3244" s="1" t="n">
        <v>45558</v>
      </c>
      <c r="C3244" s="1" t="n">
        <v>45633</v>
      </c>
      <c r="D3244" t="inlineStr">
        <is>
          <t>VÄSTERBOTTENS LÄN</t>
        </is>
      </c>
      <c r="E3244" t="inlineStr">
        <is>
          <t>SKELLEFTEÅ</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40787-2024</t>
        </is>
      </c>
      <c r="B3245" s="1" t="n">
        <v>45558</v>
      </c>
      <c r="C3245" s="1" t="n">
        <v>45633</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40800-2024</t>
        </is>
      </c>
      <c r="B3246" s="1" t="n">
        <v>45558</v>
      </c>
      <c r="C3246" s="1" t="n">
        <v>45633</v>
      </c>
      <c r="D3246" t="inlineStr">
        <is>
          <t>VÄSTERBOTTENS LÄN</t>
        </is>
      </c>
      <c r="E3246" t="inlineStr">
        <is>
          <t>SKELLEFTEÅ</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40857-2024</t>
        </is>
      </c>
      <c r="B3247" s="1" t="n">
        <v>45558</v>
      </c>
      <c r="C3247" s="1" t="n">
        <v>45633</v>
      </c>
      <c r="D3247" t="inlineStr">
        <is>
          <t>VÄSTERBOTTENS LÄN</t>
        </is>
      </c>
      <c r="E3247" t="inlineStr">
        <is>
          <t>SKELLEFTEÅ</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40967-2024</t>
        </is>
      </c>
      <c r="B3248" s="1" t="n">
        <v>45558</v>
      </c>
      <c r="C3248" s="1" t="n">
        <v>45633</v>
      </c>
      <c r="D3248" t="inlineStr">
        <is>
          <t>VÄSTERBOTTENS LÄN</t>
        </is>
      </c>
      <c r="E3248" t="inlineStr">
        <is>
          <t>SKELLEFTEÅ</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40966-2024</t>
        </is>
      </c>
      <c r="B3249" s="1" t="n">
        <v>45558</v>
      </c>
      <c r="C3249" s="1" t="n">
        <v>45633</v>
      </c>
      <c r="D3249" t="inlineStr">
        <is>
          <t>VÄSTERBOTTENS LÄN</t>
        </is>
      </c>
      <c r="E3249" t="inlineStr">
        <is>
          <t>SKELLEFTEÅ</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40798-2024</t>
        </is>
      </c>
      <c r="B3250" s="1" t="n">
        <v>45558</v>
      </c>
      <c r="C3250" s="1" t="n">
        <v>45633</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40765-2024</t>
        </is>
      </c>
      <c r="B3251" s="1" t="n">
        <v>45558</v>
      </c>
      <c r="C3251" s="1" t="n">
        <v>45633</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40797-2024</t>
        </is>
      </c>
      <c r="B3252" s="1" t="n">
        <v>45558</v>
      </c>
      <c r="C3252" s="1" t="n">
        <v>45633</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40927-2024</t>
        </is>
      </c>
      <c r="B3253" s="1" t="n">
        <v>45558</v>
      </c>
      <c r="C3253" s="1" t="n">
        <v>45633</v>
      </c>
      <c r="D3253" t="inlineStr">
        <is>
          <t>VÄSTERBOTTENS LÄN</t>
        </is>
      </c>
      <c r="E3253" t="inlineStr">
        <is>
          <t>SKELLEFTEÅ</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41032-2024</t>
        </is>
      </c>
      <c r="B3254" s="1" t="n">
        <v>45558</v>
      </c>
      <c r="C3254" s="1" t="n">
        <v>45633</v>
      </c>
      <c r="D3254" t="inlineStr">
        <is>
          <t>VÄSTERBOTTENS LÄN</t>
        </is>
      </c>
      <c r="E3254" t="inlineStr">
        <is>
          <t>SKELLEFTEÅ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41038-2024</t>
        </is>
      </c>
      <c r="B3255" s="1" t="n">
        <v>45559</v>
      </c>
      <c r="C3255" s="1" t="n">
        <v>45633</v>
      </c>
      <c r="D3255" t="inlineStr">
        <is>
          <t>VÄSTERBOTTENS LÄN</t>
        </is>
      </c>
      <c r="E3255" t="inlineStr">
        <is>
          <t>SKELLEFTEÅ</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41056-2024</t>
        </is>
      </c>
      <c r="B3256" s="1" t="n">
        <v>45559</v>
      </c>
      <c r="C3256" s="1" t="n">
        <v>45633</v>
      </c>
      <c r="D3256" t="inlineStr">
        <is>
          <t>VÄSTERBOTTENS LÄN</t>
        </is>
      </c>
      <c r="E3256" t="inlineStr">
        <is>
          <t>SKELLEFTEÅ</t>
        </is>
      </c>
      <c r="F3256" t="inlineStr">
        <is>
          <t>Holmen skog AB</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41064-2024</t>
        </is>
      </c>
      <c r="B3257" s="1" t="n">
        <v>45559</v>
      </c>
      <c r="C3257" s="1" t="n">
        <v>45633</v>
      </c>
      <c r="D3257" t="inlineStr">
        <is>
          <t>VÄSTERBOTTENS LÄN</t>
        </is>
      </c>
      <c r="E3257" t="inlineStr">
        <is>
          <t>SKELLEFTEÅ</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41072-2024</t>
        </is>
      </c>
      <c r="B3258" s="1" t="n">
        <v>45559</v>
      </c>
      <c r="C3258" s="1" t="n">
        <v>45633</v>
      </c>
      <c r="D3258" t="inlineStr">
        <is>
          <t>VÄSTERBOTTENS LÄN</t>
        </is>
      </c>
      <c r="E3258" t="inlineStr">
        <is>
          <t>SKELLEFTEÅ</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41112-2024</t>
        </is>
      </c>
      <c r="B3259" s="1" t="n">
        <v>45559</v>
      </c>
      <c r="C3259" s="1" t="n">
        <v>45633</v>
      </c>
      <c r="D3259" t="inlineStr">
        <is>
          <t>VÄSTERBOTTENS LÄN</t>
        </is>
      </c>
      <c r="E3259" t="inlineStr">
        <is>
          <t>SKELLEFTEÅ</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41133-2024</t>
        </is>
      </c>
      <c r="B3260" s="1" t="n">
        <v>45559</v>
      </c>
      <c r="C3260" s="1" t="n">
        <v>45633</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41231-2024</t>
        </is>
      </c>
      <c r="B3261" s="1" t="n">
        <v>45559</v>
      </c>
      <c r="C3261" s="1" t="n">
        <v>45633</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41190-2024</t>
        </is>
      </c>
      <c r="B3262" s="1" t="n">
        <v>45559</v>
      </c>
      <c r="C3262" s="1" t="n">
        <v>45633</v>
      </c>
      <c r="D3262" t="inlineStr">
        <is>
          <t>VÄSTERBOTTENS LÄN</t>
        </is>
      </c>
      <c r="E3262" t="inlineStr">
        <is>
          <t>SKELLEFTEÅ</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41198-2024</t>
        </is>
      </c>
      <c r="B3263" s="1" t="n">
        <v>45559</v>
      </c>
      <c r="C3263" s="1" t="n">
        <v>45633</v>
      </c>
      <c r="D3263" t="inlineStr">
        <is>
          <t>VÄSTERBOTTENS LÄN</t>
        </is>
      </c>
      <c r="E3263" t="inlineStr">
        <is>
          <t>SKELLEFTEÅ</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41226-2024</t>
        </is>
      </c>
      <c r="B3264" s="1" t="n">
        <v>45559</v>
      </c>
      <c r="C3264" s="1" t="n">
        <v>45633</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41304-2024</t>
        </is>
      </c>
      <c r="B3265" s="1" t="n">
        <v>45559</v>
      </c>
      <c r="C3265" s="1" t="n">
        <v>45633</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41320-2024</t>
        </is>
      </c>
      <c r="B3266" s="1" t="n">
        <v>45559</v>
      </c>
      <c r="C3266" s="1" t="n">
        <v>45633</v>
      </c>
      <c r="D3266" t="inlineStr">
        <is>
          <t>VÄSTERBOTTENS LÄN</t>
        </is>
      </c>
      <c r="E3266" t="inlineStr">
        <is>
          <t>SKELLEFTEÅ</t>
        </is>
      </c>
      <c r="G3266" t="n">
        <v>24.7</v>
      </c>
      <c r="H3266" t="n">
        <v>0</v>
      </c>
      <c r="I3266" t="n">
        <v>0</v>
      </c>
      <c r="J3266" t="n">
        <v>0</v>
      </c>
      <c r="K3266" t="n">
        <v>0</v>
      </c>
      <c r="L3266" t="n">
        <v>0</v>
      </c>
      <c r="M3266" t="n">
        <v>0</v>
      </c>
      <c r="N3266" t="n">
        <v>0</v>
      </c>
      <c r="O3266" t="n">
        <v>0</v>
      </c>
      <c r="P3266" t="n">
        <v>0</v>
      </c>
      <c r="Q3266" t="n">
        <v>0</v>
      </c>
      <c r="R3266" s="2" t="inlineStr"/>
    </row>
    <row r="3267" ht="15" customHeight="1">
      <c r="A3267" t="inlineStr">
        <is>
          <t>A 41245-2024</t>
        </is>
      </c>
      <c r="B3267" s="1" t="n">
        <v>45559</v>
      </c>
      <c r="C3267" s="1" t="n">
        <v>45633</v>
      </c>
      <c r="D3267" t="inlineStr">
        <is>
          <t>VÄSTERBOTTENS LÄN</t>
        </is>
      </c>
      <c r="E3267" t="inlineStr">
        <is>
          <t>SKELLEFTEÅ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41297-2024</t>
        </is>
      </c>
      <c r="B3268" s="1" t="n">
        <v>45559</v>
      </c>
      <c r="C3268" s="1" t="n">
        <v>45633</v>
      </c>
      <c r="D3268" t="inlineStr">
        <is>
          <t>VÄSTERBOTTENS LÄN</t>
        </is>
      </c>
      <c r="E3268" t="inlineStr">
        <is>
          <t>SKELLEFTEÅ</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41319-2024</t>
        </is>
      </c>
      <c r="B3269" s="1" t="n">
        <v>45559</v>
      </c>
      <c r="C3269" s="1" t="n">
        <v>45633</v>
      </c>
      <c r="D3269" t="inlineStr">
        <is>
          <t>VÄSTERBOTTENS LÄN</t>
        </is>
      </c>
      <c r="E3269" t="inlineStr">
        <is>
          <t>SKELLEFTEÅ</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41033-2024</t>
        </is>
      </c>
      <c r="B3270" s="1" t="n">
        <v>45559</v>
      </c>
      <c r="C3270" s="1" t="n">
        <v>45633</v>
      </c>
      <c r="D3270" t="inlineStr">
        <is>
          <t>VÄSTERBOTTENS LÄN</t>
        </is>
      </c>
      <c r="E3270" t="inlineStr">
        <is>
          <t>SKELLEFTEÅ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41037-2024</t>
        </is>
      </c>
      <c r="B3271" s="1" t="n">
        <v>45559</v>
      </c>
      <c r="C3271" s="1" t="n">
        <v>45633</v>
      </c>
      <c r="D3271" t="inlineStr">
        <is>
          <t>VÄSTERBOTTENS LÄN</t>
        </is>
      </c>
      <c r="E3271" t="inlineStr">
        <is>
          <t>SKELLEFTEÅ</t>
        </is>
      </c>
      <c r="F3271" t="inlineStr">
        <is>
          <t>Sveaskog</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41118-2024</t>
        </is>
      </c>
      <c r="B3272" s="1" t="n">
        <v>45559</v>
      </c>
      <c r="C3272" s="1" t="n">
        <v>45633</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41155-2024</t>
        </is>
      </c>
      <c r="B3273" s="1" t="n">
        <v>45559</v>
      </c>
      <c r="C3273" s="1" t="n">
        <v>45633</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41242-2024</t>
        </is>
      </c>
      <c r="B3274" s="1" t="n">
        <v>45559</v>
      </c>
      <c r="C3274" s="1" t="n">
        <v>45633</v>
      </c>
      <c r="D3274" t="inlineStr">
        <is>
          <t>VÄSTERBOTTENS LÄN</t>
        </is>
      </c>
      <c r="E3274" t="inlineStr">
        <is>
          <t>SKELLEFTEÅ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41669-2024</t>
        </is>
      </c>
      <c r="B3275" s="1" t="n">
        <v>45560</v>
      </c>
      <c r="C3275" s="1" t="n">
        <v>45633</v>
      </c>
      <c r="D3275" t="inlineStr">
        <is>
          <t>VÄSTERBOTTENS LÄN</t>
        </is>
      </c>
      <c r="E3275" t="inlineStr">
        <is>
          <t>SKELLEFTEÅ</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41642-2024</t>
        </is>
      </c>
      <c r="B3276" s="1" t="n">
        <v>45560</v>
      </c>
      <c r="C3276" s="1" t="n">
        <v>45633</v>
      </c>
      <c r="D3276" t="inlineStr">
        <is>
          <t>VÄSTERBOTTENS LÄN</t>
        </is>
      </c>
      <c r="E3276" t="inlineStr">
        <is>
          <t>SKELLEFTEÅ</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41582-2024</t>
        </is>
      </c>
      <c r="B3277" s="1" t="n">
        <v>45560</v>
      </c>
      <c r="C3277" s="1" t="n">
        <v>45633</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41710-2024</t>
        </is>
      </c>
      <c r="B3278" s="1" t="n">
        <v>45560</v>
      </c>
      <c r="C3278" s="1" t="n">
        <v>45633</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41794-2024</t>
        </is>
      </c>
      <c r="B3279" s="1" t="n">
        <v>45561</v>
      </c>
      <c r="C3279" s="1" t="n">
        <v>45633</v>
      </c>
      <c r="D3279" t="inlineStr">
        <is>
          <t>VÄSTERBOTTENS LÄN</t>
        </is>
      </c>
      <c r="E3279" t="inlineStr">
        <is>
          <t>SKELLEFTEÅ</t>
        </is>
      </c>
      <c r="F3279" t="inlineStr">
        <is>
          <t>Kommuner</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42249-2024</t>
        </is>
      </c>
      <c r="B3280" s="1" t="n">
        <v>45562</v>
      </c>
      <c r="C3280" s="1" t="n">
        <v>45633</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42297-2024</t>
        </is>
      </c>
      <c r="B3281" s="1" t="n">
        <v>45562</v>
      </c>
      <c r="C3281" s="1" t="n">
        <v>45633</v>
      </c>
      <c r="D3281" t="inlineStr">
        <is>
          <t>VÄSTERBOTTENS LÄN</t>
        </is>
      </c>
      <c r="E3281" t="inlineStr">
        <is>
          <t>SKELLEFTEÅ</t>
        </is>
      </c>
      <c r="G3281" t="n">
        <v>14.4</v>
      </c>
      <c r="H3281" t="n">
        <v>0</v>
      </c>
      <c r="I3281" t="n">
        <v>0</v>
      </c>
      <c r="J3281" t="n">
        <v>0</v>
      </c>
      <c r="K3281" t="n">
        <v>0</v>
      </c>
      <c r="L3281" t="n">
        <v>0</v>
      </c>
      <c r="M3281" t="n">
        <v>0</v>
      </c>
      <c r="N3281" t="n">
        <v>0</v>
      </c>
      <c r="O3281" t="n">
        <v>0</v>
      </c>
      <c r="P3281" t="n">
        <v>0</v>
      </c>
      <c r="Q3281" t="n">
        <v>0</v>
      </c>
      <c r="R3281" s="2" t="inlineStr"/>
    </row>
    <row r="3282" ht="15" customHeight="1">
      <c r="A3282" t="inlineStr">
        <is>
          <t>A 42223-2024</t>
        </is>
      </c>
      <c r="B3282" s="1" t="n">
        <v>45562</v>
      </c>
      <c r="C3282" s="1" t="n">
        <v>45633</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42216-2024</t>
        </is>
      </c>
      <c r="B3283" s="1" t="n">
        <v>45562</v>
      </c>
      <c r="C3283" s="1" t="n">
        <v>45633</v>
      </c>
      <c r="D3283" t="inlineStr">
        <is>
          <t>VÄSTERBOTTENS LÄN</t>
        </is>
      </c>
      <c r="E3283" t="inlineStr">
        <is>
          <t>SKELLEFTEÅ</t>
        </is>
      </c>
      <c r="F3283" t="inlineStr">
        <is>
          <t>Holmen skog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42248-2024</t>
        </is>
      </c>
      <c r="B3284" s="1" t="n">
        <v>45562</v>
      </c>
      <c r="C3284" s="1" t="n">
        <v>45633</v>
      </c>
      <c r="D3284" t="inlineStr">
        <is>
          <t>VÄSTERBOTTENS LÄN</t>
        </is>
      </c>
      <c r="E3284" t="inlineStr">
        <is>
          <t>SKELLEFTEÅ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42508-2024</t>
        </is>
      </c>
      <c r="B3285" s="1" t="n">
        <v>45565</v>
      </c>
      <c r="C3285" s="1" t="n">
        <v>45633</v>
      </c>
      <c r="D3285" t="inlineStr">
        <is>
          <t>VÄSTERBOTTENS LÄN</t>
        </is>
      </c>
      <c r="E3285" t="inlineStr">
        <is>
          <t>SKELLEFTEÅ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42610-2024</t>
        </is>
      </c>
      <c r="B3286" s="1" t="n">
        <v>45565</v>
      </c>
      <c r="C3286" s="1" t="n">
        <v>45633</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42507-2024</t>
        </is>
      </c>
      <c r="B3287" s="1" t="n">
        <v>45565</v>
      </c>
      <c r="C3287" s="1" t="n">
        <v>45633</v>
      </c>
      <c r="D3287" t="inlineStr">
        <is>
          <t>VÄSTERBOTTENS LÄN</t>
        </is>
      </c>
      <c r="E3287" t="inlineStr">
        <is>
          <t>SKELLEFTEÅ</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42560-2024</t>
        </is>
      </c>
      <c r="B3288" s="1" t="n">
        <v>45565</v>
      </c>
      <c r="C3288" s="1" t="n">
        <v>45633</v>
      </c>
      <c r="D3288" t="inlineStr">
        <is>
          <t>VÄSTERBOTTENS LÄN</t>
        </is>
      </c>
      <c r="E3288" t="inlineStr">
        <is>
          <t>SKELLEFTEÅ</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42548-2024</t>
        </is>
      </c>
      <c r="B3289" s="1" t="n">
        <v>45565</v>
      </c>
      <c r="C3289" s="1" t="n">
        <v>45633</v>
      </c>
      <c r="D3289" t="inlineStr">
        <is>
          <t>VÄSTERBOTTENS LÄN</t>
        </is>
      </c>
      <c r="E3289" t="inlineStr">
        <is>
          <t>SKELLEFTEÅ</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42599-2024</t>
        </is>
      </c>
      <c r="B3290" s="1" t="n">
        <v>45565</v>
      </c>
      <c r="C3290" s="1" t="n">
        <v>45633</v>
      </c>
      <c r="D3290" t="inlineStr">
        <is>
          <t>VÄSTERBOTTENS LÄN</t>
        </is>
      </c>
      <c r="E3290" t="inlineStr">
        <is>
          <t>SKELLEFTEÅ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42559-2024</t>
        </is>
      </c>
      <c r="B3291" s="1" t="n">
        <v>45565</v>
      </c>
      <c r="C3291" s="1" t="n">
        <v>45633</v>
      </c>
      <c r="D3291" t="inlineStr">
        <is>
          <t>VÄSTERBOTTENS LÄN</t>
        </is>
      </c>
      <c r="E3291" t="inlineStr">
        <is>
          <t>SKELLEFTEÅ</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42877-2024</t>
        </is>
      </c>
      <c r="B3292" s="1" t="n">
        <v>45566</v>
      </c>
      <c r="C3292" s="1" t="n">
        <v>45633</v>
      </c>
      <c r="D3292" t="inlineStr">
        <is>
          <t>VÄSTERBOTTENS LÄN</t>
        </is>
      </c>
      <c r="E3292" t="inlineStr">
        <is>
          <t>SKELLEFTEÅ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42861-2024</t>
        </is>
      </c>
      <c r="B3293" s="1" t="n">
        <v>45566</v>
      </c>
      <c r="C3293" s="1" t="n">
        <v>45633</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42849-2024</t>
        </is>
      </c>
      <c r="B3294" s="1" t="n">
        <v>45566</v>
      </c>
      <c r="C3294" s="1" t="n">
        <v>45633</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42821-2024</t>
        </is>
      </c>
      <c r="B3295" s="1" t="n">
        <v>45566</v>
      </c>
      <c r="C3295" s="1" t="n">
        <v>45633</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42851-2024</t>
        </is>
      </c>
      <c r="B3296" s="1" t="n">
        <v>45566</v>
      </c>
      <c r="C3296" s="1" t="n">
        <v>45633</v>
      </c>
      <c r="D3296" t="inlineStr">
        <is>
          <t>VÄSTERBOTTENS LÄN</t>
        </is>
      </c>
      <c r="E3296" t="inlineStr">
        <is>
          <t>SKELLEFTEÅ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42819-2024</t>
        </is>
      </c>
      <c r="B3297" s="1" t="n">
        <v>45566</v>
      </c>
      <c r="C3297" s="1" t="n">
        <v>45633</v>
      </c>
      <c r="D3297" t="inlineStr">
        <is>
          <t>VÄSTERBOTTENS LÄN</t>
        </is>
      </c>
      <c r="E3297" t="inlineStr">
        <is>
          <t>SKELLEFTEÅ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42852-2024</t>
        </is>
      </c>
      <c r="B3298" s="1" t="n">
        <v>45566</v>
      </c>
      <c r="C3298" s="1" t="n">
        <v>45633</v>
      </c>
      <c r="D3298" t="inlineStr">
        <is>
          <t>VÄSTERBOTTENS LÄN</t>
        </is>
      </c>
      <c r="E3298" t="inlineStr">
        <is>
          <t>SKELLEFTEÅ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42848-2024</t>
        </is>
      </c>
      <c r="B3299" s="1" t="n">
        <v>45566</v>
      </c>
      <c r="C3299" s="1" t="n">
        <v>45633</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42820-2024</t>
        </is>
      </c>
      <c r="B3300" s="1" t="n">
        <v>45566</v>
      </c>
      <c r="C3300" s="1" t="n">
        <v>45633</v>
      </c>
      <c r="D3300" t="inlineStr">
        <is>
          <t>VÄSTERBOTTENS LÄN</t>
        </is>
      </c>
      <c r="E3300" t="inlineStr">
        <is>
          <t>SKELLEFTEÅ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42758-2024</t>
        </is>
      </c>
      <c r="B3301" s="1" t="n">
        <v>45566</v>
      </c>
      <c r="C3301" s="1" t="n">
        <v>45633</v>
      </c>
      <c r="D3301" t="inlineStr">
        <is>
          <t>VÄSTERBOTTENS LÄN</t>
        </is>
      </c>
      <c r="E3301" t="inlineStr">
        <is>
          <t>SKELLEFTEÅ</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42791-2024</t>
        </is>
      </c>
      <c r="B3302" s="1" t="n">
        <v>45566</v>
      </c>
      <c r="C3302" s="1" t="n">
        <v>45633</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42764-2024</t>
        </is>
      </c>
      <c r="B3303" s="1" t="n">
        <v>45566</v>
      </c>
      <c r="C3303" s="1" t="n">
        <v>45633</v>
      </c>
      <c r="D3303" t="inlineStr">
        <is>
          <t>VÄSTERBOTTENS LÄN</t>
        </is>
      </c>
      <c r="E3303" t="inlineStr">
        <is>
          <t>SKELLEFTEÅ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42996-2024</t>
        </is>
      </c>
      <c r="B3304" s="1" t="n">
        <v>45567</v>
      </c>
      <c r="C3304" s="1" t="n">
        <v>45633</v>
      </c>
      <c r="D3304" t="inlineStr">
        <is>
          <t>VÄSTERBOTTENS LÄN</t>
        </is>
      </c>
      <c r="E3304" t="inlineStr">
        <is>
          <t>SKELLEFTEÅ</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42993-2024</t>
        </is>
      </c>
      <c r="B3305" s="1" t="n">
        <v>45567</v>
      </c>
      <c r="C3305" s="1" t="n">
        <v>45633</v>
      </c>
      <c r="D3305" t="inlineStr">
        <is>
          <t>VÄSTERBOTTENS LÄN</t>
        </is>
      </c>
      <c r="E3305" t="inlineStr">
        <is>
          <t>SKELLEFTEÅ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42995-2024</t>
        </is>
      </c>
      <c r="B3306" s="1" t="n">
        <v>45567</v>
      </c>
      <c r="C3306" s="1" t="n">
        <v>45633</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43204-2024</t>
        </is>
      </c>
      <c r="B3307" s="1" t="n">
        <v>45567</v>
      </c>
      <c r="C3307" s="1" t="n">
        <v>45633</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43434-2024</t>
        </is>
      </c>
      <c r="B3308" s="1" t="n">
        <v>45568</v>
      </c>
      <c r="C3308" s="1" t="n">
        <v>45633</v>
      </c>
      <c r="D3308" t="inlineStr">
        <is>
          <t>VÄSTERBOTTENS LÄN</t>
        </is>
      </c>
      <c r="E3308" t="inlineStr">
        <is>
          <t>SKELLEFTEÅ</t>
        </is>
      </c>
      <c r="F3308" t="inlineStr">
        <is>
          <t>Holmen skog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43714-2024</t>
        </is>
      </c>
      <c r="B3309" s="1" t="n">
        <v>45569</v>
      </c>
      <c r="C3309" s="1" t="n">
        <v>45633</v>
      </c>
      <c r="D3309" t="inlineStr">
        <is>
          <t>VÄSTERBOTTENS LÄN</t>
        </is>
      </c>
      <c r="E3309" t="inlineStr">
        <is>
          <t>SKELLEFTEÅ</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43726-2024</t>
        </is>
      </c>
      <c r="B3310" s="1" t="n">
        <v>45569</v>
      </c>
      <c r="C3310" s="1" t="n">
        <v>45633</v>
      </c>
      <c r="D3310" t="inlineStr">
        <is>
          <t>VÄSTERBOTTENS LÄN</t>
        </is>
      </c>
      <c r="E3310" t="inlineStr">
        <is>
          <t>SKELLEFTEÅ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43701-2024</t>
        </is>
      </c>
      <c r="B3311" s="1" t="n">
        <v>45569</v>
      </c>
      <c r="C3311" s="1" t="n">
        <v>45633</v>
      </c>
      <c r="D3311" t="inlineStr">
        <is>
          <t>VÄSTERBOTTENS LÄN</t>
        </is>
      </c>
      <c r="E3311" t="inlineStr">
        <is>
          <t>SKELLEFTEÅ</t>
        </is>
      </c>
      <c r="F3311" t="inlineStr">
        <is>
          <t>Kommuner</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43705-2024</t>
        </is>
      </c>
      <c r="B3312" s="1" t="n">
        <v>45569</v>
      </c>
      <c r="C3312" s="1" t="n">
        <v>45633</v>
      </c>
      <c r="D3312" t="inlineStr">
        <is>
          <t>VÄSTERBOTTENS LÄN</t>
        </is>
      </c>
      <c r="E3312" t="inlineStr">
        <is>
          <t>SKELLEFTEÅ</t>
        </is>
      </c>
      <c r="F3312" t="inlineStr">
        <is>
          <t>Holmen skog AB</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43732-2024</t>
        </is>
      </c>
      <c r="B3313" s="1" t="n">
        <v>45569</v>
      </c>
      <c r="C3313" s="1" t="n">
        <v>45633</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43748-2024</t>
        </is>
      </c>
      <c r="B3314" s="1" t="n">
        <v>45569</v>
      </c>
      <c r="C3314" s="1" t="n">
        <v>45633</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43722-2024</t>
        </is>
      </c>
      <c r="B3315" s="1" t="n">
        <v>45569</v>
      </c>
      <c r="C3315" s="1" t="n">
        <v>45633</v>
      </c>
      <c r="D3315" t="inlineStr">
        <is>
          <t>VÄSTERBOTTENS LÄN</t>
        </is>
      </c>
      <c r="E3315" t="inlineStr">
        <is>
          <t>SKELLEFTEÅ</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43749-2024</t>
        </is>
      </c>
      <c r="B3316" s="1" t="n">
        <v>45569</v>
      </c>
      <c r="C3316" s="1" t="n">
        <v>45633</v>
      </c>
      <c r="D3316" t="inlineStr">
        <is>
          <t>VÄSTERBOTTENS LÄN</t>
        </is>
      </c>
      <c r="E3316" t="inlineStr">
        <is>
          <t>SKELLEFTEÅ</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43513-2024</t>
        </is>
      </c>
      <c r="B3317" s="1" t="n">
        <v>45569</v>
      </c>
      <c r="C3317" s="1" t="n">
        <v>45633</v>
      </c>
      <c r="D3317" t="inlineStr">
        <is>
          <t>VÄSTERBOTTENS LÄN</t>
        </is>
      </c>
      <c r="E3317" t="inlineStr">
        <is>
          <t>SKELLEFTEÅ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43599-2024</t>
        </is>
      </c>
      <c r="B3318" s="1" t="n">
        <v>45569</v>
      </c>
      <c r="C3318" s="1" t="n">
        <v>45633</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43762-2024</t>
        </is>
      </c>
      <c r="B3319" s="1" t="n">
        <v>45569</v>
      </c>
      <c r="C3319" s="1" t="n">
        <v>45633</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43723-2024</t>
        </is>
      </c>
      <c r="B3320" s="1" t="n">
        <v>45569</v>
      </c>
      <c r="C3320" s="1" t="n">
        <v>45633</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43727-2024</t>
        </is>
      </c>
      <c r="B3321" s="1" t="n">
        <v>45569</v>
      </c>
      <c r="C3321" s="1" t="n">
        <v>45633</v>
      </c>
      <c r="D3321" t="inlineStr">
        <is>
          <t>VÄSTERBOTTENS LÄN</t>
        </is>
      </c>
      <c r="E3321" t="inlineStr">
        <is>
          <t>SKELLEFTEÅ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43781-2024</t>
        </is>
      </c>
      <c r="B3322" s="1" t="n">
        <v>45570</v>
      </c>
      <c r="C3322" s="1" t="n">
        <v>45633</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43793-2024</t>
        </is>
      </c>
      <c r="B3323" s="1" t="n">
        <v>45571</v>
      </c>
      <c r="C3323" s="1" t="n">
        <v>45633</v>
      </c>
      <c r="D3323" t="inlineStr">
        <is>
          <t>VÄSTERBOTTENS LÄN</t>
        </is>
      </c>
      <c r="E3323" t="inlineStr">
        <is>
          <t>SKELLEFTEÅ</t>
        </is>
      </c>
      <c r="F3323" t="inlineStr">
        <is>
          <t>Sveaskog</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43954-2024</t>
        </is>
      </c>
      <c r="B3324" s="1" t="n">
        <v>45572</v>
      </c>
      <c r="C3324" s="1" t="n">
        <v>45633</v>
      </c>
      <c r="D3324" t="inlineStr">
        <is>
          <t>VÄSTERBOTTENS LÄN</t>
        </is>
      </c>
      <c r="E3324" t="inlineStr">
        <is>
          <t>SKELLEFTEÅ</t>
        </is>
      </c>
      <c r="F3324" t="inlineStr">
        <is>
          <t>Sveaskog</t>
        </is>
      </c>
      <c r="G3324" t="n">
        <v>24.1</v>
      </c>
      <c r="H3324" t="n">
        <v>0</v>
      </c>
      <c r="I3324" t="n">
        <v>0</v>
      </c>
      <c r="J3324" t="n">
        <v>0</v>
      </c>
      <c r="K3324" t="n">
        <v>0</v>
      </c>
      <c r="L3324" t="n">
        <v>0</v>
      </c>
      <c r="M3324" t="n">
        <v>0</v>
      </c>
      <c r="N3324" t="n">
        <v>0</v>
      </c>
      <c r="O3324" t="n">
        <v>0</v>
      </c>
      <c r="P3324" t="n">
        <v>0</v>
      </c>
      <c r="Q3324" t="n">
        <v>0</v>
      </c>
      <c r="R3324" s="2" t="inlineStr"/>
    </row>
    <row r="3325" ht="15" customHeight="1">
      <c r="A3325" t="inlineStr">
        <is>
          <t>A 44057-2024</t>
        </is>
      </c>
      <c r="B3325" s="1" t="n">
        <v>45572</v>
      </c>
      <c r="C3325" s="1" t="n">
        <v>45633</v>
      </c>
      <c r="D3325" t="inlineStr">
        <is>
          <t>VÄSTERBOTTENS LÄN</t>
        </is>
      </c>
      <c r="E3325" t="inlineStr">
        <is>
          <t>SKELLEFTEÅ</t>
        </is>
      </c>
      <c r="G3325" t="n">
        <v>13.2</v>
      </c>
      <c r="H3325" t="n">
        <v>0</v>
      </c>
      <c r="I3325" t="n">
        <v>0</v>
      </c>
      <c r="J3325" t="n">
        <v>0</v>
      </c>
      <c r="K3325" t="n">
        <v>0</v>
      </c>
      <c r="L3325" t="n">
        <v>0</v>
      </c>
      <c r="M3325" t="n">
        <v>0</v>
      </c>
      <c r="N3325" t="n">
        <v>0</v>
      </c>
      <c r="O3325" t="n">
        <v>0</v>
      </c>
      <c r="P3325" t="n">
        <v>0</v>
      </c>
      <c r="Q3325" t="n">
        <v>0</v>
      </c>
      <c r="R3325" s="2" t="inlineStr"/>
    </row>
    <row r="3326" ht="15" customHeight="1">
      <c r="A3326" t="inlineStr">
        <is>
          <t>A 43875-2024</t>
        </is>
      </c>
      <c r="B3326" s="1" t="n">
        <v>45572</v>
      </c>
      <c r="C3326" s="1" t="n">
        <v>45633</v>
      </c>
      <c r="D3326" t="inlineStr">
        <is>
          <t>VÄSTERBOTTENS LÄN</t>
        </is>
      </c>
      <c r="E3326" t="inlineStr">
        <is>
          <t>SKELLEFTEÅ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44100-2024</t>
        </is>
      </c>
      <c r="B3327" s="1" t="n">
        <v>45572</v>
      </c>
      <c r="C3327" s="1" t="n">
        <v>45633</v>
      </c>
      <c r="D3327" t="inlineStr">
        <is>
          <t>VÄSTERBOTTENS LÄN</t>
        </is>
      </c>
      <c r="E3327" t="inlineStr">
        <is>
          <t>SKELLEFTEÅ</t>
        </is>
      </c>
      <c r="F3327" t="inlineStr">
        <is>
          <t>Holmen skog AB</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44178-2024</t>
        </is>
      </c>
      <c r="B3328" s="1" t="n">
        <v>45572</v>
      </c>
      <c r="C3328" s="1" t="n">
        <v>45633</v>
      </c>
      <c r="D3328" t="inlineStr">
        <is>
          <t>VÄSTERBOTTENS LÄN</t>
        </is>
      </c>
      <c r="E3328" t="inlineStr">
        <is>
          <t>SKELLEFTEÅ</t>
        </is>
      </c>
      <c r="F3328" t="inlineStr">
        <is>
          <t>Sveaskog</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44239-2024</t>
        </is>
      </c>
      <c r="B3329" s="1" t="n">
        <v>45573</v>
      </c>
      <c r="C3329" s="1" t="n">
        <v>45633</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44240-2024</t>
        </is>
      </c>
      <c r="B3330" s="1" t="n">
        <v>45573</v>
      </c>
      <c r="C3330" s="1" t="n">
        <v>45633</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44480-2024</t>
        </is>
      </c>
      <c r="B3331" s="1" t="n">
        <v>45574</v>
      </c>
      <c r="C3331" s="1" t="n">
        <v>45633</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44501-2024</t>
        </is>
      </c>
      <c r="B3332" s="1" t="n">
        <v>45574</v>
      </c>
      <c r="C3332" s="1" t="n">
        <v>45633</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44542-2024</t>
        </is>
      </c>
      <c r="B3333" s="1" t="n">
        <v>45574</v>
      </c>
      <c r="C3333" s="1" t="n">
        <v>45633</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44479-2024</t>
        </is>
      </c>
      <c r="B3334" s="1" t="n">
        <v>45574</v>
      </c>
      <c r="C3334" s="1" t="n">
        <v>45633</v>
      </c>
      <c r="D3334" t="inlineStr">
        <is>
          <t>VÄSTERBOTTENS LÄN</t>
        </is>
      </c>
      <c r="E3334" t="inlineStr">
        <is>
          <t>SKELLEFTEÅ</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44483-2024</t>
        </is>
      </c>
      <c r="B3335" s="1" t="n">
        <v>45574</v>
      </c>
      <c r="C3335" s="1" t="n">
        <v>45633</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44779-2024</t>
        </is>
      </c>
      <c r="B3336" s="1" t="n">
        <v>45574</v>
      </c>
      <c r="C3336" s="1" t="n">
        <v>45633</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44829-2024</t>
        </is>
      </c>
      <c r="B3337" s="1" t="n">
        <v>45574</v>
      </c>
      <c r="C3337" s="1" t="n">
        <v>45633</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44482-2024</t>
        </is>
      </c>
      <c r="B3338" s="1" t="n">
        <v>45574</v>
      </c>
      <c r="C3338" s="1" t="n">
        <v>45633</v>
      </c>
      <c r="D3338" t="inlineStr">
        <is>
          <t>VÄSTERBOTTENS LÄN</t>
        </is>
      </c>
      <c r="E3338" t="inlineStr">
        <is>
          <t>SKELLEFTEÅ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44510-2024</t>
        </is>
      </c>
      <c r="B3339" s="1" t="n">
        <v>45574</v>
      </c>
      <c r="C3339" s="1" t="n">
        <v>45633</v>
      </c>
      <c r="D3339" t="inlineStr">
        <is>
          <t>VÄSTERBOTTENS LÄN</t>
        </is>
      </c>
      <c r="E3339" t="inlineStr">
        <is>
          <t>SKELLEFTEÅ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45111-2024</t>
        </is>
      </c>
      <c r="B3340" s="1" t="n">
        <v>45575</v>
      </c>
      <c r="C3340" s="1" t="n">
        <v>45633</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45143-2024</t>
        </is>
      </c>
      <c r="B3341" s="1" t="n">
        <v>45575</v>
      </c>
      <c r="C3341" s="1" t="n">
        <v>45633</v>
      </c>
      <c r="D3341" t="inlineStr">
        <is>
          <t>VÄSTERBOTTENS LÄN</t>
        </is>
      </c>
      <c r="E3341" t="inlineStr">
        <is>
          <t>SKELLEFTEÅ</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45177-2024</t>
        </is>
      </c>
      <c r="B3342" s="1" t="n">
        <v>45575</v>
      </c>
      <c r="C3342" s="1" t="n">
        <v>45633</v>
      </c>
      <c r="D3342" t="inlineStr">
        <is>
          <t>VÄSTERBOTTENS LÄN</t>
        </is>
      </c>
      <c r="E3342" t="inlineStr">
        <is>
          <t>SKELLEFTEÅ</t>
        </is>
      </c>
      <c r="F3342" t="inlineStr">
        <is>
          <t>Kommuner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45205-2024</t>
        </is>
      </c>
      <c r="B3343" s="1" t="n">
        <v>45575</v>
      </c>
      <c r="C3343" s="1" t="n">
        <v>45633</v>
      </c>
      <c r="D3343" t="inlineStr">
        <is>
          <t>VÄSTERBOTTENS LÄN</t>
        </is>
      </c>
      <c r="E3343" t="inlineStr">
        <is>
          <t>SKELLEFTEÅ</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44968-2024</t>
        </is>
      </c>
      <c r="B3344" s="1" t="n">
        <v>45575</v>
      </c>
      <c r="C3344" s="1" t="n">
        <v>45633</v>
      </c>
      <c r="D3344" t="inlineStr">
        <is>
          <t>VÄSTERBOTTENS LÄN</t>
        </is>
      </c>
      <c r="E3344" t="inlineStr">
        <is>
          <t>SKELLEFTEÅ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44867-2024</t>
        </is>
      </c>
      <c r="B3345" s="1" t="n">
        <v>45575</v>
      </c>
      <c r="C3345" s="1" t="n">
        <v>45633</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45200-2024</t>
        </is>
      </c>
      <c r="B3346" s="1" t="n">
        <v>45575</v>
      </c>
      <c r="C3346" s="1" t="n">
        <v>45633</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45212-2024</t>
        </is>
      </c>
      <c r="B3347" s="1" t="n">
        <v>45575</v>
      </c>
      <c r="C3347" s="1" t="n">
        <v>45633</v>
      </c>
      <c r="D3347" t="inlineStr">
        <is>
          <t>VÄSTERBOTTENS LÄN</t>
        </is>
      </c>
      <c r="E3347" t="inlineStr">
        <is>
          <t>SKELLEFTEÅ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45240-2024</t>
        </is>
      </c>
      <c r="B3348" s="1" t="n">
        <v>45576</v>
      </c>
      <c r="C3348" s="1" t="n">
        <v>45633</v>
      </c>
      <c r="D3348" t="inlineStr">
        <is>
          <t>VÄSTERBOTTENS LÄN</t>
        </is>
      </c>
      <c r="E3348" t="inlineStr">
        <is>
          <t>SKELLEFTEÅ</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45294-2024</t>
        </is>
      </c>
      <c r="B3349" s="1" t="n">
        <v>45576</v>
      </c>
      <c r="C3349" s="1" t="n">
        <v>45633</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45418-2024</t>
        </is>
      </c>
      <c r="B3350" s="1" t="n">
        <v>45576</v>
      </c>
      <c r="C3350" s="1" t="n">
        <v>45633</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45403-2024</t>
        </is>
      </c>
      <c r="B3351" s="1" t="n">
        <v>45576</v>
      </c>
      <c r="C3351" s="1" t="n">
        <v>45633</v>
      </c>
      <c r="D3351" t="inlineStr">
        <is>
          <t>VÄSTERBOTTENS LÄN</t>
        </is>
      </c>
      <c r="E3351" t="inlineStr">
        <is>
          <t>SKELLEFTEÅ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45407-2024</t>
        </is>
      </c>
      <c r="B3352" s="1" t="n">
        <v>45576</v>
      </c>
      <c r="C3352" s="1" t="n">
        <v>45633</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45421-2024</t>
        </is>
      </c>
      <c r="B3353" s="1" t="n">
        <v>45576</v>
      </c>
      <c r="C3353" s="1" t="n">
        <v>45633</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45374-2024</t>
        </is>
      </c>
      <c r="B3354" s="1" t="n">
        <v>45576</v>
      </c>
      <c r="C3354" s="1" t="n">
        <v>45633</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45690-2024</t>
        </is>
      </c>
      <c r="B3355" s="1" t="n">
        <v>45579</v>
      </c>
      <c r="C3355" s="1" t="n">
        <v>45633</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45788-2024</t>
        </is>
      </c>
      <c r="B3356" s="1" t="n">
        <v>45579</v>
      </c>
      <c r="C3356" s="1" t="n">
        <v>45633</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45757-2024</t>
        </is>
      </c>
      <c r="B3357" s="1" t="n">
        <v>45579</v>
      </c>
      <c r="C3357" s="1" t="n">
        <v>45633</v>
      </c>
      <c r="D3357" t="inlineStr">
        <is>
          <t>VÄSTERBOTTENS LÄN</t>
        </is>
      </c>
      <c r="E3357" t="inlineStr">
        <is>
          <t>SKELLEFTEÅ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45643-2024</t>
        </is>
      </c>
      <c r="B3358" s="1" t="n">
        <v>45579</v>
      </c>
      <c r="C3358" s="1" t="n">
        <v>45633</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45622-2024</t>
        </is>
      </c>
      <c r="B3359" s="1" t="n">
        <v>45579</v>
      </c>
      <c r="C3359" s="1" t="n">
        <v>45633</v>
      </c>
      <c r="D3359" t="inlineStr">
        <is>
          <t>VÄSTERBOTTENS LÄN</t>
        </is>
      </c>
      <c r="E3359" t="inlineStr">
        <is>
          <t>SKELLEFTEÅ</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45903-2024</t>
        </is>
      </c>
      <c r="B3360" s="1" t="n">
        <v>45580</v>
      </c>
      <c r="C3360" s="1" t="n">
        <v>45633</v>
      </c>
      <c r="D3360" t="inlineStr">
        <is>
          <t>VÄSTERBOTTENS LÄN</t>
        </is>
      </c>
      <c r="E3360" t="inlineStr">
        <is>
          <t>SKELLEFTEÅ</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45943-2024</t>
        </is>
      </c>
      <c r="B3361" s="1" t="n">
        <v>45580</v>
      </c>
      <c r="C3361" s="1" t="n">
        <v>45633</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45955-2024</t>
        </is>
      </c>
      <c r="B3362" s="1" t="n">
        <v>45580</v>
      </c>
      <c r="C3362" s="1" t="n">
        <v>45633</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45850-2024</t>
        </is>
      </c>
      <c r="B3363" s="1" t="n">
        <v>45580</v>
      </c>
      <c r="C3363" s="1" t="n">
        <v>45633</v>
      </c>
      <c r="D3363" t="inlineStr">
        <is>
          <t>VÄSTERBOTTENS LÄN</t>
        </is>
      </c>
      <c r="E3363" t="inlineStr">
        <is>
          <t>SKELLEFTEÅ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45862-2024</t>
        </is>
      </c>
      <c r="B3364" s="1" t="n">
        <v>45580</v>
      </c>
      <c r="C3364" s="1" t="n">
        <v>45633</v>
      </c>
      <c r="D3364" t="inlineStr">
        <is>
          <t>VÄSTERBOTTENS LÄN</t>
        </is>
      </c>
      <c r="E3364" t="inlineStr">
        <is>
          <t>SKELLEFTEÅ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45981-2024</t>
        </is>
      </c>
      <c r="B3365" s="1" t="n">
        <v>45580</v>
      </c>
      <c r="C3365" s="1" t="n">
        <v>45633</v>
      </c>
      <c r="D3365" t="inlineStr">
        <is>
          <t>VÄSTERBOTTENS LÄN</t>
        </is>
      </c>
      <c r="E3365" t="inlineStr">
        <is>
          <t>SKELLEFTEÅ</t>
        </is>
      </c>
      <c r="F3365" t="inlineStr">
        <is>
          <t>Holmen skog AB</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46048-2024</t>
        </is>
      </c>
      <c r="B3366" s="1" t="n">
        <v>45580</v>
      </c>
      <c r="C3366" s="1" t="n">
        <v>45633</v>
      </c>
      <c r="D3366" t="inlineStr">
        <is>
          <t>VÄSTERBOTTENS LÄN</t>
        </is>
      </c>
      <c r="E3366" t="inlineStr">
        <is>
          <t>SKELLEFTEÅ</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46049-2024</t>
        </is>
      </c>
      <c r="B3367" s="1" t="n">
        <v>45580</v>
      </c>
      <c r="C3367" s="1" t="n">
        <v>45633</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46047-2024</t>
        </is>
      </c>
      <c r="B3368" s="1" t="n">
        <v>45580</v>
      </c>
      <c r="C3368" s="1" t="n">
        <v>45633</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46268-2024</t>
        </is>
      </c>
      <c r="B3369" s="1" t="n">
        <v>45581</v>
      </c>
      <c r="C3369" s="1" t="n">
        <v>45633</v>
      </c>
      <c r="D3369" t="inlineStr">
        <is>
          <t>VÄSTERBOTTENS LÄN</t>
        </is>
      </c>
      <c r="E3369" t="inlineStr">
        <is>
          <t>SKELLEFTEÅ</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46089-2024</t>
        </is>
      </c>
      <c r="B3370" s="1" t="n">
        <v>45581</v>
      </c>
      <c r="C3370" s="1" t="n">
        <v>45633</v>
      </c>
      <c r="D3370" t="inlineStr">
        <is>
          <t>VÄSTERBOTTENS LÄN</t>
        </is>
      </c>
      <c r="E3370" t="inlineStr">
        <is>
          <t>SKELLEFTEÅ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46116-2024</t>
        </is>
      </c>
      <c r="B3371" s="1" t="n">
        <v>45581</v>
      </c>
      <c r="C3371" s="1" t="n">
        <v>45633</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46108-2024</t>
        </is>
      </c>
      <c r="B3372" s="1" t="n">
        <v>45581</v>
      </c>
      <c r="C3372" s="1" t="n">
        <v>45633</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46282-2024</t>
        </is>
      </c>
      <c r="B3373" s="1" t="n">
        <v>45581</v>
      </c>
      <c r="C3373" s="1" t="n">
        <v>45633</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46201-2024</t>
        </is>
      </c>
      <c r="B3374" s="1" t="n">
        <v>45581</v>
      </c>
      <c r="C3374" s="1" t="n">
        <v>45633</v>
      </c>
      <c r="D3374" t="inlineStr">
        <is>
          <t>VÄSTERBOTTENS LÄN</t>
        </is>
      </c>
      <c r="E3374" t="inlineStr">
        <is>
          <t>SKELLEFTEÅ</t>
        </is>
      </c>
      <c r="G3374" t="n">
        <v>18.3</v>
      </c>
      <c r="H3374" t="n">
        <v>0</v>
      </c>
      <c r="I3374" t="n">
        <v>0</v>
      </c>
      <c r="J3374" t="n">
        <v>0</v>
      </c>
      <c r="K3374" t="n">
        <v>0</v>
      </c>
      <c r="L3374" t="n">
        <v>0</v>
      </c>
      <c r="M3374" t="n">
        <v>0</v>
      </c>
      <c r="N3374" t="n">
        <v>0</v>
      </c>
      <c r="O3374" t="n">
        <v>0</v>
      </c>
      <c r="P3374" t="n">
        <v>0</v>
      </c>
      <c r="Q3374" t="n">
        <v>0</v>
      </c>
      <c r="R3374" s="2" t="inlineStr"/>
    </row>
    <row r="3375" ht="15" customHeight="1">
      <c r="A3375" t="inlineStr">
        <is>
          <t>A 46304-2024</t>
        </is>
      </c>
      <c r="B3375" s="1" t="n">
        <v>45581</v>
      </c>
      <c r="C3375" s="1" t="n">
        <v>45633</v>
      </c>
      <c r="D3375" t="inlineStr">
        <is>
          <t>VÄSTERBOTTENS LÄN</t>
        </is>
      </c>
      <c r="E3375" t="inlineStr">
        <is>
          <t>SKELLEFTEÅ</t>
        </is>
      </c>
      <c r="F3375" t="inlineStr">
        <is>
          <t>Holmen skog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46480-2024</t>
        </is>
      </c>
      <c r="B3376" s="1" t="n">
        <v>45582</v>
      </c>
      <c r="C3376" s="1" t="n">
        <v>45633</v>
      </c>
      <c r="D3376" t="inlineStr">
        <is>
          <t>VÄSTERBOTTENS LÄN</t>
        </is>
      </c>
      <c r="E3376" t="inlineStr">
        <is>
          <t>SKELLEFTEÅ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46482-2024</t>
        </is>
      </c>
      <c r="B3377" s="1" t="n">
        <v>45582</v>
      </c>
      <c r="C3377" s="1" t="n">
        <v>45633</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46377-2024</t>
        </is>
      </c>
      <c r="B3378" s="1" t="n">
        <v>45582</v>
      </c>
      <c r="C3378" s="1" t="n">
        <v>45633</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46557-2024</t>
        </is>
      </c>
      <c r="B3379" s="1" t="n">
        <v>45582</v>
      </c>
      <c r="C3379" s="1" t="n">
        <v>45633</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46565-2024</t>
        </is>
      </c>
      <c r="B3380" s="1" t="n">
        <v>45582</v>
      </c>
      <c r="C3380" s="1" t="n">
        <v>45633</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46736-2024</t>
        </is>
      </c>
      <c r="B3381" s="1" t="n">
        <v>45583</v>
      </c>
      <c r="C3381" s="1" t="n">
        <v>45633</v>
      </c>
      <c r="D3381" t="inlineStr">
        <is>
          <t>VÄSTERBOTTENS LÄN</t>
        </is>
      </c>
      <c r="E3381" t="inlineStr">
        <is>
          <t>SKELLEFTEÅ</t>
        </is>
      </c>
      <c r="F3381" t="inlineStr">
        <is>
          <t>Sveaskog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46858-2024</t>
        </is>
      </c>
      <c r="B3382" s="1" t="n">
        <v>45583</v>
      </c>
      <c r="C3382" s="1" t="n">
        <v>45633</v>
      </c>
      <c r="D3382" t="inlineStr">
        <is>
          <t>VÄSTERBOTTENS LÄN</t>
        </is>
      </c>
      <c r="E3382" t="inlineStr">
        <is>
          <t>SKELLEFTEÅ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46846-2024</t>
        </is>
      </c>
      <c r="B3383" s="1" t="n">
        <v>45583</v>
      </c>
      <c r="C3383" s="1" t="n">
        <v>45633</v>
      </c>
      <c r="D3383" t="inlineStr">
        <is>
          <t>VÄSTERBOTTENS LÄN</t>
        </is>
      </c>
      <c r="E3383" t="inlineStr">
        <is>
          <t>SKELLEFTEÅ</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46705-2024</t>
        </is>
      </c>
      <c r="B3384" s="1" t="n">
        <v>45583</v>
      </c>
      <c r="C3384" s="1" t="n">
        <v>45633</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46721-2024</t>
        </is>
      </c>
      <c r="B3385" s="1" t="n">
        <v>45583</v>
      </c>
      <c r="C3385" s="1" t="n">
        <v>45633</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46731-2024</t>
        </is>
      </c>
      <c r="B3386" s="1" t="n">
        <v>45583</v>
      </c>
      <c r="C3386" s="1" t="n">
        <v>45633</v>
      </c>
      <c r="D3386" t="inlineStr">
        <is>
          <t>VÄSTERBOTTENS LÄN</t>
        </is>
      </c>
      <c r="E3386" t="inlineStr">
        <is>
          <t>SKELLEFTEÅ</t>
        </is>
      </c>
      <c r="F3386" t="inlineStr">
        <is>
          <t>Holmen skog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46657-2024</t>
        </is>
      </c>
      <c r="B3387" s="1" t="n">
        <v>45583</v>
      </c>
      <c r="C3387" s="1" t="n">
        <v>45633</v>
      </c>
      <c r="D3387" t="inlineStr">
        <is>
          <t>VÄSTERBOTTENS LÄN</t>
        </is>
      </c>
      <c r="E3387" t="inlineStr">
        <is>
          <t>SKELLEFTEÅ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46841-2024</t>
        </is>
      </c>
      <c r="B3388" s="1" t="n">
        <v>45583</v>
      </c>
      <c r="C3388" s="1" t="n">
        <v>45633</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46853-2024</t>
        </is>
      </c>
      <c r="B3389" s="1" t="n">
        <v>45583</v>
      </c>
      <c r="C3389" s="1" t="n">
        <v>45633</v>
      </c>
      <c r="D3389" t="inlineStr">
        <is>
          <t>VÄSTERBOTTENS LÄN</t>
        </is>
      </c>
      <c r="E3389" t="inlineStr">
        <is>
          <t>SKELLEFTEÅ</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47062-2024</t>
        </is>
      </c>
      <c r="B3390" s="1" t="n">
        <v>45585</v>
      </c>
      <c r="C3390" s="1" t="n">
        <v>45633</v>
      </c>
      <c r="D3390" t="inlineStr">
        <is>
          <t>VÄSTERBOTTENS LÄN</t>
        </is>
      </c>
      <c r="E3390" t="inlineStr">
        <is>
          <t>SKELLEFTEÅ</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47282-2024</t>
        </is>
      </c>
      <c r="B3391" s="1" t="n">
        <v>45586</v>
      </c>
      <c r="C3391" s="1" t="n">
        <v>45633</v>
      </c>
      <c r="D3391" t="inlineStr">
        <is>
          <t>VÄSTERBOTTENS LÄN</t>
        </is>
      </c>
      <c r="E3391" t="inlineStr">
        <is>
          <t>SKELLEFTEÅ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47045-2024</t>
        </is>
      </c>
      <c r="B3392" s="1" t="n">
        <v>45586</v>
      </c>
      <c r="C3392" s="1" t="n">
        <v>45633</v>
      </c>
      <c r="D3392" t="inlineStr">
        <is>
          <t>VÄSTERBOTTENS LÄN</t>
        </is>
      </c>
      <c r="E3392" t="inlineStr">
        <is>
          <t>SKELLEFTEÅ</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46968-2024</t>
        </is>
      </c>
      <c r="B3393" s="1" t="n">
        <v>45586</v>
      </c>
      <c r="C3393" s="1" t="n">
        <v>45633</v>
      </c>
      <c r="D3393" t="inlineStr">
        <is>
          <t>VÄSTERBOTTENS LÄN</t>
        </is>
      </c>
      <c r="E3393" t="inlineStr">
        <is>
          <t>SKELLEFTEÅ</t>
        </is>
      </c>
      <c r="F3393" t="inlineStr">
        <is>
          <t>Sveaskog</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47007-2024</t>
        </is>
      </c>
      <c r="B3394" s="1" t="n">
        <v>45586</v>
      </c>
      <c r="C3394" s="1" t="n">
        <v>45633</v>
      </c>
      <c r="D3394" t="inlineStr">
        <is>
          <t>VÄSTERBOTTENS LÄN</t>
        </is>
      </c>
      <c r="E3394" t="inlineStr">
        <is>
          <t>SKELLEFTEÅ</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47014-2024</t>
        </is>
      </c>
      <c r="B3395" s="1" t="n">
        <v>45586</v>
      </c>
      <c r="C3395" s="1" t="n">
        <v>45633</v>
      </c>
      <c r="D3395" t="inlineStr">
        <is>
          <t>VÄSTERBOTTENS LÄN</t>
        </is>
      </c>
      <c r="E3395" t="inlineStr">
        <is>
          <t>SKELLEFTEÅ</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47544-2024</t>
        </is>
      </c>
      <c r="B3396" s="1" t="n">
        <v>45587</v>
      </c>
      <c r="C3396" s="1" t="n">
        <v>45633</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47519-2024</t>
        </is>
      </c>
      <c r="B3397" s="1" t="n">
        <v>45587</v>
      </c>
      <c r="C3397" s="1" t="n">
        <v>45633</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47496-2024</t>
        </is>
      </c>
      <c r="B3398" s="1" t="n">
        <v>45587</v>
      </c>
      <c r="C3398" s="1" t="n">
        <v>45633</v>
      </c>
      <c r="D3398" t="inlineStr">
        <is>
          <t>VÄSTERBOTTENS LÄN</t>
        </is>
      </c>
      <c r="E3398" t="inlineStr">
        <is>
          <t>SKELLEFTEÅ</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47514-2024</t>
        </is>
      </c>
      <c r="B3399" s="1" t="n">
        <v>45587</v>
      </c>
      <c r="C3399" s="1" t="n">
        <v>45633</v>
      </c>
      <c r="D3399" t="inlineStr">
        <is>
          <t>VÄSTERBOTTENS LÄN</t>
        </is>
      </c>
      <c r="E3399" t="inlineStr">
        <is>
          <t>SKELLEFTEÅ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47352-2024</t>
        </is>
      </c>
      <c r="B3400" s="1" t="n">
        <v>45587</v>
      </c>
      <c r="C3400" s="1" t="n">
        <v>45633</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47668-2024</t>
        </is>
      </c>
      <c r="B3401" s="1" t="n">
        <v>45588</v>
      </c>
      <c r="C3401" s="1" t="n">
        <v>45633</v>
      </c>
      <c r="D3401" t="inlineStr">
        <is>
          <t>VÄSTERBOTTENS LÄN</t>
        </is>
      </c>
      <c r="E3401" t="inlineStr">
        <is>
          <t>SKELLEFTEÅ</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47887-2024</t>
        </is>
      </c>
      <c r="B3402" s="1" t="n">
        <v>45588</v>
      </c>
      <c r="C3402" s="1" t="n">
        <v>45633</v>
      </c>
      <c r="D3402" t="inlineStr">
        <is>
          <t>VÄSTERBOTTENS LÄN</t>
        </is>
      </c>
      <c r="E3402" t="inlineStr">
        <is>
          <t>SKELLEFTEÅ</t>
        </is>
      </c>
      <c r="F3402" t="inlineStr">
        <is>
          <t>Sveaskog</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47686-2024</t>
        </is>
      </c>
      <c r="B3403" s="1" t="n">
        <v>45588</v>
      </c>
      <c r="C3403" s="1" t="n">
        <v>45633</v>
      </c>
      <c r="D3403" t="inlineStr">
        <is>
          <t>VÄSTERBOTTENS LÄN</t>
        </is>
      </c>
      <c r="E3403" t="inlineStr">
        <is>
          <t>SKELLEFTEÅ</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48074-2024</t>
        </is>
      </c>
      <c r="B3404" s="1" t="n">
        <v>45589</v>
      </c>
      <c r="C3404" s="1" t="n">
        <v>45633</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48043-2024</t>
        </is>
      </c>
      <c r="B3405" s="1" t="n">
        <v>45589</v>
      </c>
      <c r="C3405" s="1" t="n">
        <v>45633</v>
      </c>
      <c r="D3405" t="inlineStr">
        <is>
          <t>VÄSTERBOTTENS LÄN</t>
        </is>
      </c>
      <c r="E3405" t="inlineStr">
        <is>
          <t>SKELLEFTEÅ</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48116-2024</t>
        </is>
      </c>
      <c r="B3406" s="1" t="n">
        <v>45589</v>
      </c>
      <c r="C3406" s="1" t="n">
        <v>45633</v>
      </c>
      <c r="D3406" t="inlineStr">
        <is>
          <t>VÄSTERBOTTENS LÄN</t>
        </is>
      </c>
      <c r="E3406" t="inlineStr">
        <is>
          <t>SKELLEFTEÅ</t>
        </is>
      </c>
      <c r="F3406" t="inlineStr">
        <is>
          <t>Kommuner</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48203-2024</t>
        </is>
      </c>
      <c r="B3407" s="1" t="n">
        <v>45589</v>
      </c>
      <c r="C3407" s="1" t="n">
        <v>45633</v>
      </c>
      <c r="D3407" t="inlineStr">
        <is>
          <t>VÄSTERBOTTENS LÄN</t>
        </is>
      </c>
      <c r="E3407" t="inlineStr">
        <is>
          <t>SKELLEFTEÅ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48093-2024</t>
        </is>
      </c>
      <c r="B3408" s="1" t="n">
        <v>45589</v>
      </c>
      <c r="C3408" s="1" t="n">
        <v>45633</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48204-2024</t>
        </is>
      </c>
      <c r="B3409" s="1" t="n">
        <v>45589</v>
      </c>
      <c r="C3409" s="1" t="n">
        <v>45633</v>
      </c>
      <c r="D3409" t="inlineStr">
        <is>
          <t>VÄSTERBOTTENS LÄN</t>
        </is>
      </c>
      <c r="E3409" t="inlineStr">
        <is>
          <t>SKELLEFTEÅ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48202-2024</t>
        </is>
      </c>
      <c r="B3410" s="1" t="n">
        <v>45589</v>
      </c>
      <c r="C3410" s="1" t="n">
        <v>45633</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48290-2024</t>
        </is>
      </c>
      <c r="B3411" s="1" t="n">
        <v>45590</v>
      </c>
      <c r="C3411" s="1" t="n">
        <v>45633</v>
      </c>
      <c r="D3411" t="inlineStr">
        <is>
          <t>VÄSTERBOTTENS LÄN</t>
        </is>
      </c>
      <c r="E3411" t="inlineStr">
        <is>
          <t>SKELLEFTEÅ</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48391-2024</t>
        </is>
      </c>
      <c r="B3412" s="1" t="n">
        <v>45590</v>
      </c>
      <c r="C3412" s="1" t="n">
        <v>45633</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48620-2024</t>
        </is>
      </c>
      <c r="B3413" s="1" t="n">
        <v>45593</v>
      </c>
      <c r="C3413" s="1" t="n">
        <v>45633</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48786-2024</t>
        </is>
      </c>
      <c r="B3414" s="1" t="n">
        <v>45593</v>
      </c>
      <c r="C3414" s="1" t="n">
        <v>45633</v>
      </c>
      <c r="D3414" t="inlineStr">
        <is>
          <t>VÄSTERBOTTENS LÄN</t>
        </is>
      </c>
      <c r="E3414" t="inlineStr">
        <is>
          <t>SKELLEFTEÅ</t>
        </is>
      </c>
      <c r="F3414" t="inlineStr">
        <is>
          <t>Kommuner</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48610-2024</t>
        </is>
      </c>
      <c r="B3415" s="1" t="n">
        <v>45593</v>
      </c>
      <c r="C3415" s="1" t="n">
        <v>45633</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48799-2024</t>
        </is>
      </c>
      <c r="B3416" s="1" t="n">
        <v>45593</v>
      </c>
      <c r="C3416" s="1" t="n">
        <v>45633</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48744-2024</t>
        </is>
      </c>
      <c r="B3417" s="1" t="n">
        <v>45593</v>
      </c>
      <c r="C3417" s="1" t="n">
        <v>45633</v>
      </c>
      <c r="D3417" t="inlineStr">
        <is>
          <t>VÄSTERBOTTENS LÄN</t>
        </is>
      </c>
      <c r="E3417" t="inlineStr">
        <is>
          <t>SKELLEFTEÅ</t>
        </is>
      </c>
      <c r="F3417" t="inlineStr">
        <is>
          <t>Kommuner</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48878-2024</t>
        </is>
      </c>
      <c r="B3418" s="1" t="n">
        <v>45594</v>
      </c>
      <c r="C3418" s="1" t="n">
        <v>45633</v>
      </c>
      <c r="D3418" t="inlineStr">
        <is>
          <t>VÄSTERBOTTENS LÄN</t>
        </is>
      </c>
      <c r="E3418" t="inlineStr">
        <is>
          <t>SKELLEFTEÅ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48866-2024</t>
        </is>
      </c>
      <c r="B3419" s="1" t="n">
        <v>45594</v>
      </c>
      <c r="C3419" s="1" t="n">
        <v>45633</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49120-2024</t>
        </is>
      </c>
      <c r="B3420" s="1" t="n">
        <v>45594</v>
      </c>
      <c r="C3420" s="1" t="n">
        <v>45633</v>
      </c>
      <c r="D3420" t="inlineStr">
        <is>
          <t>VÄSTERBOTTENS LÄN</t>
        </is>
      </c>
      <c r="E3420" t="inlineStr">
        <is>
          <t>SKELLEFTEÅ</t>
        </is>
      </c>
      <c r="F3420" t="inlineStr">
        <is>
          <t>Holmen skog AB</t>
        </is>
      </c>
      <c r="G3420" t="n">
        <v>37.2</v>
      </c>
      <c r="H3420" t="n">
        <v>0</v>
      </c>
      <c r="I3420" t="n">
        <v>0</v>
      </c>
      <c r="J3420" t="n">
        <v>0</v>
      </c>
      <c r="K3420" t="n">
        <v>0</v>
      </c>
      <c r="L3420" t="n">
        <v>0</v>
      </c>
      <c r="M3420" t="n">
        <v>0</v>
      </c>
      <c r="N3420" t="n">
        <v>0</v>
      </c>
      <c r="O3420" t="n">
        <v>0</v>
      </c>
      <c r="P3420" t="n">
        <v>0</v>
      </c>
      <c r="Q3420" t="n">
        <v>0</v>
      </c>
      <c r="R3420" s="2" t="inlineStr"/>
    </row>
    <row r="3421" ht="15" customHeight="1">
      <c r="A3421" t="inlineStr">
        <is>
          <t>A 48885-2024</t>
        </is>
      </c>
      <c r="B3421" s="1" t="n">
        <v>45594</v>
      </c>
      <c r="C3421" s="1" t="n">
        <v>45633</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48891-2024</t>
        </is>
      </c>
      <c r="B3422" s="1" t="n">
        <v>45594</v>
      </c>
      <c r="C3422" s="1" t="n">
        <v>45633</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49217-2024</t>
        </is>
      </c>
      <c r="B3423" s="1" t="n">
        <v>45595</v>
      </c>
      <c r="C3423" s="1" t="n">
        <v>45633</v>
      </c>
      <c r="D3423" t="inlineStr">
        <is>
          <t>VÄSTERBOTTENS LÄN</t>
        </is>
      </c>
      <c r="E3423" t="inlineStr">
        <is>
          <t>SKELLEFTEÅ</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49171-2024</t>
        </is>
      </c>
      <c r="B3424" s="1" t="n">
        <v>45595</v>
      </c>
      <c r="C3424" s="1" t="n">
        <v>45633</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49268-2024</t>
        </is>
      </c>
      <c r="B3425" s="1" t="n">
        <v>45595</v>
      </c>
      <c r="C3425" s="1" t="n">
        <v>45633</v>
      </c>
      <c r="D3425" t="inlineStr">
        <is>
          <t>VÄSTERBOTTENS LÄN</t>
        </is>
      </c>
      <c r="E3425" t="inlineStr">
        <is>
          <t>SKELLEFTEÅ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49429-2024</t>
        </is>
      </c>
      <c r="B3426" s="1" t="n">
        <v>45595</v>
      </c>
      <c r="C3426" s="1" t="n">
        <v>45633</v>
      </c>
      <c r="D3426" t="inlineStr">
        <is>
          <t>VÄSTERBOTTENS LÄN</t>
        </is>
      </c>
      <c r="E3426" t="inlineStr">
        <is>
          <t>SKELLEFTEÅ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49279-2024</t>
        </is>
      </c>
      <c r="B3427" s="1" t="n">
        <v>45595</v>
      </c>
      <c r="C3427" s="1" t="n">
        <v>45633</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49356-2024</t>
        </is>
      </c>
      <c r="B3428" s="1" t="n">
        <v>45595</v>
      </c>
      <c r="C3428" s="1" t="n">
        <v>45633</v>
      </c>
      <c r="D3428" t="inlineStr">
        <is>
          <t>VÄSTERBOTTENS LÄN</t>
        </is>
      </c>
      <c r="E3428" t="inlineStr">
        <is>
          <t>SKELLEFTEÅ</t>
        </is>
      </c>
      <c r="F3428" t="inlineStr">
        <is>
          <t>Sveaskog</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49731-2024</t>
        </is>
      </c>
      <c r="B3429" s="1" t="n">
        <v>45596</v>
      </c>
      <c r="C3429" s="1" t="n">
        <v>45633</v>
      </c>
      <c r="D3429" t="inlineStr">
        <is>
          <t>VÄSTERBOTTENS LÄN</t>
        </is>
      </c>
      <c r="E3429" t="inlineStr">
        <is>
          <t>SKELLEFTEÅ</t>
        </is>
      </c>
      <c r="F3429" t="inlineStr">
        <is>
          <t>Sveaskog</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49844-2024</t>
        </is>
      </c>
      <c r="B3430" s="1" t="n">
        <v>45597</v>
      </c>
      <c r="C3430" s="1" t="n">
        <v>45633</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49947-2024</t>
        </is>
      </c>
      <c r="B3431" s="1" t="n">
        <v>45597</v>
      </c>
      <c r="C3431" s="1" t="n">
        <v>45633</v>
      </c>
      <c r="D3431" t="inlineStr">
        <is>
          <t>VÄSTERBOTTENS LÄN</t>
        </is>
      </c>
      <c r="E3431" t="inlineStr">
        <is>
          <t>SKELLEFTEÅ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49955-2024</t>
        </is>
      </c>
      <c r="B3432" s="1" t="n">
        <v>45597</v>
      </c>
      <c r="C3432" s="1" t="n">
        <v>45633</v>
      </c>
      <c r="D3432" t="inlineStr">
        <is>
          <t>VÄSTERBOTTENS LÄN</t>
        </is>
      </c>
      <c r="E3432" t="inlineStr">
        <is>
          <t>SKELLEFTEÅ</t>
        </is>
      </c>
      <c r="F3432" t="inlineStr">
        <is>
          <t>Sveaskog</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49811-2024</t>
        </is>
      </c>
      <c r="B3433" s="1" t="n">
        <v>45597</v>
      </c>
      <c r="C3433" s="1" t="n">
        <v>45633</v>
      </c>
      <c r="D3433" t="inlineStr">
        <is>
          <t>VÄSTERBOTTENS LÄN</t>
        </is>
      </c>
      <c r="E3433" t="inlineStr">
        <is>
          <t>SKELLEFTEÅ</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49981-2024</t>
        </is>
      </c>
      <c r="B3434" s="1" t="n">
        <v>45597</v>
      </c>
      <c r="C3434" s="1" t="n">
        <v>45633</v>
      </c>
      <c r="D3434" t="inlineStr">
        <is>
          <t>VÄSTERBOTTENS LÄN</t>
        </is>
      </c>
      <c r="E3434" t="inlineStr">
        <is>
          <t>SKELLEFTEÅ</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50082-2024</t>
        </is>
      </c>
      <c r="B3435" s="1" t="n">
        <v>45597</v>
      </c>
      <c r="C3435" s="1" t="n">
        <v>45633</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50059-2024</t>
        </is>
      </c>
      <c r="B3436" s="1" t="n">
        <v>45600</v>
      </c>
      <c r="C3436" s="1" t="n">
        <v>45633</v>
      </c>
      <c r="D3436" t="inlineStr">
        <is>
          <t>VÄSTERBOTTENS LÄN</t>
        </is>
      </c>
      <c r="E3436" t="inlineStr">
        <is>
          <t>SKELLEFTEÅ</t>
        </is>
      </c>
      <c r="F3436" t="inlineStr">
        <is>
          <t>Kommuner</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50070-2024</t>
        </is>
      </c>
      <c r="B3437" s="1" t="n">
        <v>45600</v>
      </c>
      <c r="C3437" s="1" t="n">
        <v>45633</v>
      </c>
      <c r="D3437" t="inlineStr">
        <is>
          <t>VÄSTERBOTTENS LÄN</t>
        </is>
      </c>
      <c r="E3437" t="inlineStr">
        <is>
          <t>SKELLEFTEÅ</t>
        </is>
      </c>
      <c r="F3437" t="inlineStr">
        <is>
          <t>Kommuner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50058-2024</t>
        </is>
      </c>
      <c r="B3438" s="1" t="n">
        <v>45600</v>
      </c>
      <c r="C3438" s="1" t="n">
        <v>45633</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50263-2024</t>
        </is>
      </c>
      <c r="B3439" s="1" t="n">
        <v>45600</v>
      </c>
      <c r="C3439" s="1" t="n">
        <v>45633</v>
      </c>
      <c r="D3439" t="inlineStr">
        <is>
          <t>VÄSTERBOTTENS LÄN</t>
        </is>
      </c>
      <c r="E3439" t="inlineStr">
        <is>
          <t>SKELLEFTEÅ</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50335-2024</t>
        </is>
      </c>
      <c r="B3440" s="1" t="n">
        <v>45600</v>
      </c>
      <c r="C3440" s="1" t="n">
        <v>45633</v>
      </c>
      <c r="D3440" t="inlineStr">
        <is>
          <t>VÄSTERBOTTENS LÄN</t>
        </is>
      </c>
      <c r="E3440" t="inlineStr">
        <is>
          <t>SKELLEFTEÅ</t>
        </is>
      </c>
      <c r="F3440" t="inlineStr">
        <is>
          <t>Holmen skog AB</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50232-2024</t>
        </is>
      </c>
      <c r="B3441" s="1" t="n">
        <v>45600</v>
      </c>
      <c r="C3441" s="1" t="n">
        <v>45633</v>
      </c>
      <c r="D3441" t="inlineStr">
        <is>
          <t>VÄSTERBOTTENS LÄN</t>
        </is>
      </c>
      <c r="E3441" t="inlineStr">
        <is>
          <t>SKELLEFTEÅ</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50276-2024</t>
        </is>
      </c>
      <c r="B3442" s="1" t="n">
        <v>45600</v>
      </c>
      <c r="C3442" s="1" t="n">
        <v>45633</v>
      </c>
      <c r="D3442" t="inlineStr">
        <is>
          <t>VÄSTERBOTTENS LÄN</t>
        </is>
      </c>
      <c r="E3442" t="inlineStr">
        <is>
          <t>SKELLEFTEÅ</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50288-2024</t>
        </is>
      </c>
      <c r="B3443" s="1" t="n">
        <v>45600</v>
      </c>
      <c r="C3443" s="1" t="n">
        <v>45633</v>
      </c>
      <c r="D3443" t="inlineStr">
        <is>
          <t>VÄSTERBOTTENS LÄN</t>
        </is>
      </c>
      <c r="E3443" t="inlineStr">
        <is>
          <t>SKELLEFTEÅ</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50322-2024</t>
        </is>
      </c>
      <c r="B3444" s="1" t="n">
        <v>45600</v>
      </c>
      <c r="C3444" s="1" t="n">
        <v>45633</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50515-2024</t>
        </is>
      </c>
      <c r="B3445" s="1" t="n">
        <v>45601</v>
      </c>
      <c r="C3445" s="1" t="n">
        <v>45633</v>
      </c>
      <c r="D3445" t="inlineStr">
        <is>
          <t>VÄSTERBOTTENS LÄN</t>
        </is>
      </c>
      <c r="E3445" t="inlineStr">
        <is>
          <t>SKELLEFTEÅ</t>
        </is>
      </c>
      <c r="F3445" t="inlineStr">
        <is>
          <t>Holmen skog AB</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50476-2024</t>
        </is>
      </c>
      <c r="B3446" s="1" t="n">
        <v>45601</v>
      </c>
      <c r="C3446" s="1" t="n">
        <v>45633</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50439-2024</t>
        </is>
      </c>
      <c r="B3447" s="1" t="n">
        <v>45601</v>
      </c>
      <c r="C3447" s="1" t="n">
        <v>45633</v>
      </c>
      <c r="D3447" t="inlineStr">
        <is>
          <t>VÄSTERBOTTENS LÄN</t>
        </is>
      </c>
      <c r="E3447" t="inlineStr">
        <is>
          <t>SKELLEFTEÅ</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50450-2024</t>
        </is>
      </c>
      <c r="B3448" s="1" t="n">
        <v>45601</v>
      </c>
      <c r="C3448" s="1" t="n">
        <v>45633</v>
      </c>
      <c r="D3448" t="inlineStr">
        <is>
          <t>VÄSTERBOTTENS LÄN</t>
        </is>
      </c>
      <c r="E3448" t="inlineStr">
        <is>
          <t>SKELLEFTEÅ</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50752-2024</t>
        </is>
      </c>
      <c r="B3449" s="1" t="n">
        <v>45602</v>
      </c>
      <c r="C3449" s="1" t="n">
        <v>45633</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50795-2024</t>
        </is>
      </c>
      <c r="B3450" s="1" t="n">
        <v>45602</v>
      </c>
      <c r="C3450" s="1" t="n">
        <v>45633</v>
      </c>
      <c r="D3450" t="inlineStr">
        <is>
          <t>VÄSTERBOTTENS LÄN</t>
        </is>
      </c>
      <c r="E3450" t="inlineStr">
        <is>
          <t>SKELLEFTEÅ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50862-2024</t>
        </is>
      </c>
      <c r="B3451" s="1" t="n">
        <v>45602</v>
      </c>
      <c r="C3451" s="1" t="n">
        <v>45633</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50894-2024</t>
        </is>
      </c>
      <c r="B3452" s="1" t="n">
        <v>45602</v>
      </c>
      <c r="C3452" s="1" t="n">
        <v>45633</v>
      </c>
      <c r="D3452" t="inlineStr">
        <is>
          <t>VÄSTERBOTTENS LÄN</t>
        </is>
      </c>
      <c r="E3452" t="inlineStr">
        <is>
          <t>SKELLEFTEÅ</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51006-2024</t>
        </is>
      </c>
      <c r="B3453" s="1" t="n">
        <v>45603</v>
      </c>
      <c r="C3453" s="1" t="n">
        <v>45633</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51179-2024</t>
        </is>
      </c>
      <c r="B3454" s="1" t="n">
        <v>45603</v>
      </c>
      <c r="C3454" s="1" t="n">
        <v>45633</v>
      </c>
      <c r="D3454" t="inlineStr">
        <is>
          <t>VÄSTERBOTTENS LÄN</t>
        </is>
      </c>
      <c r="E3454" t="inlineStr">
        <is>
          <t>SKELLEFTEÅ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51165-2024</t>
        </is>
      </c>
      <c r="B3455" s="1" t="n">
        <v>45603</v>
      </c>
      <c r="C3455" s="1" t="n">
        <v>45633</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51116-2024</t>
        </is>
      </c>
      <c r="B3456" s="1" t="n">
        <v>45603</v>
      </c>
      <c r="C3456" s="1" t="n">
        <v>45633</v>
      </c>
      <c r="D3456" t="inlineStr">
        <is>
          <t>VÄSTERBOTTENS LÄN</t>
        </is>
      </c>
      <c r="E3456" t="inlineStr">
        <is>
          <t>SKELLEFTEÅ</t>
        </is>
      </c>
      <c r="F3456" t="inlineStr">
        <is>
          <t>Holmen skog AB</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51357-2024</t>
        </is>
      </c>
      <c r="B3457" s="1" t="n">
        <v>45603</v>
      </c>
      <c r="C3457" s="1" t="n">
        <v>45633</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51348-2024</t>
        </is>
      </c>
      <c r="B3458" s="1" t="n">
        <v>45603</v>
      </c>
      <c r="C3458" s="1" t="n">
        <v>45633</v>
      </c>
      <c r="D3458" t="inlineStr">
        <is>
          <t>VÄSTERBOTTENS LÄN</t>
        </is>
      </c>
      <c r="E3458" t="inlineStr">
        <is>
          <t>SKELLEFTEÅ</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51356-2024</t>
        </is>
      </c>
      <c r="B3459" s="1" t="n">
        <v>45604</v>
      </c>
      <c r="C3459" s="1" t="n">
        <v>45633</v>
      </c>
      <c r="D3459" t="inlineStr">
        <is>
          <t>VÄSTERBOTTENS LÄN</t>
        </is>
      </c>
      <c r="E3459" t="inlineStr">
        <is>
          <t>SKELLEFTEÅ</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51319-2024</t>
        </is>
      </c>
      <c r="B3460" s="1" t="n">
        <v>45604</v>
      </c>
      <c r="C3460" s="1" t="n">
        <v>45633</v>
      </c>
      <c r="D3460" t="inlineStr">
        <is>
          <t>VÄSTERBOTTENS LÄN</t>
        </is>
      </c>
      <c r="E3460" t="inlineStr">
        <is>
          <t>SKELLEFTEÅ</t>
        </is>
      </c>
      <c r="F3460" t="inlineStr">
        <is>
          <t>Kommuner</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51382-2024</t>
        </is>
      </c>
      <c r="B3461" s="1" t="n">
        <v>45604</v>
      </c>
      <c r="C3461" s="1" t="n">
        <v>45633</v>
      </c>
      <c r="D3461" t="inlineStr">
        <is>
          <t>VÄSTERBOTTENS LÄN</t>
        </is>
      </c>
      <c r="E3461" t="inlineStr">
        <is>
          <t>SKELLEFTEÅ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51332-2024</t>
        </is>
      </c>
      <c r="B3462" s="1" t="n">
        <v>45604</v>
      </c>
      <c r="C3462" s="1" t="n">
        <v>45633</v>
      </c>
      <c r="D3462" t="inlineStr">
        <is>
          <t>VÄSTERBOTTENS LÄN</t>
        </is>
      </c>
      <c r="E3462" t="inlineStr">
        <is>
          <t>SKELLEFTEÅ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51363-2024</t>
        </is>
      </c>
      <c r="B3463" s="1" t="n">
        <v>45604</v>
      </c>
      <c r="C3463" s="1" t="n">
        <v>45633</v>
      </c>
      <c r="D3463" t="inlineStr">
        <is>
          <t>VÄSTERBOTTENS LÄN</t>
        </is>
      </c>
      <c r="E3463" t="inlineStr">
        <is>
          <t>SKELLEFTEÅ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51362-2024</t>
        </is>
      </c>
      <c r="B3464" s="1" t="n">
        <v>45604</v>
      </c>
      <c r="C3464" s="1" t="n">
        <v>45633</v>
      </c>
      <c r="D3464" t="inlineStr">
        <is>
          <t>VÄSTERBOTTENS LÄN</t>
        </is>
      </c>
      <c r="E3464" t="inlineStr">
        <is>
          <t>SKELLEFTEÅ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51383-2024</t>
        </is>
      </c>
      <c r="B3465" s="1" t="n">
        <v>45604</v>
      </c>
      <c r="C3465" s="1" t="n">
        <v>45633</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51439-2024</t>
        </is>
      </c>
      <c r="B3466" s="1" t="n">
        <v>45604</v>
      </c>
      <c r="C3466" s="1" t="n">
        <v>45633</v>
      </c>
      <c r="D3466" t="inlineStr">
        <is>
          <t>VÄSTERBOTTENS LÄN</t>
        </is>
      </c>
      <c r="E3466" t="inlineStr">
        <is>
          <t>SKELLEFTEÅ</t>
        </is>
      </c>
      <c r="F3466" t="inlineStr">
        <is>
          <t>Holmen skog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51592-2024</t>
        </is>
      </c>
      <c r="B3467" s="1" t="n">
        <v>45604</v>
      </c>
      <c r="C3467" s="1" t="n">
        <v>45633</v>
      </c>
      <c r="D3467" t="inlineStr">
        <is>
          <t>VÄSTERBOTTENS LÄN</t>
        </is>
      </c>
      <c r="E3467" t="inlineStr">
        <is>
          <t>SKELLEFTEÅ</t>
        </is>
      </c>
      <c r="F3467" t="inlineStr">
        <is>
          <t>Sveaskog</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51810-2024</t>
        </is>
      </c>
      <c r="B3468" s="1" t="n">
        <v>45607</v>
      </c>
      <c r="C3468" s="1" t="n">
        <v>45633</v>
      </c>
      <c r="D3468" t="inlineStr">
        <is>
          <t>VÄSTERBOTTENS LÄN</t>
        </is>
      </c>
      <c r="E3468" t="inlineStr">
        <is>
          <t>SKELLEFTEÅ</t>
        </is>
      </c>
      <c r="G3468" t="n">
        <v>9.699999999999999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51991-2024</t>
        </is>
      </c>
      <c r="B3469" s="1" t="n">
        <v>45607</v>
      </c>
      <c r="C3469" s="1" t="n">
        <v>45633</v>
      </c>
      <c r="D3469" t="inlineStr">
        <is>
          <t>VÄSTERBOTTENS LÄN</t>
        </is>
      </c>
      <c r="E3469" t="inlineStr">
        <is>
          <t>SKELLEFTEÅ</t>
        </is>
      </c>
      <c r="F3469" t="inlineStr">
        <is>
          <t>Kommuner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51993-2024</t>
        </is>
      </c>
      <c r="B3470" s="1" t="n">
        <v>45607</v>
      </c>
      <c r="C3470" s="1" t="n">
        <v>45633</v>
      </c>
      <c r="D3470" t="inlineStr">
        <is>
          <t>VÄSTERBOTTENS LÄN</t>
        </is>
      </c>
      <c r="E3470" t="inlineStr">
        <is>
          <t>SKELLEFTEÅ</t>
        </is>
      </c>
      <c r="F3470" t="inlineStr">
        <is>
          <t>Kommuner</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52098-2024</t>
        </is>
      </c>
      <c r="B3471" s="1" t="n">
        <v>45608</v>
      </c>
      <c r="C3471" s="1" t="n">
        <v>45633</v>
      </c>
      <c r="D3471" t="inlineStr">
        <is>
          <t>VÄSTERBOTTENS LÄN</t>
        </is>
      </c>
      <c r="E3471" t="inlineStr">
        <is>
          <t>SKELLEFTEÅ</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52157-2024</t>
        </is>
      </c>
      <c r="B3472" s="1" t="n">
        <v>45608</v>
      </c>
      <c r="C3472" s="1" t="n">
        <v>45633</v>
      </c>
      <c r="D3472" t="inlineStr">
        <is>
          <t>VÄSTERBOTTENS LÄN</t>
        </is>
      </c>
      <c r="E3472" t="inlineStr">
        <is>
          <t>SKELLEFTEÅ</t>
        </is>
      </c>
      <c r="F3472" t="inlineStr">
        <is>
          <t>Holmen skog AB</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52218-2024</t>
        </is>
      </c>
      <c r="B3473" s="1" t="n">
        <v>45608</v>
      </c>
      <c r="C3473" s="1" t="n">
        <v>45633</v>
      </c>
      <c r="D3473" t="inlineStr">
        <is>
          <t>VÄSTERBOTTENS LÄN</t>
        </is>
      </c>
      <c r="E3473" t="inlineStr">
        <is>
          <t>SKELLEFTEÅ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52245-2024</t>
        </is>
      </c>
      <c r="B3474" s="1" t="n">
        <v>45608</v>
      </c>
      <c r="C3474" s="1" t="n">
        <v>45633</v>
      </c>
      <c r="D3474" t="inlineStr">
        <is>
          <t>VÄSTERBOTTENS LÄN</t>
        </is>
      </c>
      <c r="E3474" t="inlineStr">
        <is>
          <t>SKELLEFTEÅ</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52108-2024</t>
        </is>
      </c>
      <c r="B3475" s="1" t="n">
        <v>45608</v>
      </c>
      <c r="C3475" s="1" t="n">
        <v>45633</v>
      </c>
      <c r="D3475" t="inlineStr">
        <is>
          <t>VÄSTERBOTTENS LÄN</t>
        </is>
      </c>
      <c r="E3475" t="inlineStr">
        <is>
          <t>SKELLEFTEÅ</t>
        </is>
      </c>
      <c r="F3475" t="inlineStr">
        <is>
          <t>Holmen skog AB</t>
        </is>
      </c>
      <c r="G3475" t="n">
        <v>14.1</v>
      </c>
      <c r="H3475" t="n">
        <v>0</v>
      </c>
      <c r="I3475" t="n">
        <v>0</v>
      </c>
      <c r="J3475" t="n">
        <v>0</v>
      </c>
      <c r="K3475" t="n">
        <v>0</v>
      </c>
      <c r="L3475" t="n">
        <v>0</v>
      </c>
      <c r="M3475" t="n">
        <v>0</v>
      </c>
      <c r="N3475" t="n">
        <v>0</v>
      </c>
      <c r="O3475" t="n">
        <v>0</v>
      </c>
      <c r="P3475" t="n">
        <v>0</v>
      </c>
      <c r="Q3475" t="n">
        <v>0</v>
      </c>
      <c r="R3475" s="2" t="inlineStr"/>
    </row>
    <row r="3476" ht="15" customHeight="1">
      <c r="A3476" t="inlineStr">
        <is>
          <t>A 52410-2024</t>
        </is>
      </c>
      <c r="B3476" s="1" t="n">
        <v>45608</v>
      </c>
      <c r="C3476" s="1" t="n">
        <v>45633</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52417-2024</t>
        </is>
      </c>
      <c r="B3477" s="1" t="n">
        <v>45608</v>
      </c>
      <c r="C3477" s="1" t="n">
        <v>45633</v>
      </c>
      <c r="D3477" t="inlineStr">
        <is>
          <t>VÄSTERBOTTENS LÄN</t>
        </is>
      </c>
      <c r="E3477" t="inlineStr">
        <is>
          <t>SKELLEFTEÅ</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52509-2024</t>
        </is>
      </c>
      <c r="B3478" s="1" t="n">
        <v>45609</v>
      </c>
      <c r="C3478" s="1" t="n">
        <v>45633</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52587-2024</t>
        </is>
      </c>
      <c r="B3479" s="1" t="n">
        <v>45609</v>
      </c>
      <c r="C3479" s="1" t="n">
        <v>45633</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52620-2024</t>
        </is>
      </c>
      <c r="B3480" s="1" t="n">
        <v>45609</v>
      </c>
      <c r="C3480" s="1" t="n">
        <v>45633</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52744-2024</t>
        </is>
      </c>
      <c r="B3481" s="1" t="n">
        <v>45610</v>
      </c>
      <c r="C3481" s="1" t="n">
        <v>45633</v>
      </c>
      <c r="D3481" t="inlineStr">
        <is>
          <t>VÄSTERBOTTENS LÄN</t>
        </is>
      </c>
      <c r="E3481" t="inlineStr">
        <is>
          <t>SKELLEFTEÅ</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52767-2024</t>
        </is>
      </c>
      <c r="B3482" s="1" t="n">
        <v>45610</v>
      </c>
      <c r="C3482" s="1" t="n">
        <v>45633</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52693-2024</t>
        </is>
      </c>
      <c r="B3483" s="1" t="n">
        <v>45610</v>
      </c>
      <c r="C3483" s="1" t="n">
        <v>45633</v>
      </c>
      <c r="D3483" t="inlineStr">
        <is>
          <t>VÄSTERBOTTENS LÄN</t>
        </is>
      </c>
      <c r="E3483" t="inlineStr">
        <is>
          <t>SKELLEFTEÅ</t>
        </is>
      </c>
      <c r="F3483" t="inlineStr">
        <is>
          <t>Holmen skog AB</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52830-2024</t>
        </is>
      </c>
      <c r="B3484" s="1" t="n">
        <v>45610</v>
      </c>
      <c r="C3484" s="1" t="n">
        <v>45633</v>
      </c>
      <c r="D3484" t="inlineStr">
        <is>
          <t>VÄSTERBOTTENS LÄN</t>
        </is>
      </c>
      <c r="E3484" t="inlineStr">
        <is>
          <t>SKELLEFTEÅ</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52862-2024</t>
        </is>
      </c>
      <c r="B3485" s="1" t="n">
        <v>45610</v>
      </c>
      <c r="C3485" s="1" t="n">
        <v>45633</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52864-2024</t>
        </is>
      </c>
      <c r="B3486" s="1" t="n">
        <v>45610</v>
      </c>
      <c r="C3486" s="1" t="n">
        <v>45633</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45633</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52999-2024</t>
        </is>
      </c>
      <c r="B3488" s="1" t="n">
        <v>45611</v>
      </c>
      <c r="C3488" s="1" t="n">
        <v>45633</v>
      </c>
      <c r="D3488" t="inlineStr">
        <is>
          <t>VÄSTERBOTTENS LÄN</t>
        </is>
      </c>
      <c r="E3488" t="inlineStr">
        <is>
          <t>SKELLEFTEÅ</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53000-2024</t>
        </is>
      </c>
      <c r="B3489" s="1" t="n">
        <v>45611</v>
      </c>
      <c r="C3489" s="1" t="n">
        <v>45633</v>
      </c>
      <c r="D3489" t="inlineStr">
        <is>
          <t>VÄSTERBOTTENS LÄN</t>
        </is>
      </c>
      <c r="E3489" t="inlineStr">
        <is>
          <t>SKELLEFTEÅ</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53117-2024</t>
        </is>
      </c>
      <c r="B3490" s="1" t="n">
        <v>45611</v>
      </c>
      <c r="C3490" s="1" t="n">
        <v>45633</v>
      </c>
      <c r="D3490" t="inlineStr">
        <is>
          <t>VÄSTERBOTTENS LÄN</t>
        </is>
      </c>
      <c r="E3490" t="inlineStr">
        <is>
          <t>SKELLEFTEÅ</t>
        </is>
      </c>
      <c r="F3490" t="inlineStr">
        <is>
          <t>Kommuner</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53122-2024</t>
        </is>
      </c>
      <c r="B3491" s="1" t="n">
        <v>45611</v>
      </c>
      <c r="C3491" s="1" t="n">
        <v>45633</v>
      </c>
      <c r="D3491" t="inlineStr">
        <is>
          <t>VÄSTERBOTTENS LÄN</t>
        </is>
      </c>
      <c r="E3491" t="inlineStr">
        <is>
          <t>SKELLEFTEÅ</t>
        </is>
      </c>
      <c r="F3491" t="inlineStr">
        <is>
          <t>Holmen skog AB</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v>
      </c>
      <c r="C3492" s="1" t="n">
        <v>45633</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53257-2024</t>
        </is>
      </c>
      <c r="B3493" s="1" t="n">
        <v>45614</v>
      </c>
      <c r="C3493" s="1" t="n">
        <v>45633</v>
      </c>
      <c r="D3493" t="inlineStr">
        <is>
          <t>VÄSTERBOTTENS LÄN</t>
        </is>
      </c>
      <c r="E3493" t="inlineStr">
        <is>
          <t>SKELLEFTEÅ</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53271-2024</t>
        </is>
      </c>
      <c r="B3494" s="1" t="n">
        <v>45614</v>
      </c>
      <c r="C3494" s="1" t="n">
        <v>45633</v>
      </c>
      <c r="D3494" t="inlineStr">
        <is>
          <t>VÄSTERBOTTENS LÄN</t>
        </is>
      </c>
      <c r="E3494" t="inlineStr">
        <is>
          <t>SKELLEFTEÅ</t>
        </is>
      </c>
      <c r="F3494" t="inlineStr">
        <is>
          <t>Holmen skog AB</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53419-2024</t>
        </is>
      </c>
      <c r="B3495" s="1" t="n">
        <v>45614</v>
      </c>
      <c r="C3495" s="1" t="n">
        <v>45633</v>
      </c>
      <c r="D3495" t="inlineStr">
        <is>
          <t>VÄSTERBOTTENS LÄN</t>
        </is>
      </c>
      <c r="E3495" t="inlineStr">
        <is>
          <t>SKELLEFTEÅ</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53505-2024</t>
        </is>
      </c>
      <c r="B3496" s="1" t="n">
        <v>45614</v>
      </c>
      <c r="C3496" s="1" t="n">
        <v>45633</v>
      </c>
      <c r="D3496" t="inlineStr">
        <is>
          <t>VÄSTERBOTTENS LÄN</t>
        </is>
      </c>
      <c r="E3496" t="inlineStr">
        <is>
          <t>SKELLEFTEÅ</t>
        </is>
      </c>
      <c r="F3496" t="inlineStr">
        <is>
          <t>Holmen skog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53420-2024</t>
        </is>
      </c>
      <c r="B3497" s="1" t="n">
        <v>45614</v>
      </c>
      <c r="C3497" s="1" t="n">
        <v>45633</v>
      </c>
      <c r="D3497" t="inlineStr">
        <is>
          <t>VÄSTERBOTTENS LÄN</t>
        </is>
      </c>
      <c r="E3497" t="inlineStr">
        <is>
          <t>SKELLEFTEÅ</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53426-2024</t>
        </is>
      </c>
      <c r="B3498" s="1" t="n">
        <v>45614</v>
      </c>
      <c r="C3498" s="1" t="n">
        <v>45633</v>
      </c>
      <c r="D3498" t="inlineStr">
        <is>
          <t>VÄSTERBOTTENS LÄN</t>
        </is>
      </c>
      <c r="E3498" t="inlineStr">
        <is>
          <t>SKELLEFTEÅ</t>
        </is>
      </c>
      <c r="G3498" t="n">
        <v>19.2</v>
      </c>
      <c r="H3498" t="n">
        <v>0</v>
      </c>
      <c r="I3498" t="n">
        <v>0</v>
      </c>
      <c r="J3498" t="n">
        <v>0</v>
      </c>
      <c r="K3498" t="n">
        <v>0</v>
      </c>
      <c r="L3498" t="n">
        <v>0</v>
      </c>
      <c r="M3498" t="n">
        <v>0</v>
      </c>
      <c r="N3498" t="n">
        <v>0</v>
      </c>
      <c r="O3498" t="n">
        <v>0</v>
      </c>
      <c r="P3498" t="n">
        <v>0</v>
      </c>
      <c r="Q3498" t="n">
        <v>0</v>
      </c>
      <c r="R3498" s="2" t="inlineStr"/>
    </row>
    <row r="3499" ht="15" customHeight="1">
      <c r="A3499" t="inlineStr">
        <is>
          <t>A 53430-2024</t>
        </is>
      </c>
      <c r="B3499" s="1" t="n">
        <v>45614</v>
      </c>
      <c r="C3499" s="1" t="n">
        <v>45633</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53421-2024</t>
        </is>
      </c>
      <c r="B3500" s="1" t="n">
        <v>45614</v>
      </c>
      <c r="C3500" s="1" t="n">
        <v>45633</v>
      </c>
      <c r="D3500" t="inlineStr">
        <is>
          <t>VÄSTERBOTTENS LÄN</t>
        </is>
      </c>
      <c r="E3500" t="inlineStr">
        <is>
          <t>SKELLEFTEÅ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53425-2024</t>
        </is>
      </c>
      <c r="B3501" s="1" t="n">
        <v>45614</v>
      </c>
      <c r="C3501" s="1" t="n">
        <v>45633</v>
      </c>
      <c r="D3501" t="inlineStr">
        <is>
          <t>VÄSTERBOTTENS LÄN</t>
        </is>
      </c>
      <c r="E3501" t="inlineStr">
        <is>
          <t>SKELLEFTEÅ</t>
        </is>
      </c>
      <c r="G3501" t="n">
        <v>29.4</v>
      </c>
      <c r="H3501" t="n">
        <v>0</v>
      </c>
      <c r="I3501" t="n">
        <v>0</v>
      </c>
      <c r="J3501" t="n">
        <v>0</v>
      </c>
      <c r="K3501" t="n">
        <v>0</v>
      </c>
      <c r="L3501" t="n">
        <v>0</v>
      </c>
      <c r="M3501" t="n">
        <v>0</v>
      </c>
      <c r="N3501" t="n">
        <v>0</v>
      </c>
      <c r="O3501" t="n">
        <v>0</v>
      </c>
      <c r="P3501" t="n">
        <v>0</v>
      </c>
      <c r="Q3501" t="n">
        <v>0</v>
      </c>
      <c r="R3501" s="2" t="inlineStr"/>
    </row>
    <row r="3502" ht="15" customHeight="1">
      <c r="A3502" t="inlineStr">
        <is>
          <t>A 53445-2024</t>
        </is>
      </c>
      <c r="B3502" s="1" t="n">
        <v>45614</v>
      </c>
      <c r="C3502" s="1" t="n">
        <v>45633</v>
      </c>
      <c r="D3502" t="inlineStr">
        <is>
          <t>VÄSTERBOTTENS LÄN</t>
        </is>
      </c>
      <c r="E3502" t="inlineStr">
        <is>
          <t>SKELLEFTEÅ</t>
        </is>
      </c>
      <c r="F3502" t="inlineStr">
        <is>
          <t>Holmen skog AB</t>
        </is>
      </c>
      <c r="G3502" t="n">
        <v>14.3</v>
      </c>
      <c r="H3502" t="n">
        <v>0</v>
      </c>
      <c r="I3502" t="n">
        <v>0</v>
      </c>
      <c r="J3502" t="n">
        <v>0</v>
      </c>
      <c r="K3502" t="n">
        <v>0</v>
      </c>
      <c r="L3502" t="n">
        <v>0</v>
      </c>
      <c r="M3502" t="n">
        <v>0</v>
      </c>
      <c r="N3502" t="n">
        <v>0</v>
      </c>
      <c r="O3502" t="n">
        <v>0</v>
      </c>
      <c r="P3502" t="n">
        <v>0</v>
      </c>
      <c r="Q3502" t="n">
        <v>0</v>
      </c>
      <c r="R3502" s="2" t="inlineStr"/>
    </row>
    <row r="3503" ht="15" customHeight="1">
      <c r="A3503" t="inlineStr">
        <is>
          <t>A 53635-2024</t>
        </is>
      </c>
      <c r="B3503" s="1" t="n">
        <v>45614</v>
      </c>
      <c r="C3503" s="1" t="n">
        <v>45633</v>
      </c>
      <c r="D3503" t="inlineStr">
        <is>
          <t>VÄSTERBOTTENS LÄN</t>
        </is>
      </c>
      <c r="E3503" t="inlineStr">
        <is>
          <t>SKELLEFTEÅ</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53716-2024</t>
        </is>
      </c>
      <c r="B3504" s="1" t="n">
        <v>45615</v>
      </c>
      <c r="C3504" s="1" t="n">
        <v>45633</v>
      </c>
      <c r="D3504" t="inlineStr">
        <is>
          <t>VÄSTERBOTTENS LÄN</t>
        </is>
      </c>
      <c r="E3504" t="inlineStr">
        <is>
          <t>SKELLEFTEÅ</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53720-2024</t>
        </is>
      </c>
      <c r="B3505" s="1" t="n">
        <v>45615</v>
      </c>
      <c r="C3505" s="1" t="n">
        <v>45633</v>
      </c>
      <c r="D3505" t="inlineStr">
        <is>
          <t>VÄSTERBOTTENS LÄN</t>
        </is>
      </c>
      <c r="E3505" t="inlineStr">
        <is>
          <t>SKELLEFTEÅ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53725-2024</t>
        </is>
      </c>
      <c r="B3506" s="1" t="n">
        <v>45615</v>
      </c>
      <c r="C3506" s="1" t="n">
        <v>45633</v>
      </c>
      <c r="D3506" t="inlineStr">
        <is>
          <t>VÄSTERBOTTENS LÄN</t>
        </is>
      </c>
      <c r="E3506" t="inlineStr">
        <is>
          <t>SKELLEFTEÅ</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54084-2024</t>
        </is>
      </c>
      <c r="B3507" s="1" t="n">
        <v>45616</v>
      </c>
      <c r="C3507" s="1" t="n">
        <v>45633</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54037-2024</t>
        </is>
      </c>
      <c r="B3508" s="1" t="n">
        <v>45616</v>
      </c>
      <c r="C3508" s="1" t="n">
        <v>45633</v>
      </c>
      <c r="D3508" t="inlineStr">
        <is>
          <t>VÄSTERBOTTENS LÄN</t>
        </is>
      </c>
      <c r="E3508" t="inlineStr">
        <is>
          <t>SKELLEFTEÅ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54159-2024</t>
        </is>
      </c>
      <c r="B3509" s="1" t="n">
        <v>45616</v>
      </c>
      <c r="C3509" s="1" t="n">
        <v>45633</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54251-2024</t>
        </is>
      </c>
      <c r="B3510" s="1" t="n">
        <v>45616</v>
      </c>
      <c r="C3510" s="1" t="n">
        <v>45633</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54224-2024</t>
        </is>
      </c>
      <c r="B3511" s="1" t="n">
        <v>45616</v>
      </c>
      <c r="C3511" s="1" t="n">
        <v>45633</v>
      </c>
      <c r="D3511" t="inlineStr">
        <is>
          <t>VÄSTERBOTTENS LÄN</t>
        </is>
      </c>
      <c r="E3511" t="inlineStr">
        <is>
          <t>SKELLEFTEÅ</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54248-2024</t>
        </is>
      </c>
      <c r="B3512" s="1" t="n">
        <v>45616</v>
      </c>
      <c r="C3512" s="1" t="n">
        <v>45633</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54264-2024</t>
        </is>
      </c>
      <c r="B3513" s="1" t="n">
        <v>45616</v>
      </c>
      <c r="C3513" s="1" t="n">
        <v>45633</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54162-2024</t>
        </is>
      </c>
      <c r="B3514" s="1" t="n">
        <v>45616</v>
      </c>
      <c r="C3514" s="1" t="n">
        <v>45633</v>
      </c>
      <c r="D3514" t="inlineStr">
        <is>
          <t>VÄSTERBOTTENS LÄN</t>
        </is>
      </c>
      <c r="E3514" t="inlineStr">
        <is>
          <t>SKELLEFTEÅ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54246-2024</t>
        </is>
      </c>
      <c r="B3515" s="1" t="n">
        <v>45616</v>
      </c>
      <c r="C3515" s="1" t="n">
        <v>45633</v>
      </c>
      <c r="D3515" t="inlineStr">
        <is>
          <t>VÄSTERBOTTENS LÄN</t>
        </is>
      </c>
      <c r="E3515" t="inlineStr">
        <is>
          <t>SKELLEFTEÅ</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54258-2024</t>
        </is>
      </c>
      <c r="B3516" s="1" t="n">
        <v>45616</v>
      </c>
      <c r="C3516" s="1" t="n">
        <v>45633</v>
      </c>
      <c r="D3516" t="inlineStr">
        <is>
          <t>VÄSTERBOTTENS LÄN</t>
        </is>
      </c>
      <c r="E3516" t="inlineStr">
        <is>
          <t>SKELLEFTEÅ</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54612-2024</t>
        </is>
      </c>
      <c r="B3517" s="1" t="n">
        <v>45617</v>
      </c>
      <c r="C3517" s="1" t="n">
        <v>45633</v>
      </c>
      <c r="D3517" t="inlineStr">
        <is>
          <t>VÄSTERBOTTENS LÄN</t>
        </is>
      </c>
      <c r="E3517" t="inlineStr">
        <is>
          <t>SKELLEFTEÅ</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54657-2024</t>
        </is>
      </c>
      <c r="B3518" s="1" t="n">
        <v>45617</v>
      </c>
      <c r="C3518" s="1" t="n">
        <v>45633</v>
      </c>
      <c r="D3518" t="inlineStr">
        <is>
          <t>VÄSTERBOTTENS LÄN</t>
        </is>
      </c>
      <c r="E3518" t="inlineStr">
        <is>
          <t>SKELLEFTEÅ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54660-2024</t>
        </is>
      </c>
      <c r="B3519" s="1" t="n">
        <v>45618</v>
      </c>
      <c r="C3519" s="1" t="n">
        <v>45633</v>
      </c>
      <c r="D3519" t="inlineStr">
        <is>
          <t>VÄSTERBOTTENS LÄN</t>
        </is>
      </c>
      <c r="E3519" t="inlineStr">
        <is>
          <t>SKELLEFTEÅ</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54880-2024</t>
        </is>
      </c>
      <c r="B3520" s="1" t="n">
        <v>45618</v>
      </c>
      <c r="C3520" s="1" t="n">
        <v>45633</v>
      </c>
      <c r="D3520" t="inlineStr">
        <is>
          <t>VÄSTERBOTTENS LÄN</t>
        </is>
      </c>
      <c r="E3520" t="inlineStr">
        <is>
          <t>SKELLEFTEÅ</t>
        </is>
      </c>
      <c r="F3520" t="inlineStr">
        <is>
          <t>Sveaskog</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54653-2024</t>
        </is>
      </c>
      <c r="B3521" s="1" t="n">
        <v>45618</v>
      </c>
      <c r="C3521" s="1" t="n">
        <v>45633</v>
      </c>
      <c r="D3521" t="inlineStr">
        <is>
          <t>VÄSTERBOTTENS LÄN</t>
        </is>
      </c>
      <c r="E3521" t="inlineStr">
        <is>
          <t>SKELLEFTEÅ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54662-2024</t>
        </is>
      </c>
      <c r="B3522" s="1" t="n">
        <v>45618</v>
      </c>
      <c r="C3522" s="1" t="n">
        <v>45633</v>
      </c>
      <c r="D3522" t="inlineStr">
        <is>
          <t>VÄSTERBOTTENS LÄN</t>
        </is>
      </c>
      <c r="E3522" t="inlineStr">
        <is>
          <t>SKELLEFTEÅ</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54874-2024</t>
        </is>
      </c>
      <c r="B3523" s="1" t="n">
        <v>45618</v>
      </c>
      <c r="C3523" s="1" t="n">
        <v>45633</v>
      </c>
      <c r="D3523" t="inlineStr">
        <is>
          <t>VÄSTERBOTTENS LÄN</t>
        </is>
      </c>
      <c r="E3523" t="inlineStr">
        <is>
          <t>SKELLEFTEÅ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54895-2024</t>
        </is>
      </c>
      <c r="B3524" s="1" t="n">
        <v>45618</v>
      </c>
      <c r="C3524" s="1" t="n">
        <v>45633</v>
      </c>
      <c r="D3524" t="inlineStr">
        <is>
          <t>VÄSTERBOTTENS LÄN</t>
        </is>
      </c>
      <c r="E3524" t="inlineStr">
        <is>
          <t>SKELLEFTEÅ</t>
        </is>
      </c>
      <c r="F3524" t="inlineStr">
        <is>
          <t>Holmen skog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55201-2024</t>
        </is>
      </c>
      <c r="B3525" s="1" t="n">
        <v>45620</v>
      </c>
      <c r="C3525" s="1" t="n">
        <v>45633</v>
      </c>
      <c r="D3525" t="inlineStr">
        <is>
          <t>VÄSTERBOTTENS LÄN</t>
        </is>
      </c>
      <c r="E3525" t="inlineStr">
        <is>
          <t>SKELLEFTEÅ</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55233-2024</t>
        </is>
      </c>
      <c r="B3526" s="1" t="n">
        <v>45620</v>
      </c>
      <c r="C3526" s="1" t="n">
        <v>45633</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54974-2024</t>
        </is>
      </c>
      <c r="B3527" s="1" t="n">
        <v>45620</v>
      </c>
      <c r="C3527" s="1" t="n">
        <v>45633</v>
      </c>
      <c r="D3527" t="inlineStr">
        <is>
          <t>VÄSTERBOTTENS LÄN</t>
        </is>
      </c>
      <c r="E3527" t="inlineStr">
        <is>
          <t>SKELLEFTEÅ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54971-2024</t>
        </is>
      </c>
      <c r="B3528" s="1" t="n">
        <v>45620</v>
      </c>
      <c r="C3528" s="1" t="n">
        <v>45633</v>
      </c>
      <c r="D3528" t="inlineStr">
        <is>
          <t>VÄSTERBOTTENS LÄN</t>
        </is>
      </c>
      <c r="E3528" t="inlineStr">
        <is>
          <t>SKELLEFTEÅ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45633</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55269-2024</t>
        </is>
      </c>
      <c r="B3530" s="1" t="n">
        <v>45621</v>
      </c>
      <c r="C3530" s="1" t="n">
        <v>45633</v>
      </c>
      <c r="D3530" t="inlineStr">
        <is>
          <t>VÄSTERBOTTENS LÄN</t>
        </is>
      </c>
      <c r="E3530" t="inlineStr">
        <is>
          <t>SKELLEFTEÅ</t>
        </is>
      </c>
      <c r="F3530" t="inlineStr">
        <is>
          <t>Sveaskog</t>
        </is>
      </c>
      <c r="G3530" t="n">
        <v>9.6</v>
      </c>
      <c r="H3530" t="n">
        <v>0</v>
      </c>
      <c r="I3530" t="n">
        <v>0</v>
      </c>
      <c r="J3530" t="n">
        <v>0</v>
      </c>
      <c r="K3530" t="n">
        <v>0</v>
      </c>
      <c r="L3530" t="n">
        <v>0</v>
      </c>
      <c r="M3530" t="n">
        <v>0</v>
      </c>
      <c r="N3530" t="n">
        <v>0</v>
      </c>
      <c r="O3530" t="n">
        <v>0</v>
      </c>
      <c r="P3530" t="n">
        <v>0</v>
      </c>
      <c r="Q3530" t="n">
        <v>0</v>
      </c>
      <c r="R3530" s="2" t="inlineStr"/>
    </row>
    <row r="3531" ht="15" customHeight="1">
      <c r="A3531" t="inlineStr">
        <is>
          <t>A 55241-2024</t>
        </is>
      </c>
      <c r="B3531" s="1" t="n">
        <v>45621</v>
      </c>
      <c r="C3531" s="1" t="n">
        <v>45633</v>
      </c>
      <c r="D3531" t="inlineStr">
        <is>
          <t>VÄSTERBOTTENS LÄN</t>
        </is>
      </c>
      <c r="E3531" t="inlineStr">
        <is>
          <t>SKELLEFTEÅ</t>
        </is>
      </c>
      <c r="F3531" t="inlineStr">
        <is>
          <t>Holmen skog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55645-2024</t>
        </is>
      </c>
      <c r="B3532" s="1" t="n">
        <v>45621</v>
      </c>
      <c r="C3532" s="1" t="n">
        <v>45633</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55525-2024</t>
        </is>
      </c>
      <c r="B3533" s="1" t="n">
        <v>45621</v>
      </c>
      <c r="C3533" s="1" t="n">
        <v>45633</v>
      </c>
      <c r="D3533" t="inlineStr">
        <is>
          <t>VÄSTERBOTTENS LÄN</t>
        </is>
      </c>
      <c r="E3533" t="inlineStr">
        <is>
          <t>SKELLEFTEÅ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55652-2024</t>
        </is>
      </c>
      <c r="B3534" s="1" t="n">
        <v>45621</v>
      </c>
      <c r="C3534" s="1" t="n">
        <v>45633</v>
      </c>
      <c r="D3534" t="inlineStr">
        <is>
          <t>VÄSTERBOTTENS LÄN</t>
        </is>
      </c>
      <c r="E3534" t="inlineStr">
        <is>
          <t>SKELLEFTEÅ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55654-2024</t>
        </is>
      </c>
      <c r="B3535" s="1" t="n">
        <v>45621</v>
      </c>
      <c r="C3535" s="1" t="n">
        <v>45633</v>
      </c>
      <c r="D3535" t="inlineStr">
        <is>
          <t>VÄSTERBOTTENS LÄN</t>
        </is>
      </c>
      <c r="E3535" t="inlineStr">
        <is>
          <t>SKELLEFTEÅ</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55398-2024</t>
        </is>
      </c>
      <c r="B3536" s="1" t="n">
        <v>45622</v>
      </c>
      <c r="C3536" s="1" t="n">
        <v>45633</v>
      </c>
      <c r="D3536" t="inlineStr">
        <is>
          <t>VÄSTERBOTTENS LÄN</t>
        </is>
      </c>
      <c r="E3536" t="inlineStr">
        <is>
          <t>SKELLEFTEÅ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55500-2024</t>
        </is>
      </c>
      <c r="B3537" s="1" t="n">
        <v>45622</v>
      </c>
      <c r="C3537" s="1" t="n">
        <v>45633</v>
      </c>
      <c r="D3537" t="inlineStr">
        <is>
          <t>VÄSTERBOTTENS LÄN</t>
        </is>
      </c>
      <c r="E3537" t="inlineStr">
        <is>
          <t>SKELLEFTEÅ</t>
        </is>
      </c>
      <c r="G3537" t="n">
        <v>11.2</v>
      </c>
      <c r="H3537" t="n">
        <v>0</v>
      </c>
      <c r="I3537" t="n">
        <v>0</v>
      </c>
      <c r="J3537" t="n">
        <v>0</v>
      </c>
      <c r="K3537" t="n">
        <v>0</v>
      </c>
      <c r="L3537" t="n">
        <v>0</v>
      </c>
      <c r="M3537" t="n">
        <v>0</v>
      </c>
      <c r="N3537" t="n">
        <v>0</v>
      </c>
      <c r="O3537" t="n">
        <v>0</v>
      </c>
      <c r="P3537" t="n">
        <v>0</v>
      </c>
      <c r="Q3537" t="n">
        <v>0</v>
      </c>
      <c r="R3537" s="2" t="inlineStr"/>
    </row>
    <row r="3538" ht="15" customHeight="1">
      <c r="A3538" t="inlineStr">
        <is>
          <t>A 55617-2024</t>
        </is>
      </c>
      <c r="B3538" s="1" t="n">
        <v>45622</v>
      </c>
      <c r="C3538" s="1" t="n">
        <v>45633</v>
      </c>
      <c r="D3538" t="inlineStr">
        <is>
          <t>VÄSTERBOTTENS LÄN</t>
        </is>
      </c>
      <c r="E3538" t="inlineStr">
        <is>
          <t>SKELLEFTEÅ</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45633</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55743-2024</t>
        </is>
      </c>
      <c r="B3540" s="1" t="n">
        <v>45623</v>
      </c>
      <c r="C3540" s="1" t="n">
        <v>45633</v>
      </c>
      <c r="D3540" t="inlineStr">
        <is>
          <t>VÄSTERBOTTENS LÄN</t>
        </is>
      </c>
      <c r="E3540" t="inlineStr">
        <is>
          <t>SKELLEFTEÅ</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55786-2024</t>
        </is>
      </c>
      <c r="B3541" s="1" t="n">
        <v>45623</v>
      </c>
      <c r="C3541" s="1" t="n">
        <v>45633</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55940-2024</t>
        </is>
      </c>
      <c r="B3542" s="1" t="n">
        <v>45623</v>
      </c>
      <c r="C3542" s="1" t="n">
        <v>45633</v>
      </c>
      <c r="D3542" t="inlineStr">
        <is>
          <t>VÄSTERBOTTENS LÄN</t>
        </is>
      </c>
      <c r="E3542" t="inlineStr">
        <is>
          <t>SKELLEFTEÅ</t>
        </is>
      </c>
      <c r="F3542" t="inlineStr">
        <is>
          <t>Holmen skog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56149-2024</t>
        </is>
      </c>
      <c r="B3543" s="1" t="n">
        <v>45623</v>
      </c>
      <c r="C3543" s="1" t="n">
        <v>45633</v>
      </c>
      <c r="D3543" t="inlineStr">
        <is>
          <t>VÄSTERBOTTENS LÄN</t>
        </is>
      </c>
      <c r="E3543" t="inlineStr">
        <is>
          <t>SKELLEFTEÅ</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55907-2024</t>
        </is>
      </c>
      <c r="B3544" s="1" t="n">
        <v>45623</v>
      </c>
      <c r="C3544" s="1" t="n">
        <v>45633</v>
      </c>
      <c r="D3544" t="inlineStr">
        <is>
          <t>VÄSTERBOTTENS LÄN</t>
        </is>
      </c>
      <c r="E3544" t="inlineStr">
        <is>
          <t>SKELLEFTEÅ</t>
        </is>
      </c>
      <c r="F3544" t="inlineStr">
        <is>
          <t>Holmen skog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56154-2024</t>
        </is>
      </c>
      <c r="B3545" s="1" t="n">
        <v>45623</v>
      </c>
      <c r="C3545" s="1" t="n">
        <v>45633</v>
      </c>
      <c r="D3545" t="inlineStr">
        <is>
          <t>VÄSTERBOTTENS LÄN</t>
        </is>
      </c>
      <c r="E3545" t="inlineStr">
        <is>
          <t>SKELLEFTEÅ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56157-2024</t>
        </is>
      </c>
      <c r="B3546" s="1" t="n">
        <v>45623</v>
      </c>
      <c r="C3546" s="1" t="n">
        <v>45633</v>
      </c>
      <c r="D3546" t="inlineStr">
        <is>
          <t>VÄSTERBOTTENS LÄN</t>
        </is>
      </c>
      <c r="E3546" t="inlineStr">
        <is>
          <t>SKELLEFTEÅ</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56105-2024</t>
        </is>
      </c>
      <c r="B3547" s="1" t="n">
        <v>45624</v>
      </c>
      <c r="C3547" s="1" t="n">
        <v>45633</v>
      </c>
      <c r="D3547" t="inlineStr">
        <is>
          <t>VÄSTERBOTTENS LÄN</t>
        </is>
      </c>
      <c r="E3547" t="inlineStr">
        <is>
          <t>SKELLEFTEÅ</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56162-2024</t>
        </is>
      </c>
      <c r="B3548" s="1" t="n">
        <v>45624</v>
      </c>
      <c r="C3548" s="1" t="n">
        <v>45633</v>
      </c>
      <c r="D3548" t="inlineStr">
        <is>
          <t>VÄSTERBOTTENS LÄN</t>
        </is>
      </c>
      <c r="E3548" t="inlineStr">
        <is>
          <t>SKELLEFTEÅ</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56186-2024</t>
        </is>
      </c>
      <c r="B3549" s="1" t="n">
        <v>45624</v>
      </c>
      <c r="C3549" s="1" t="n">
        <v>45633</v>
      </c>
      <c r="D3549" t="inlineStr">
        <is>
          <t>VÄSTERBOTTENS LÄN</t>
        </is>
      </c>
      <c r="E3549" t="inlineStr">
        <is>
          <t>SKELLEFTEÅ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56170-2024</t>
        </is>
      </c>
      <c r="B3550" s="1" t="n">
        <v>45624</v>
      </c>
      <c r="C3550" s="1" t="n">
        <v>45633</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56183-2024</t>
        </is>
      </c>
      <c r="B3551" s="1" t="n">
        <v>45624</v>
      </c>
      <c r="C3551" s="1" t="n">
        <v>45633</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56381-2024</t>
        </is>
      </c>
      <c r="B3552" s="1" t="n">
        <v>45625</v>
      </c>
      <c r="C3552" s="1" t="n">
        <v>45633</v>
      </c>
      <c r="D3552" t="inlineStr">
        <is>
          <t>VÄSTERBOTTENS LÄN</t>
        </is>
      </c>
      <c r="E3552" t="inlineStr">
        <is>
          <t>SKELLEFTEÅ</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56417-2024</t>
        </is>
      </c>
      <c r="B3553" s="1" t="n">
        <v>45625</v>
      </c>
      <c r="C3553" s="1" t="n">
        <v>45633</v>
      </c>
      <c r="D3553" t="inlineStr">
        <is>
          <t>VÄSTERBOTTENS LÄN</t>
        </is>
      </c>
      <c r="E3553" t="inlineStr">
        <is>
          <t>SKELLEFTEÅ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56453-2024</t>
        </is>
      </c>
      <c r="B3554" s="1" t="n">
        <v>45625</v>
      </c>
      <c r="C3554" s="1" t="n">
        <v>45633</v>
      </c>
      <c r="D3554" t="inlineStr">
        <is>
          <t>VÄSTERBOTTENS LÄN</t>
        </is>
      </c>
      <c r="E3554" t="inlineStr">
        <is>
          <t>SKELLEFTEÅ</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56539-2024</t>
        </is>
      </c>
      <c r="B3555" s="1" t="n">
        <v>45625</v>
      </c>
      <c r="C3555" s="1" t="n">
        <v>45633</v>
      </c>
      <c r="D3555" t="inlineStr">
        <is>
          <t>VÄSTERBOTTENS LÄN</t>
        </is>
      </c>
      <c r="E3555" t="inlineStr">
        <is>
          <t>SKELLEFTEÅ</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56533-2024</t>
        </is>
      </c>
      <c r="B3556" s="1" t="n">
        <v>45625</v>
      </c>
      <c r="C3556" s="1" t="n">
        <v>45633</v>
      </c>
      <c r="D3556" t="inlineStr">
        <is>
          <t>VÄSTERBOTTENS LÄN</t>
        </is>
      </c>
      <c r="E3556" t="inlineStr">
        <is>
          <t>SKELLEFTEÅ</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56529-2024</t>
        </is>
      </c>
      <c r="B3557" s="1" t="n">
        <v>45625</v>
      </c>
      <c r="C3557" s="1" t="n">
        <v>45633</v>
      </c>
      <c r="D3557" t="inlineStr">
        <is>
          <t>VÄSTERBOTTENS LÄN</t>
        </is>
      </c>
      <c r="E3557" t="inlineStr">
        <is>
          <t>SKELLEFTEÅ</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56500-2024</t>
        </is>
      </c>
      <c r="B3558" s="1" t="n">
        <v>45625</v>
      </c>
      <c r="C3558" s="1" t="n">
        <v>45633</v>
      </c>
      <c r="D3558" t="inlineStr">
        <is>
          <t>VÄSTERBOTTENS LÄN</t>
        </is>
      </c>
      <c r="E3558" t="inlineStr">
        <is>
          <t>SKELLEFTEÅ</t>
        </is>
      </c>
      <c r="F3558" t="inlineStr">
        <is>
          <t>Holmen skog AB</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56444-2024</t>
        </is>
      </c>
      <c r="B3559" s="1" t="n">
        <v>45625</v>
      </c>
      <c r="C3559" s="1" t="n">
        <v>45633</v>
      </c>
      <c r="D3559" t="inlineStr">
        <is>
          <t>VÄSTERBOTTENS LÄN</t>
        </is>
      </c>
      <c r="E3559" t="inlineStr">
        <is>
          <t>SKELLEFTEÅ</t>
        </is>
      </c>
      <c r="F3559" t="inlineStr">
        <is>
          <t>Holmen skog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56560-2024</t>
        </is>
      </c>
      <c r="B3560" s="1" t="n">
        <v>45625</v>
      </c>
      <c r="C3560" s="1" t="n">
        <v>45633</v>
      </c>
      <c r="D3560" t="inlineStr">
        <is>
          <t>VÄSTERBOTTENS LÄN</t>
        </is>
      </c>
      <c r="E3560" t="inlineStr">
        <is>
          <t>SKELLEFTEÅ</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56501-2024</t>
        </is>
      </c>
      <c r="B3561" s="1" t="n">
        <v>45625</v>
      </c>
      <c r="C3561" s="1" t="n">
        <v>45633</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56530-2024</t>
        </is>
      </c>
      <c r="B3562" s="1" t="n">
        <v>45625</v>
      </c>
      <c r="C3562" s="1" t="n">
        <v>45633</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56745-2024</t>
        </is>
      </c>
      <c r="B3563" s="1" t="n">
        <v>45628</v>
      </c>
      <c r="C3563" s="1" t="n">
        <v>45633</v>
      </c>
      <c r="D3563" t="inlineStr">
        <is>
          <t>VÄSTERBOTTENS LÄN</t>
        </is>
      </c>
      <c r="E3563" t="inlineStr">
        <is>
          <t>SKELLEFTEÅ</t>
        </is>
      </c>
      <c r="F3563" t="inlineStr">
        <is>
          <t>Holmen skog AB</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56822-2024</t>
        </is>
      </c>
      <c r="B3564" s="1" t="n">
        <v>45628</v>
      </c>
      <c r="C3564" s="1" t="n">
        <v>45633</v>
      </c>
      <c r="D3564" t="inlineStr">
        <is>
          <t>VÄSTERBOTTENS LÄN</t>
        </is>
      </c>
      <c r="E3564" t="inlineStr">
        <is>
          <t>SKELLEFTEÅ</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56838-2024</t>
        </is>
      </c>
      <c r="B3565" s="1" t="n">
        <v>45628</v>
      </c>
      <c r="C3565" s="1" t="n">
        <v>45633</v>
      </c>
      <c r="D3565" t="inlineStr">
        <is>
          <t>VÄSTERBOTTENS LÄN</t>
        </is>
      </c>
      <c r="E3565" t="inlineStr">
        <is>
          <t>SKELLEFTEÅ</t>
        </is>
      </c>
      <c r="F3565" t="inlineStr">
        <is>
          <t>Holmen skog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56965-2024</t>
        </is>
      </c>
      <c r="B3566" s="1" t="n">
        <v>45628</v>
      </c>
      <c r="C3566" s="1" t="n">
        <v>45633</v>
      </c>
      <c r="D3566" t="inlineStr">
        <is>
          <t>VÄSTERBOTTENS LÄN</t>
        </is>
      </c>
      <c r="E3566" t="inlineStr">
        <is>
          <t>SKELLEFTEÅ</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56974-2024</t>
        </is>
      </c>
      <c r="B3567" s="1" t="n">
        <v>45628</v>
      </c>
      <c r="C3567" s="1" t="n">
        <v>45633</v>
      </c>
      <c r="D3567" t="inlineStr">
        <is>
          <t>VÄSTERBOTTENS LÄN</t>
        </is>
      </c>
      <c r="E3567" t="inlineStr">
        <is>
          <t>SKELLEFTEÅ</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56797-2024</t>
        </is>
      </c>
      <c r="B3568" s="1" t="n">
        <v>45628</v>
      </c>
      <c r="C3568" s="1" t="n">
        <v>45633</v>
      </c>
      <c r="D3568" t="inlineStr">
        <is>
          <t>VÄSTERBOTTENS LÄN</t>
        </is>
      </c>
      <c r="E3568" t="inlineStr">
        <is>
          <t>SKELLEFTEÅ</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56806-2024</t>
        </is>
      </c>
      <c r="B3569" s="1" t="n">
        <v>45628</v>
      </c>
      <c r="C3569" s="1" t="n">
        <v>45633</v>
      </c>
      <c r="D3569" t="inlineStr">
        <is>
          <t>VÄSTERBOTTENS LÄN</t>
        </is>
      </c>
      <c r="E3569" t="inlineStr">
        <is>
          <t>SKELLEFTEÅ</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57199-2024</t>
        </is>
      </c>
      <c r="B3570" s="1" t="n">
        <v>45628</v>
      </c>
      <c r="C3570" s="1" t="n">
        <v>45633</v>
      </c>
      <c r="D3570" t="inlineStr">
        <is>
          <t>VÄSTERBOTTENS LÄN</t>
        </is>
      </c>
      <c r="E3570" t="inlineStr">
        <is>
          <t>SKELLEFTEÅ</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56923-2024</t>
        </is>
      </c>
      <c r="B3571" s="1" t="n">
        <v>45628</v>
      </c>
      <c r="C3571" s="1" t="n">
        <v>45633</v>
      </c>
      <c r="D3571" t="inlineStr">
        <is>
          <t>VÄSTERBOTTENS LÄN</t>
        </is>
      </c>
      <c r="E3571" t="inlineStr">
        <is>
          <t>SKELLEFTEÅ</t>
        </is>
      </c>
      <c r="F3571" t="inlineStr">
        <is>
          <t>Holmen skog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56714-2024</t>
        </is>
      </c>
      <c r="B3572" s="1" t="n">
        <v>45628</v>
      </c>
      <c r="C3572" s="1" t="n">
        <v>45633</v>
      </c>
      <c r="D3572" t="inlineStr">
        <is>
          <t>VÄSTERBOTTENS LÄN</t>
        </is>
      </c>
      <c r="E3572" t="inlineStr">
        <is>
          <t>SKELLEFTEÅ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56952-2024</t>
        </is>
      </c>
      <c r="B3573" s="1" t="n">
        <v>45628</v>
      </c>
      <c r="C3573" s="1" t="n">
        <v>45633</v>
      </c>
      <c r="D3573" t="inlineStr">
        <is>
          <t>VÄSTERBOTTENS LÄN</t>
        </is>
      </c>
      <c r="E3573" t="inlineStr">
        <is>
          <t>SKELLEFTEÅ</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56983-2024</t>
        </is>
      </c>
      <c r="B3574" s="1" t="n">
        <v>45628</v>
      </c>
      <c r="C3574" s="1" t="n">
        <v>45633</v>
      </c>
      <c r="D3574" t="inlineStr">
        <is>
          <t>VÄSTERBOTTENS LÄN</t>
        </is>
      </c>
      <c r="E3574" t="inlineStr">
        <is>
          <t>SKELLEFTEÅ</t>
        </is>
      </c>
      <c r="F3574" t="inlineStr">
        <is>
          <t>Holmen skog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57003-2024</t>
        </is>
      </c>
      <c r="B3575" s="1" t="n">
        <v>45628</v>
      </c>
      <c r="C3575" s="1" t="n">
        <v>45633</v>
      </c>
      <c r="D3575" t="inlineStr">
        <is>
          <t>VÄSTERBOTTENS LÄN</t>
        </is>
      </c>
      <c r="E3575" t="inlineStr">
        <is>
          <t>SKELLEFTEÅ</t>
        </is>
      </c>
      <c r="F3575" t="inlineStr">
        <is>
          <t>Holmen skog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57131-2024</t>
        </is>
      </c>
      <c r="B3576" s="1" t="n">
        <v>45629</v>
      </c>
      <c r="C3576" s="1" t="n">
        <v>45633</v>
      </c>
      <c r="D3576" t="inlineStr">
        <is>
          <t>VÄSTERBOTTENS LÄN</t>
        </is>
      </c>
      <c r="E3576" t="inlineStr">
        <is>
          <t>SKELLEFTEÅ</t>
        </is>
      </c>
      <c r="F3576" t="inlineStr">
        <is>
          <t>Holmen skog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57222-2024</t>
        </is>
      </c>
      <c r="B3577" s="1" t="n">
        <v>45629</v>
      </c>
      <c r="C3577" s="1" t="n">
        <v>45633</v>
      </c>
      <c r="D3577" t="inlineStr">
        <is>
          <t>VÄSTERBOTTENS LÄN</t>
        </is>
      </c>
      <c r="E3577" t="inlineStr">
        <is>
          <t>SKELLEFTEÅ</t>
        </is>
      </c>
      <c r="F3577" t="inlineStr">
        <is>
          <t>Holmen skog AB</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57182-2024</t>
        </is>
      </c>
      <c r="B3578" s="1" t="n">
        <v>45629</v>
      </c>
      <c r="C3578" s="1" t="n">
        <v>45633</v>
      </c>
      <c r="D3578" t="inlineStr">
        <is>
          <t>VÄSTERBOTTENS LÄN</t>
        </is>
      </c>
      <c r="E3578" t="inlineStr">
        <is>
          <t>SKELLEFTEÅ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57186-2024</t>
        </is>
      </c>
      <c r="B3579" s="1" t="n">
        <v>45629</v>
      </c>
      <c r="C3579" s="1" t="n">
        <v>45633</v>
      </c>
      <c r="D3579" t="inlineStr">
        <is>
          <t>VÄSTERBOTTENS LÄN</t>
        </is>
      </c>
      <c r="E3579" t="inlineStr">
        <is>
          <t>SKELLEFTEÅ</t>
        </is>
      </c>
      <c r="F3579" t="inlineStr">
        <is>
          <t>Holmen skog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57245-2024</t>
        </is>
      </c>
      <c r="B3580" s="1" t="n">
        <v>45629</v>
      </c>
      <c r="C3580" s="1" t="n">
        <v>45633</v>
      </c>
      <c r="D3580" t="inlineStr">
        <is>
          <t>VÄSTERBOTTENS LÄN</t>
        </is>
      </c>
      <c r="E3580" t="inlineStr">
        <is>
          <t>SKELLEFTEÅ</t>
        </is>
      </c>
      <c r="F3580" t="inlineStr">
        <is>
          <t>Sveaskog</t>
        </is>
      </c>
      <c r="G3580" t="n">
        <v>15.6</v>
      </c>
      <c r="H3580" t="n">
        <v>0</v>
      </c>
      <c r="I3580" t="n">
        <v>0</v>
      </c>
      <c r="J3580" t="n">
        <v>0</v>
      </c>
      <c r="K3580" t="n">
        <v>0</v>
      </c>
      <c r="L3580" t="n">
        <v>0</v>
      </c>
      <c r="M3580" t="n">
        <v>0</v>
      </c>
      <c r="N3580" t="n">
        <v>0</v>
      </c>
      <c r="O3580" t="n">
        <v>0</v>
      </c>
      <c r="P3580" t="n">
        <v>0</v>
      </c>
      <c r="Q3580" t="n">
        <v>0</v>
      </c>
      <c r="R3580" s="2" t="inlineStr"/>
    </row>
    <row r="3581" ht="15" customHeight="1">
      <c r="A3581" t="inlineStr">
        <is>
          <t>A 57340-2024</t>
        </is>
      </c>
      <c r="B3581" s="1" t="n">
        <v>45629</v>
      </c>
      <c r="C3581" s="1" t="n">
        <v>45633</v>
      </c>
      <c r="D3581" t="inlineStr">
        <is>
          <t>VÄSTERBOTTENS LÄN</t>
        </is>
      </c>
      <c r="E3581" t="inlineStr">
        <is>
          <t>SKELLEFTEÅ</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57274-2024</t>
        </is>
      </c>
      <c r="B3582" s="1" t="n">
        <v>45629</v>
      </c>
      <c r="C3582" s="1" t="n">
        <v>45633</v>
      </c>
      <c r="D3582" t="inlineStr">
        <is>
          <t>VÄSTERBOTTENS LÄN</t>
        </is>
      </c>
      <c r="E3582" t="inlineStr">
        <is>
          <t>SKELLEFTEÅ</t>
        </is>
      </c>
      <c r="F3582" t="inlineStr">
        <is>
          <t>Holmen skog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57278-2024</t>
        </is>
      </c>
      <c r="B3583" s="1" t="n">
        <v>45629</v>
      </c>
      <c r="C3583" s="1" t="n">
        <v>45633</v>
      </c>
      <c r="D3583" t="inlineStr">
        <is>
          <t>VÄSTERBOTTENS LÄN</t>
        </is>
      </c>
      <c r="E3583" t="inlineStr">
        <is>
          <t>SKELLEFTEÅ</t>
        </is>
      </c>
      <c r="F3583" t="inlineStr">
        <is>
          <t>Holmen skog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57479-2024</t>
        </is>
      </c>
      <c r="B3584" s="1" t="n">
        <v>45630</v>
      </c>
      <c r="C3584" s="1" t="n">
        <v>45633</v>
      </c>
      <c r="D3584" t="inlineStr">
        <is>
          <t>VÄSTERBOTTENS LÄN</t>
        </is>
      </c>
      <c r="E3584" t="inlineStr">
        <is>
          <t>SKELLEFTEÅ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57876-2024</t>
        </is>
      </c>
      <c r="B3585" s="1" t="n">
        <v>45631</v>
      </c>
      <c r="C3585" s="1" t="n">
        <v>45633</v>
      </c>
      <c r="D3585" t="inlineStr">
        <is>
          <t>VÄSTERBOTTENS LÄN</t>
        </is>
      </c>
      <c r="E3585" t="inlineStr">
        <is>
          <t>SKELLEFTEÅ</t>
        </is>
      </c>
      <c r="G3585" t="n">
        <v>14.8</v>
      </c>
      <c r="H3585" t="n">
        <v>0</v>
      </c>
      <c r="I3585" t="n">
        <v>0</v>
      </c>
      <c r="J3585" t="n">
        <v>0</v>
      </c>
      <c r="K3585" t="n">
        <v>0</v>
      </c>
      <c r="L3585" t="n">
        <v>0</v>
      </c>
      <c r="M3585" t="n">
        <v>0</v>
      </c>
      <c r="N3585" t="n">
        <v>0</v>
      </c>
      <c r="O3585" t="n">
        <v>0</v>
      </c>
      <c r="P3585" t="n">
        <v>0</v>
      </c>
      <c r="Q3585" t="n">
        <v>0</v>
      </c>
      <c r="R3585" s="2" t="inlineStr"/>
    </row>
    <row r="3586" ht="15" customHeight="1">
      <c r="A3586" t="inlineStr">
        <is>
          <t>A 57894-2024</t>
        </is>
      </c>
      <c r="B3586" s="1" t="n">
        <v>45631</v>
      </c>
      <c r="C3586" s="1" t="n">
        <v>45633</v>
      </c>
      <c r="D3586" t="inlineStr">
        <is>
          <t>VÄSTERBOTTENS LÄN</t>
        </is>
      </c>
      <c r="E3586" t="inlineStr">
        <is>
          <t>SKELLEFTEÅ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57893-2024</t>
        </is>
      </c>
      <c r="B3587" s="1" t="n">
        <v>45631</v>
      </c>
      <c r="C3587" s="1" t="n">
        <v>45633</v>
      </c>
      <c r="D3587" t="inlineStr">
        <is>
          <t>VÄSTERBOTTENS LÄN</t>
        </is>
      </c>
      <c r="E3587" t="inlineStr">
        <is>
          <t>SKELLEFTEÅ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58008-2024</t>
        </is>
      </c>
      <c r="B3588" s="1" t="n">
        <v>45631</v>
      </c>
      <c r="C3588" s="1" t="n">
        <v>45633</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c r="A3589" t="inlineStr">
        <is>
          <t>A 58119-2024</t>
        </is>
      </c>
      <c r="B3589" s="1" t="n">
        <v>45632</v>
      </c>
      <c r="C3589" s="1" t="n">
        <v>45633</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2024-12-07T14:47:29Z</dcterms:created>
  <dcterms:modified xmlns:dcterms="http://purl.org/dc/terms/" xmlns:xsi="http://www.w3.org/2001/XMLSchema-instance" xsi:type="dcterms:W3CDTF">2024-12-07T14:47:32Z</dcterms:modified>
</cp:coreProperties>
</file>