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45724</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45724</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45724</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45724</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45724</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45724</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45724</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45724</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45724</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45724</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45724</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45724</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45724</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45724</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45724</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45724</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45724</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45724</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45724</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45724</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45724</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45724</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45724</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45724</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45724</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45724</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45724</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45724</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45724</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45724</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45724</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45724</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45724</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45724</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45724</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45724</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45724</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45724</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45724</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45724</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45724</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45724</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45724</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45724</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45724</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45724</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45724</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45724</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45724</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45724</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45724</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45724</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45724</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45724</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45724</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45724</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45724</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45724</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45724</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45724</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45724</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45724</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45724</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45724</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45724</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45724</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45724</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45724</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45724</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45724</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45724</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45724</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45724</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45724</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45724</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45724</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45724</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45724</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45724</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45724</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45724</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45724</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45724</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45724</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45724</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45724</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45724</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45724</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45724</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45724</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45724</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45724</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45724</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45724</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45724</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45724</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45724</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45724</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45724</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45724</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45724</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45724</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45724</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45724</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45724</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45724</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45724</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45724</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45724</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45724</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45724</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45724</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45724</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45724</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45724</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45724</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45724</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45724</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45724</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45724</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45724</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45724</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45724</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45724</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45724</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45724</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45724</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45724</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45724</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45724</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45724</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45724</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45724</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45724</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45724</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45724</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45724</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45724</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45724</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45724</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45724</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45724</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45724</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45724</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45724</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45724</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45724</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45724</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45724</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45724</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45724</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45724</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45724</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45724</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45724</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45724</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5110-2025</t>
        </is>
      </c>
      <c r="B175" s="1" t="n">
        <v>45691</v>
      </c>
      <c r="C175" s="1" t="n">
        <v>45724</v>
      </c>
      <c r="D175" t="inlineStr">
        <is>
          <t>VÄSTERBOTTENS LÄN</t>
        </is>
      </c>
      <c r="E175" t="inlineStr">
        <is>
          <t>SKELLEFTEÅ</t>
        </is>
      </c>
      <c r="G175" t="n">
        <v>3.5</v>
      </c>
      <c r="H175" t="n">
        <v>0</v>
      </c>
      <c r="I175" t="n">
        <v>0</v>
      </c>
      <c r="J175" t="n">
        <v>2</v>
      </c>
      <c r="K175" t="n">
        <v>0</v>
      </c>
      <c r="L175" t="n">
        <v>0</v>
      </c>
      <c r="M175" t="n">
        <v>0</v>
      </c>
      <c r="N175" t="n">
        <v>0</v>
      </c>
      <c r="O175" t="n">
        <v>2</v>
      </c>
      <c r="P175" t="n">
        <v>0</v>
      </c>
      <c r="Q175" t="n">
        <v>2</v>
      </c>
      <c r="R175" s="2" t="inlineStr">
        <is>
          <t>Gammelgransskål
Harticka</t>
        </is>
      </c>
      <c r="S175">
        <f>HYPERLINK("https://klasma.github.io/Logging_2482/artfynd/A 5110-2025 artfynd.xlsx", "A 5110-2025")</f>
        <v/>
      </c>
      <c r="T175">
        <f>HYPERLINK("https://klasma.github.io/Logging_2482/kartor/A 5110-2025 karta.png", "A 5110-2025")</f>
        <v/>
      </c>
      <c r="V175">
        <f>HYPERLINK("https://klasma.github.io/Logging_2482/klagomål/A 5110-2025 FSC-klagomål.docx", "A 5110-2025")</f>
        <v/>
      </c>
      <c r="W175">
        <f>HYPERLINK("https://klasma.github.io/Logging_2482/klagomålsmail/A 5110-2025 FSC-klagomål mail.docx", "A 5110-2025")</f>
        <v/>
      </c>
      <c r="X175">
        <f>HYPERLINK("https://klasma.github.io/Logging_2482/tillsyn/A 5110-2025 tillsynsbegäran.docx", "A 5110-2025")</f>
        <v/>
      </c>
      <c r="Y175">
        <f>HYPERLINK("https://klasma.github.io/Logging_2482/tillsynsmail/A 5110-2025 tillsynsbegäran mail.docx", "A 5110-2025")</f>
        <v/>
      </c>
    </row>
    <row r="176" ht="15" customHeight="1">
      <c r="A176" t="inlineStr">
        <is>
          <t>A 4996-2025</t>
        </is>
      </c>
      <c r="B176" s="1" t="n">
        <v>45691</v>
      </c>
      <c r="C176" s="1" t="n">
        <v>45724</v>
      </c>
      <c r="D176" t="inlineStr">
        <is>
          <t>VÄSTERBOTTENS LÄN</t>
        </is>
      </c>
      <c r="E176" t="inlineStr">
        <is>
          <t>SKELLEFTEÅ</t>
        </is>
      </c>
      <c r="G176" t="n">
        <v>25.4</v>
      </c>
      <c r="H176" t="n">
        <v>0</v>
      </c>
      <c r="I176" t="n">
        <v>0</v>
      </c>
      <c r="J176" t="n">
        <v>2</v>
      </c>
      <c r="K176" t="n">
        <v>0</v>
      </c>
      <c r="L176" t="n">
        <v>0</v>
      </c>
      <c r="M176" t="n">
        <v>0</v>
      </c>
      <c r="N176" t="n">
        <v>0</v>
      </c>
      <c r="O176" t="n">
        <v>2</v>
      </c>
      <c r="P176" t="n">
        <v>0</v>
      </c>
      <c r="Q176" t="n">
        <v>2</v>
      </c>
      <c r="R176" s="2" t="inlineStr">
        <is>
          <t>Garnlav
Ullticka</t>
        </is>
      </c>
      <c r="S176">
        <f>HYPERLINK("https://klasma.github.io/Logging_2482/artfynd/A 4996-2025 artfynd.xlsx", "A 4996-2025")</f>
        <v/>
      </c>
      <c r="T176">
        <f>HYPERLINK("https://klasma.github.io/Logging_2482/kartor/A 4996-2025 karta.png", "A 4996-2025")</f>
        <v/>
      </c>
      <c r="U176">
        <f>HYPERLINK("https://klasma.github.io/Logging_2482/knärot/A 4996-2025 karta knärot.png", "A 4996-2025")</f>
        <v/>
      </c>
      <c r="V176">
        <f>HYPERLINK("https://klasma.github.io/Logging_2482/klagomål/A 4996-2025 FSC-klagomål.docx", "A 4996-2025")</f>
        <v/>
      </c>
      <c r="W176">
        <f>HYPERLINK("https://klasma.github.io/Logging_2482/klagomålsmail/A 4996-2025 FSC-klagomål mail.docx", "A 4996-2025")</f>
        <v/>
      </c>
      <c r="X176">
        <f>HYPERLINK("https://klasma.github.io/Logging_2482/tillsyn/A 4996-2025 tillsynsbegäran.docx", "A 4996-2025")</f>
        <v/>
      </c>
      <c r="Y176">
        <f>HYPERLINK("https://klasma.github.io/Logging_2482/tillsynsmail/A 4996-2025 tillsynsbegäran mail.docx", "A 4996-2025")</f>
        <v/>
      </c>
    </row>
    <row r="177" ht="15" customHeight="1">
      <c r="A177" t="inlineStr">
        <is>
          <t>A 9093-2025</t>
        </is>
      </c>
      <c r="B177" s="1" t="n">
        <v>45713</v>
      </c>
      <c r="C177" s="1" t="n">
        <v>45724</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45724</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45724</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45724</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45724</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45724</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45724</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45724</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45724</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45724</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45724</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45724</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45724</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45724</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45724</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45724</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45724</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45724</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45724</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45724</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45724</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45724</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45724</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45724</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45724</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45724</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45724</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45724</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45724</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45724</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45724</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45724</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45724</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45724</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45724</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45724</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45724</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45724</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45724</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45724</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45724</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45724</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45724</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45724</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45724</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45724</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45724</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45724</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45724</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45724</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45724</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45724</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45724</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45724</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45724</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45724</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45724</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45724</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45724</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45724</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45724</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45724</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45724</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45724</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45724</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45724</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45724</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45724</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45724</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45724</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45724</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45724</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45724</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45724</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45724</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45724</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45724</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45724</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45724</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45724</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45724</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45724</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45724</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45724</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45724</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45724</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45724</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45724</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45724</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45724</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45724</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45724</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45724</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45724</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45724</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45724</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45724</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45724</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45724</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45724</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45724</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45724</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45724</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45724</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45724</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45724</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45724</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45724</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45724</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45724</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45724</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45724</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45724</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45724</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45724</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45724</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45724</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45724</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45724</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45724</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45724</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45724</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45724</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45724</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45724</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45724</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45724</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45724</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45724</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45724</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45724</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45724</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45724</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45724</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45724</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45724</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45724</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45724</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45724</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45724</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45724</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45724</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45724</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45724</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45724</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45724</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45724</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45724</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45724</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45724</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45724</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45724</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45724</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45724</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45724</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45724</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45724</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45724</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45724</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45724</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45724</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45724</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45724</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45724</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45724</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45724</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45724</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45724</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45724</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45724</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45724</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45724</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45724</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45724</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45724</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45724</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45724</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45724</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45724</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45724</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45724</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45724</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45724</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45724</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45724</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45724</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45724</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45724</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45724</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45724</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45724</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45724</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45724</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45724</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45724</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45724</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45724</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45724</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45724</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45724</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45724</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45724</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45724</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45724</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45724</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45724</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45724</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45724</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45724</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45724</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45724</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45724</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45724</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45724</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45724</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45724</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45724</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45724</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45724</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45724</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45724</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45724</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45724</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45724</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45724</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45724</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45724</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45724</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45724</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45724</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45724</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45724</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45724</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45724</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45724</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45724</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45724</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45724</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45724</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45724</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45724</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45724</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45724</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45724</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45724</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45724</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45724</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45724</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45724</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45724</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45724</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45724</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45724</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45724</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45724</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45724</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45724</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45724</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45724</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45724</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45724</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45724</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45724</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45724</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45724</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45724</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45724</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45724</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45724</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45724</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45724</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45724</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45724</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45724</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45724</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45724</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45724</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45724</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45724</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45724</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45724</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45724</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45724</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45724</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45724</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45724</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45724</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45724</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45724</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45724</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45724</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45724</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45724</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45724</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45724</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45724</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45724</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45724</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45724</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45724</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45724</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45724</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45724</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45724</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45724</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45724</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45724</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45724</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45724</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45724</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45724</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45724</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45724</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45724</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45724</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45724</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45724</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45724</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45724</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45724</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45724</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45724</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45724</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45724</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45724</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45724</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45724</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45724</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45724</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45724</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45724</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45724</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45724</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45724</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45724</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45724</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45724</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45724</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45724</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45724</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45724</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45724</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45724</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45724</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45724</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45724</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45724</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45724</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45724</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45724</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45724</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45724</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45724</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45724</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45724</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45724</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45724</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45724</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45724</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45724</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45724</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45724</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45724</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45724</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45724</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45724</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45724</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45724</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45724</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45724</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45724</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45724</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45724</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45724</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45724</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45724</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45724</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45724</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45724</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45724</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45724</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45724</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45724</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45724</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45724</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45724</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45724</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45724</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45724</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45724</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45724</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45724</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45724</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45724</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45724</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45724</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45724</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45724</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45724</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45724</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45724</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45724</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45724</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45724</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45724</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45724</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45724</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45724</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45724</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45724</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45724</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45724</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45724</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45724</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45724</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45724</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45724</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45724</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45724</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45724</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45724</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45724</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45724</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45724</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45724</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45724</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45724</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45724</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45724</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45724</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45724</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45724</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45724</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45724</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45724</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45724</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45724</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45724</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45724</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45724</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45724</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45724</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45724</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45724</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45724</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45724</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45724</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45724</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45724</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45724</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45724</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45724</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45724</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45724</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45724</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45724</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45724</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45724</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45724</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45724</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45724</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45724</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45724</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45724</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45724</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45724</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45724</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45724</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45724</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45724</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45724</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45724</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45724</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45724</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45724</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45724</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45724</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45724</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45724</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45724</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45724</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45724</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45724</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45724</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45724</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45724</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45724</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45724</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45724</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45724</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45724</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45724</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45724</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45724</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45724</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45724</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45724</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45724</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45724</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45724</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45724</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45724</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45724</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45724</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45724</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45724</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45724</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45724</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45724</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45724</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45724</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45724</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45724</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45724</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45724</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45724</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45724</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45724</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45724</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45724</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45724</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45724</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45724</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45724</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45724</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45724</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45724</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45724</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45724</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45724</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45724</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45724</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45724</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45724</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45724</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45724</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45724</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45724</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45724</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45724</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45724</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45724</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45724</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45724</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45724</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45724</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45724</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45724</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45724</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45724</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45724</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45724</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45724</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45724</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45724</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45724</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45724</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45724</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45724</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45724</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45724</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45724</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45724</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45724</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45724</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45724</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45724</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45724</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45724</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45724</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45724</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45724</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45724</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45724</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45724</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45724</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45724</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45724</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45724</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45724</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45724</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45724</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45724</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45724</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45724</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45724</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45724</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45724</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45724</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45724</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45724</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45724</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45724</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45724</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45724</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45724</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45724</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45724</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45724</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45724</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45724</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45724</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45724</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45724</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45724</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45724</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45724</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45724</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45724</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45724</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45724</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45724</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45724</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45724</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45724</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45724</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45724</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45724</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45724</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45724</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45724</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45724</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45724</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45724</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45724</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45724</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45724</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45724</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45724</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45724</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45724</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45724</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45724</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45724</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45724</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45724</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45724</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45724</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45724</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45724</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45724</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45724</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45724</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45724</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45724</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45724</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45724</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45724</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45724</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45724</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45724</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45724</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45724</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45724</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45724</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45724</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45724</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45724</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45724</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45724</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45724</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45724</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45724</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45724</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45724</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45724</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45724</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45724</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45724</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45724</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45724</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45724</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45724</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45724</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45724</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45724</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45724</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45724</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45724</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45724</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45724</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45724</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45724</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45724</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45724</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45724</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45724</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45724</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45724</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45724</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45724</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45724</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45724</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45724</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45724</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45724</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45724</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45724</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45724</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45724</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45724</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45724</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45724</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45724</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45724</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45724</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45724</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45724</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45724</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45724</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45724</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45724</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45724</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45724</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45724</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45724</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45724</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45724</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45724</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45724</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45724</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45724</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45724</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45724</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45724</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45724</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45724</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45724</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45724</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45724</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45724</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45724</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45724</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45724</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45724</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45724</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45724</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45724</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45724</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45724</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45724</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45724</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45724</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45724</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45724</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45724</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45724</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45724</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45724</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45724</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45724</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45724</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45724</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45724</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45724</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45724</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45724</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45724</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45724</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45724</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45724</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45724</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45724</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45724</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45724</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45724</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45724</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45724</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45724</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45724</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45724</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45724</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45724</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45724</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45724</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45724</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45724</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45724</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45724</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45724</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45724</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45724</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45724</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45724</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45724</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45724</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45724</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45724</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45724</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45724</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45724</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45724</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45724</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45724</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45724</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45724</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45724</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45724</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45724</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45724</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45724</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45724</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45724</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45724</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45724</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45724</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45724</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45724</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45724</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45724</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45724</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45724</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45724</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45724</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45724</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45724</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45724</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45724</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45724</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45724</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45724</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45724</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45724</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45724</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45724</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45724</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45724</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45724</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45724</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45724</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45724</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45724</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45724</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45724</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45724</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45724</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45724</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45724</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45724</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45724</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45724</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45724</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45724</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45724</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45724</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45724</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45724</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45724</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45724</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45724</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45724</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45724</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45724</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45724</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45724</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45724</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45724</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45724</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45724</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45724</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45724</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45724</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45724</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45724</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45724</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45724</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45724</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45724</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45724</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45724</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45724</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45724</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45724</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45724</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45724</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45724</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45724</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45724</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45724</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45724</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45724</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45724</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45724</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45724</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45724</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45724</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45724</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45724</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45724</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45724</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45724</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45724</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45724</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45724</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45724</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45724</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45724</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45724</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45724</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45724</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45724</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45724</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45724</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45724</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45724</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45724</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45724</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45724</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45724</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45724</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45724</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45724</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45724</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45724</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45724</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45724</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45724</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45724</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45724</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45724</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45724</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45724</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45724</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45724</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45724</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45724</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45724</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45724</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45724</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45724</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45724</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45724</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45724</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45724</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45724</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45724</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45724</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45724</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45724</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45724</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45724</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45724</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45724</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45724</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45724</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45724</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45724</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45724</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45724</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45724</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45724</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45724</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45724</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45724</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45724</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45724</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45724</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45724</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45724</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45724</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45724</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45724</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45724</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45724</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45724</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45724</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45724</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45724</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45724</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45724</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45724</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45724</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45724</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45724</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45724</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45724</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45724</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45724</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45724</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45724</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45724</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45724</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45724</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45724</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45724</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45724</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45724</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45724</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45724</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45724</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45724</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45724</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45724</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45724</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45724</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45724</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45724</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45724</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45724</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45724</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45724</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45724</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45724</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45724</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45724</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45724</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45724</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45724</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45724</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45724</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45724</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45724</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45724</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45724</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45724</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45724</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45724</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45724</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45724</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45724</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45724</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45724</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45724</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45724</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45724</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45724</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45724</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45724</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45724</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45724</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45724</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45724</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45724</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45724</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45724</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45724</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45724</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45724</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45724</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45724</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45724</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45724</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45724</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45724</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45724</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45724</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45724</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45724</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45724</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45724</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45724</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45724</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45724</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45724</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45724</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45724</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45724</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45724</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45724</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45724</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45724</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45724</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45724</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45724</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45724</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45724</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45724</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45724</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45724</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45724</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45724</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45724</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45724</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45724</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45724</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45724</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45724</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45724</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45724</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45724</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45724</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45724</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45724</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45724</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45724</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45724</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45724</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45724</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45724</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45724</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45724</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45724</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45724</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45724</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45724</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45724</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45724</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45724</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45724</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45724</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45724</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45724</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45724</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45724</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45724</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45724</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45724</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45724</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45724</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45724</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45724</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45724</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45724</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45724</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45724</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45724</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45724</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45724</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45724</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45724</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45724</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45724</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45724</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45724</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45724</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45724</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45724</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45724</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45724</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45724</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45724</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45724</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45724</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45724</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45724</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45724</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45724</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45724</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45724</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45724</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45724</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45724</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45724</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45724</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45724</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45724</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45724</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45724</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45724</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45724</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45724</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45724</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45724</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45724</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45724</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45724</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45724</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45724</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45724</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45724</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45724</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45724</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45724</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45724</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45724</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45724</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45724</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45724</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45724</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45724</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45724</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45724</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45724</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45724</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45724</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45724</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45724</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45724</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45724</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45724</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45724</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45724</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45724</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45724</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45724</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45724</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45724</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45724</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45724</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45724</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45724</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45724</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45724</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45724</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45724</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45724</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45724</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45724</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45724</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45724</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45724</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45724</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45724</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45724</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45724</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45724</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45724</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45724</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45724</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45724</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45724</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45724</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45724</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45724</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45724</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45724</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45724</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45724</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45724</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45724</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45724</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45724</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45724</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45724</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45724</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45724</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45724</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45724</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45724</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45724</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45724</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45724</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45724</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45724</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45724</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45724</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45724</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45724</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45724</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45724</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45724</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45724</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45724</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45724</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45724</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45724</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45724</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45724</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45724</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45724</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45724</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45724</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45724</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45724</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45724</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45724</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45724</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45724</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45724</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45724</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45724</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45724</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45724</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45724</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45724</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45724</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45724</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45724</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45724</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45724</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45724</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45724</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45724</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45724</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45724</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45724</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45724</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45724</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45724</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45724</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45724</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45724</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45724</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45724</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45724</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45724</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45724</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45724</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45724</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45724</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45724</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45724</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45724</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45724</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45724</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45724</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45724</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45724</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45724</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45724</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45724</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45724</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45724</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45724</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45724</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45724</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45724</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45724</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45724</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45724</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45724</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45724</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45724</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45724</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45724</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45724</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45724</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45724</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45724</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45724</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45724</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45724</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45724</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45724</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45724</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45724</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45724</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45724</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45724</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45724</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45724</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45724</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45724</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45724</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45724</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45724</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45724</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45724</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45724</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45724</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45724</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45724</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45724</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45724</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45724</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45724</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45724</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45724</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45724</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45724</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45724</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45724</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45724</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45724</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45724</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45724</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45724</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45724</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45724</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45724</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45724</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45724</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45724</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45724</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45724</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45724</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45724</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45724</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45724</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45724</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45724</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45724</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45724</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45724</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45724</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45724</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45724</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45724</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45724</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45724</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45724</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45724</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45724</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45724</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45724</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45724</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45724</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45724</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45724</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45724</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45724</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45724</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45724</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45724</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45724</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45724</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45724</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45724</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45724</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45724</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45724</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45724</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45724</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45724</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45724</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45724</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45724</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45724</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45724</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45724</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45724</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45724</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45724</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45724</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45724</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45724</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45724</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45724</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45724</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45724</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45724</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45724</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45724</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45724</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45724</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45724</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45724</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45724</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45724</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45724</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45724</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45724</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45724</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45724</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45724</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45724</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45724</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45724</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45724</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45724</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45724</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45724</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45724</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45724</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45724</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45724</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45724</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45724</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45724</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45724</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45724</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45724</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45724</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45724</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45724</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45724</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45724</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45724</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45724</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45724</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45724</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45724</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45724</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45724</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45724</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45724</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45724</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45724</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45724</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45724</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45724</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45724</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45724</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45724</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45724</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45724</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45724</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45724</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45724</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45724</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45724</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45724</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45724</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45724</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45724</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45724</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45724</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45724</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45724</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45724</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45724</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45724</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45724</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45724</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45724</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45724</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45724</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45724</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45724</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45724</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45724</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45724</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45724</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45724</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45724</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45724</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45724</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45724</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45724</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45724</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45724</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45724</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45724</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45724</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45724</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45724</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45724</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45724</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45724</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45724</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45724</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45724</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45724</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45724</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45724</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45724</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45724</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45724</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45724</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45724</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45724</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45724</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45724</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45724</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45724</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45724</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45724</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45724</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45724</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45724</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45724</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45724</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45724</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45724</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45724</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45724</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45724</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45724</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45724</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45724</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45724</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45724</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45724</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45724</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45724</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45724</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45724</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45724</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45724</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45724</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45724</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45724</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45724</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45724</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45724</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45724</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45724</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45724</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45724</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45724</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45724</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45724</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45724</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45724</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45724</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45724</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45724</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45724</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45724</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45724</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45724</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45724</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45724</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45724</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45724</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45724</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45724</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45724</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45724</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45724</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45724</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45724</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45724</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45724</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45724</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45724</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45724</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45724</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45724</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45724</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45724</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45724</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45724</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45724</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45724</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45724</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45724</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45724</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45724</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45724</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45724</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45724</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45724</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45724</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45724</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45724</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45724</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45724</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45724</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45724</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45724</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45724</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45724</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45724</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45724</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45724</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45724</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45724</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45724</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45724</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45724</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45724</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45724</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45724</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45724</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45724</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45724</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45724</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45724</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45724</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45724</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45724</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45724</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45724</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45724</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45724</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45724</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45724</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45724</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45724</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45724</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45724</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45724</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45724</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45724</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45724</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45724</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45724</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45724</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45724</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45724</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45724</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45724</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45724</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45724</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45724</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45724</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45724</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45724</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45724</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45724</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45724</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45724</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45724</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45724</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45724</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45724</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45724</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45724</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45724</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45724</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45724</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45724</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45724</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45724</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45724</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45724</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45724</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45724</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45724</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45724</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45724</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45724</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45724</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45724</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45724</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45724</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45724</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45724</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45724</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45724</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45724</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45724</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45724</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45724</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45724</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45724</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45724</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45724</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45724</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45724</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45724</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45724</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45724</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45724</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45724</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45724</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45724</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45724</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45724</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45724</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45724</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45724</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45724</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45724</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45724</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45724</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45724</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45724</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45724</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45724</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45724</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45724</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45724</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45724</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45724</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45724</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45724</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45724</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45724</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45724</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45724</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45724</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45724</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45724</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45724</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45724</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45724</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45724</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45724</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45724</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45724</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45724</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45724</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45724</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45724</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45724</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45724</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45724</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45724</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45724</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45724</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45724</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45724</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45724</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45724</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45724</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45724</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45724</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45724</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45724</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45724</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45724</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45724</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45724</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45724</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45724</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45724</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45724</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45724</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45724</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45724</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45724</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45724</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45724</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45724</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45724</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45724</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45724</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45724</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45724</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45724</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45724</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45724</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45724</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45724</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45724</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45724</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45724</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45724</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45724</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45724</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45724</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45724</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45724</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45724</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45724</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45724</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45724</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45724</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45724</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45724</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45724</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45724</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45724</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45724</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45724</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45724</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45724</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45724</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45724</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45724</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45724</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45724</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45724</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45724</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45724</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45724</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45724</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45724</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45724</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45724</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45724</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45724</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45724</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45724</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45724</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45724</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45724</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45724</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45724</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45724</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45724</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45724</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45724</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45724</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45724</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45724</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45724</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45724</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45724</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45724</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45724</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45724</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45724</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45724</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45724</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45724</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45724</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45724</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45724</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45724</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45724</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45724</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45724</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45724</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45724</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45724</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45724</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45724</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45724</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45724</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45724</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45724</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45724</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45724</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45724</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45724</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45724</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45724</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45724</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45724</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45724</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45724</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45724</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45724</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45724</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45724</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45724</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45724</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45724</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45724</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45724</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45724</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45724</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45724</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45724</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45724</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45724</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45724</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45724</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45724</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45724</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45724</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45724</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45724</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45724</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45724</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45724</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45724</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45724</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45724</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45724</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45724</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45724</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45724</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45724</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45724</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45724</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45724</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45724</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45724</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45724</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45724</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45724</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45724</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45724</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45724</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45724</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45724</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45724</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45724</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45724</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45724</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45724</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45724</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45724</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45724</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45724</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45724</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45724</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45724</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45724</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45724</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45724</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45724</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45724</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45724</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45724</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45724</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45724</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45724</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45724</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45724</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45724</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45724</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45724</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45724</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45724</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45724</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45724</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45724</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45724</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45724</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45724</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45724</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45724</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45724</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45724</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45724</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45724</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45724</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45724</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45724</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45724</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45724</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45724</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45724</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45724</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45724</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45724</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45724</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45724</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45724</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45724</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45724</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45724</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45724</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45724</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45724</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45724</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45724</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45724</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45724</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45724</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45724</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45724</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45724</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45724</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45724</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45724</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45724</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45724</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45724</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45724</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45724</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45724</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45724</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45724</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45724</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45724</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45724</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45724</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45724</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45724</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45724</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45724</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45724</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45724</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45724</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45724</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45724</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45724</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45724</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45724</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45724</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45724</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45724</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45724</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45724</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45724</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45724</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45724</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45724</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45724</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45724</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45724</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45724</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45724</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45724</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45724</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45724</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45724</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45724</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45724</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45724</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45724</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45724</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45724</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45724</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45724</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45724</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45724</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45724</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45724</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45724</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45724</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45724</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45724</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45724</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45724</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45724</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45724</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45724</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45724</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45724</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45724</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45724</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45724</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45724</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45724</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45724</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45724</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45724</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45724</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45724</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45724</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45724</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45724</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45724</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45724</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45724</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45724</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45724</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45724</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45724</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45724</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45724</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45724</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45724</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45724</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45724</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45724</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45724</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45724</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45724</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45724</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45724</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45724</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45724</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45724</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45724</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45724</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45724</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45724</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45724</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45724</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45724</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45724</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45724</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45724</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45724</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45724</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45724</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45724</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45724</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45724</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45724</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45724</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45724</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45724</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45724</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45724</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45724</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45724</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45724</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45724</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45724</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45724</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45724</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45724</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45724</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45724</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45724</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45724</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45724</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45724</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45724</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45724</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45724</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45724</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45724</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45724</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45724</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45724</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45724</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45724</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45724</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45724</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45724</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45724</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45724</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45724</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45724</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45724</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45724</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45724</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45724</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45724</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45724</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45724</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45724</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45724</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45724</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45724</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45724</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45724</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45724</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45724</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45724</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45724</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45724</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45724</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45724</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45724</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45724</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45724</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45724</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45724</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45724</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45724</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45724</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45724</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45724</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45724</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45724</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45724</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45724</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45724</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45724</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45724</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45724</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45724</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45724</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45724</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45724</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45724</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45724</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45724</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45724</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45724</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45724</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45724</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45724</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45724</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45724</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45724</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45724</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45724</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45724</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45724</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45724</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45724</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45724</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45724</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45724</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45724</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45724</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45724</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45724</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45724</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45724</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45724</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45724</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45724</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45724</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45724</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45724</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45724</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45724</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45724</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45724</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45724</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45724</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45724</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45724</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45724</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45724</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45724</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45724</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45724</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45724</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45724</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45724</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45724</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45724</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45724</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45724</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45724</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45724</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45724</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45724</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45724</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45724</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45724</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45724</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45724</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45724</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45724</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45724</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45724</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45724</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45724</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45724</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45724</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45724</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45724</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45724</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45724</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45724</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45724</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45724</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45724</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45724</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45724</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45724</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45724</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45724</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45724</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45724</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45724</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45724</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45724</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45724</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45724</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45724</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45724</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45724</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45724</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45724</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45724</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45724</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45724</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45724</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45724</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45724</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45724</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45724</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45724</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45724</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45724</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45724</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45724</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45724</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45724</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45724</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45724</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45724</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45724</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45724</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45724</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45724</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45724</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45724</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45724</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45724</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45724</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45724</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45724</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45724</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45724</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45724</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45724</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45724</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45724</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45724</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45724</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45724</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45724</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45724</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45724</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45724</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45724</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45724</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45724</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45724</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45724</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45724</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45724</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45724</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45724</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45724</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45724</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45724</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45724</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45724</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45724</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45724</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45724</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45724</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45724</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45724</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45724</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45724</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45724</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45724</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45724</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45724</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45724</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45724</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45724</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45724</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45724</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45724</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45724</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45724</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45724</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45724</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45724</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45724</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45724</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45724</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45724</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45724</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45724</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45724</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45724</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45724</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45724</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45724</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45724</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45724</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45724</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45724</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45724</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45724</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45724</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45724</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45724</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45724</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45724</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45724</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45724</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45724</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45724</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45724</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45724</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45724</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45724</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45724</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45724</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45724</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45724</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45724</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45724</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45724</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45724</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45724</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45724</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45724</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45724</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45724</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45724</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45724</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45724</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45724</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45724</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45724</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45724</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45724</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45724</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45724</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45724</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45724</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45724</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45724</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45724</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45724</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45724</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45724</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45724</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45724</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45724</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45724</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45724</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45724</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45724</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45724</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45724</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45724</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45724</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45724</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45724</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45724</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45724</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45724</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45724</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45724</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45724</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45724</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45724</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45724</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45724</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45724</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45724</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45724</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45724</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45724</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45724</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45724</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45724</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45724</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45724</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45724</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45724</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45724</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45724</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45724</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45724</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45724</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45724</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45724</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45724</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45724</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45724</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45724</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45724</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45724</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45724</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45724</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45724</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45724</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45724</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45724</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45724</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45724</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45724</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45724</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45724</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45724</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45724</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45724</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45724</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45724</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45724</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45724</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45724</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45724</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45724</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45724</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45724</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45724</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45724</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45724</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45724</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45724</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45724</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45724</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45724</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45724</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45724</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45724</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45724</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45724</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45724</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45724</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45724</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45724</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45724</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45724</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45724</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45724</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45724</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45724</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45724</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45724</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45724</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45724</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45724</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45724</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45724</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45724</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45724</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45724</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45724</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45724</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45724</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45724</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45724</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45724</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45724</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45724</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45724</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45724</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45724</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45724</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45724</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45724</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45724</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45724</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45724</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45724</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45724</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45724</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45724</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45724</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45724</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45724</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45724</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45724</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45724</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45724</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45724</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45724</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45724</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45724</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45724</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45724</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45724</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45724</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45724</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45724</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45724</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45724</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45724</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45724</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45724</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45724</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45724</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45724</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45724</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45724</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45724</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45724</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45724</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45724</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45724</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45724</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45724</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45724</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45724</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45724</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45724</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45724</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45724</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45724</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45724</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45724</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45724</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45724</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45724</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45724</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45724</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45724</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45724</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45724</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45724</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45724</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45724</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45724</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45724</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45724</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45724</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45724</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45724</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45724</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45724</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45724</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45724</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45724</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45724</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45724</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45724</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45724</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45724</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45724</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45724</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45724</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45724</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45724</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45724</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45724</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45724</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45724</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45724</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45724</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45724</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45724</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45724</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45724</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45724</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45724</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45724</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45724</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45724</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45724</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45724</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45724</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45724</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45724</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45724</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45724</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45724</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45724</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45724</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45724</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45724</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45724</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45724</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45724</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45724</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45724</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45724</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45724</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45724</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45724</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45724</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45724</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45724</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45724</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45724</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45724</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45724</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45724</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45724</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45724</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45724</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45724</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45724</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45724</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45724</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45724</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45724</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45724</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45724</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45724</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45724</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45724</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45724</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45724</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45724</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45724</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45724</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45724</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45724</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45724</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45724</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45724</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45724</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45724</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45724</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45724</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45724</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45724</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45724</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45724</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45724</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45724</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45724</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45724</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45724</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45724</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45724</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45724</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45724</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45724</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45724</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45724</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45724</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45724</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45724</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45724</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45724</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45724</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45724</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45724</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45724</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45724</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45724</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45724</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45724</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45724</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45724</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45724</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45724</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45724</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45724</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45724</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45724</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45724</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45724</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45724</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45724</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45724</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45724</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45724</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45724</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45724</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45724</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45724</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45724</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45724</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45724</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45724</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45724</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45724</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45724</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45724</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45724</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45724</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45724</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45724</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45724</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45724</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45724</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45724</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45724</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45724</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45724</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45724</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45724</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45724</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45724</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45724</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45724</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45724</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45724</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45724</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45724</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45724</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45724</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45724</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45724</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45724</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45724</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45724</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45724</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45724</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45724</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45724</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45724</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45724</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45724</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45724</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45724</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45724</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45724</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45724</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45724</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45724</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45724</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45724</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45724</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45724</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45724</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45724</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45724</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45724</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45724</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45724</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45724</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45724</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45724</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45724</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45724</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45724</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45724</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45724</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45724</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45724</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45724</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45724</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45724</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45724</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45724</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45724</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45724</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45724</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45724</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45724</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45724</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45724</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45724</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45724</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45724</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45724</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45724</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45724</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45724</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45724</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45724</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45724</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45724</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45724</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45724</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45724</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45724</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45724</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45724</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45724</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45724</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45724</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45724</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45724</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45724</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45724</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45724</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45724</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45724</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45724</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45724</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45724</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45724</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45724</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45724</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45724</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45724</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45724</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45724</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45724</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45724</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45724</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45724</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45724</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45724</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45724</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45724</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45724</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45724</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45724</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45724</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45724</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45724</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45724</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45724</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45724</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45724</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45724</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45724</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45724</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45724</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45724</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45724</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45724</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45724</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45724</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45724</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45724</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45724</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45724</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45724</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45724</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45724</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45724</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45724</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45724</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45724</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45724</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45724</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45724</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45724</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45724</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45724</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45724</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45724</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45724</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45724</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45724</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45724</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45724</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45724</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45724</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45724</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45724</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45724</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45724</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45724</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45724</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45724</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45724</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45724</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45724</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45724</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45724</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45724</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45724</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45724</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45724</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45724</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45724</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45724</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45724</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45724</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45724</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45724</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45724</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45724</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45724</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45724</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45724</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45724</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45724</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45724</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45724</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45724</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45724</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45724</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45724</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45724</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45724</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45724</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45724</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45724</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45724</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45724</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45724</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45724</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45724</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45724</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45724</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45724</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45724</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45724</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45724</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45724</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45724</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45724</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45724</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45724</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45724</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45724</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45724</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45724</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45724</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45724</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45724</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45724</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45724</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45724</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45724</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45724</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45724</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45724</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45724</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45724</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45724</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45724</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45724</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45724</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45724</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45724</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45724</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45724</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45724</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45724</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45724</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45724</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45724</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45724</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45724</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45724</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45724</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45724</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45724</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45724</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45724</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45724</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45724</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45724</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45724</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45724</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45724</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45724</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45724</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45724</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45724</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45724</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45724</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45724</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45724</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45724</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45724</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45724</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45724</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45724</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45724</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45724</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45724</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45724</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45724</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45724</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45724</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45724</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45724</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45724</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45724</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45724</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45724</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45724</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45724</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45724</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45724</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45724</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45724</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45724</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45724</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45724</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45724</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45724</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45724</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45724</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45724</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45724</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45724</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45724</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45724</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45724</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45724</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45724</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45724</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45724</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45724</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45724</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45724</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45724</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45724</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45724</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45724</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45724</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45724</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45724</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45724</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45724</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45724</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45724</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45724</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45724</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45724</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45724</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45724</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45724</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45724</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45724</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45724</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45724</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45724</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45724</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45724</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45724</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45724</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45724</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45724</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45724</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45724</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45724</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45724</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45724</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45724</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45724</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45724</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45724</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45724</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45724</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45724</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45724</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45724</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45724</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45724</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45724</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45724</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45724</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45724</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45724</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45724</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45724</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45724</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45724</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45724</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45724</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45724</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45724</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45724</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45724</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45724</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45724</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45724</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45724</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45724</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45724</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45724</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45724</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45724</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45724</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45724</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45724</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45724</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45724</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45724</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45724</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45724</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45724</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45724</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45724</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45724</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45724</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45724</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45724</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45724</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45724</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45724</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45724</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45724</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45724</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45724</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45724</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45724</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45724</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45724</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45724</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45724</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45724</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45724</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45724</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45724</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45724</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45724</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45724</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45724</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45724</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45724</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45724</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45724</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45724</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45724</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45724</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45724</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45724</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45724</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45724</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45724</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45724</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45724</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45724</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45724</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45724</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45724</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45724</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45724</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45724</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45724</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45724</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45724</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45724</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45724</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45724</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45724</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45724</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45724</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45724</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45724</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45724</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45724</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45724</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45724</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45724</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45724</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45724</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45724</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45724</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45724</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45724</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45724</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45724</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45724</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45724</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45724</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45724</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45724</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45724</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45724</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45724</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45724</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45724</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45724</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45724</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45724</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45724</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45724</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45724</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45724</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45724</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45724</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45724</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45724</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45724</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45724</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45724</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45724</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45724</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45724</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45724</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45724</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45724</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45724</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45724</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45724</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45724</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45724</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45724</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45724</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45724</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45724</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45724</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45724</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45724</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45724</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45724</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45724</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45724</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45724</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45724</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45724</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45724</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45724</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45724</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45724</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45724</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45724</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45724</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45724</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45724</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45724</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45724</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45724</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45724</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45724</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45724</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45724</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45724</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45724</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45724</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45724</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45724</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45724</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45724</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45724</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45724</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45724</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45724</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45724</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45724</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45724</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45724</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45724</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45724</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45724</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45724</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45724</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45724</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45724</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45724</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45724</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45724</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45724</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45724</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45724</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45724</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45724</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45724</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45724</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45724</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45724</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45724</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45724</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45724</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45724</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45724</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45724</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45724</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45724</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45724</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45724</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45724</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45724</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45724</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45724</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45724</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45724</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45724</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45724</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45724</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45724</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45724</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45724</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45724</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45724</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45724</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45724</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45724</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45724</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45724</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45724</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45724</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45724</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45724</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45724</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45724</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45724</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45724</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45724</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45724</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45724</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45724</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45724</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45724</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45724</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45724</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45724</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45724</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45724</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45724</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45724</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45724</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45724</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45724</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45724</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45724</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45724</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45724</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45724</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45724</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45724</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45724</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45724</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45724</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45724</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45724</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45724</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45724</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45724</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45724</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45724</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45724</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45724</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45724</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45724</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45724</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45724</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45724</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45724</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45724</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45724</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45724</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45724</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45724</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45724</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45724</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45724</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45724</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45724</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45724</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45724</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45724</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45724</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45724</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45724</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45724</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45724</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45724</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45724</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45724</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45724</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45724</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45724</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45724</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45724</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45724</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45724</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45724</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45724</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45724</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45724</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45724</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45724</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45724</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45724</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45724</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45724</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45724</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45724</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45724</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45724</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45724</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45724</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45724</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45724</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45724</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45724</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45724</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45724</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45724</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45724</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45724</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45724</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45724</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45724</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45724</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45724</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45724</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45724</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45724</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45724</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45724</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45724</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45724</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45724</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45724</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45724</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45724</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45724</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45724</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45724</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45724</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45724</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45724</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45724</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45724</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45724</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45724</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45724</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45724</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45724</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45724</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45724</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45724</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45724</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45724</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45724</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45724</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45724</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45724</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45724</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45724</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45724</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45724</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45724</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45724</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45724</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45724</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45724</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45724</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45724</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45724</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45724</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45724</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45724</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45724</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45724</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45724</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45724</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45724</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45724</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45724</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45724</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45724</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45724</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45724</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45724</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45724</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45724</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45724</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45724</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45724</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45724</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45724</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45724</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45724</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45724</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45724</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45724</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45724</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45724</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45724</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45724</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45724</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45724</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45724</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45724</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45724</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45724</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45724</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45724</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45724</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45724</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45724</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45724</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45724</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45724</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45724</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45724</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45724</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45724</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45724</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45724</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45724</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45724</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45724</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45724</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45724</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45724</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45724</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45724</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45724</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45724</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45724</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45724</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45724</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45724</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45724</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45724</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45724</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45724</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45724</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45724</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45724</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45724</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45724</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45724</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45724</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45724</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45724</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45724</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45724</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45724</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45724</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45724</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45724</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45724</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45724</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45724</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45724</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45724</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45724</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45724</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45724</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45724</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45724</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45724</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45724</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45724</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45724</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45724</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45724</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45724</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45724</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45724</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45724</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45724</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45724</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45724</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45724</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45724</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45724</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45724</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45724</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45724</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45724</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45724</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45724</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45724</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45724</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45724</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45724</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45724</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45724</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45724</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45724</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45724</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45724</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45724</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45724</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45724</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45724</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45724</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45724</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45724</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45724</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45724</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45724</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45724</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45724</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45724</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45724</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45724</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45724</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5927-2025</t>
        </is>
      </c>
      <c r="B3825" s="1" t="n">
        <v>45695</v>
      </c>
      <c r="C3825" s="1" t="n">
        <v>45724</v>
      </c>
      <c r="D3825" t="inlineStr">
        <is>
          <t>VÄSTERBOTTENS LÄN</t>
        </is>
      </c>
      <c r="E3825" t="inlineStr">
        <is>
          <t>SKELLEFTEÅ</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45724</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45724</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6018-2025</t>
        </is>
      </c>
      <c r="B3828" s="1" t="n">
        <v>45695</v>
      </c>
      <c r="C3828" s="1" t="n">
        <v>45724</v>
      </c>
      <c r="D3828" t="inlineStr">
        <is>
          <t>VÄSTERBOTTENS LÄN</t>
        </is>
      </c>
      <c r="E3828" t="inlineStr">
        <is>
          <t>SKELLEFTEÅ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6168-2025</t>
        </is>
      </c>
      <c r="B3829" s="1" t="n">
        <v>45695</v>
      </c>
      <c r="C3829" s="1" t="n">
        <v>45724</v>
      </c>
      <c r="D3829" t="inlineStr">
        <is>
          <t>VÄSTERBOTTENS LÄN</t>
        </is>
      </c>
      <c r="E3829" t="inlineStr">
        <is>
          <t>SKELLEFTEÅ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45724</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45724</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45724</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45724</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45724</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45724</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7025-2025</t>
        </is>
      </c>
      <c r="B3836" s="1" t="n">
        <v>45701</v>
      </c>
      <c r="C3836" s="1" t="n">
        <v>45724</v>
      </c>
      <c r="D3836" t="inlineStr">
        <is>
          <t>VÄSTERBOTTENS LÄN</t>
        </is>
      </c>
      <c r="E3836" t="inlineStr">
        <is>
          <t>SKELLEFTEÅ</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45724</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45724</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45724</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45724</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45724</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45724</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45724</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45724</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7981-2025</t>
        </is>
      </c>
      <c r="B3845" s="1" t="n">
        <v>45707</v>
      </c>
      <c r="C3845" s="1" t="n">
        <v>45724</v>
      </c>
      <c r="D3845" t="inlineStr">
        <is>
          <t>VÄSTERBOTTENS LÄN</t>
        </is>
      </c>
      <c r="E3845" t="inlineStr">
        <is>
          <t>SKELLEFTEÅ</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45724</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45724</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45724</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45724</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45724</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45724</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45724</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45724</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8221-2025</t>
        </is>
      </c>
      <c r="B3854" s="1" t="n">
        <v>45708</v>
      </c>
      <c r="C3854" s="1" t="n">
        <v>45724</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45724</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45724</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45724</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45724</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45724</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45724</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45724</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45724</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45724</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8689-2025</t>
        </is>
      </c>
      <c r="B3864" s="1" t="n">
        <v>45712</v>
      </c>
      <c r="C3864" s="1" t="n">
        <v>45724</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8801-2025</t>
        </is>
      </c>
      <c r="B3865" s="1" t="n">
        <v>45712</v>
      </c>
      <c r="C3865" s="1" t="n">
        <v>45724</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8821-2025</t>
        </is>
      </c>
      <c r="B3866" s="1" t="n">
        <v>45712</v>
      </c>
      <c r="C3866" s="1" t="n">
        <v>45724</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45724</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45724</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8658-2025</t>
        </is>
      </c>
      <c r="B3869" s="1" t="n">
        <v>45712</v>
      </c>
      <c r="C3869" s="1" t="n">
        <v>45724</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45724</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45724</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45724</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45724</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45724</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45724</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45724</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45724</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45724</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45724</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45724</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9840-2025</t>
        </is>
      </c>
      <c r="B3881" s="1" t="n">
        <v>45716</v>
      </c>
      <c r="C3881" s="1" t="n">
        <v>45724</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45724</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45724</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9694-2025</t>
        </is>
      </c>
      <c r="B3884" s="1" t="n">
        <v>45716</v>
      </c>
      <c r="C3884" s="1" t="n">
        <v>45724</v>
      </c>
      <c r="D3884" t="inlineStr">
        <is>
          <t>VÄSTERBOTTENS LÄN</t>
        </is>
      </c>
      <c r="E3884" t="inlineStr">
        <is>
          <t>SKELLEFTEÅ</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45724</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10074-2025</t>
        </is>
      </c>
      <c r="B3886" s="1" t="n">
        <v>45719</v>
      </c>
      <c r="C3886" s="1" t="n">
        <v>45724</v>
      </c>
      <c r="D3886" t="inlineStr">
        <is>
          <t>VÄSTERBOTTENS LÄN</t>
        </is>
      </c>
      <c r="E3886" t="inlineStr">
        <is>
          <t>SKELLEFTEÅ</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10079-2025</t>
        </is>
      </c>
      <c r="B3887" s="1" t="n">
        <v>45719</v>
      </c>
      <c r="C3887" s="1" t="n">
        <v>45724</v>
      </c>
      <c r="D3887" t="inlineStr">
        <is>
          <t>VÄSTERBOTTENS LÄN</t>
        </is>
      </c>
      <c r="E3887" t="inlineStr">
        <is>
          <t>SKELLEFTEÅ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45724</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45724</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45724</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45724</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45724</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45724</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45724</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c r="A3895" t="inlineStr">
        <is>
          <t>A 10986-2025</t>
        </is>
      </c>
      <c r="B3895" s="1" t="n">
        <v>45723</v>
      </c>
      <c r="C3895" s="1" t="n">
        <v>45724</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2025-03-08T18:08:05Z</dcterms:created>
  <dcterms:modified xmlns:dcterms="http://purl.org/dc/terms/" xmlns:xsi="http://www.w3.org/2001/XMLSchema-instance" xsi:type="dcterms:W3CDTF">2025-03-08T18:08:08Z</dcterms:modified>
</cp:coreProperties>
</file>