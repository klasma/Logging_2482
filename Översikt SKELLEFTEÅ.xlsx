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46078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46078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46078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46078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46078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46078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46078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46078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46078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46078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46078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46078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46078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46078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46078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46078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46078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62308-2022</t>
        </is>
      </c>
      <c r="B19" s="1" t="n">
        <v>44923.47131944444</v>
      </c>
      <c r="C19" s="1" t="n">
        <v>46078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5.9</v>
      </c>
      <c r="H19" t="n">
        <v>0</v>
      </c>
      <c r="I19" t="n">
        <v>3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Smalfotad taggsvamp
Blågrå svartspik
Garnlav
Kolflarnlav
Mörk kolflarnlav
Nordtagging
Vedskivlav
Dropptaggsvamp
Gullgröppa
Vedticka</t>
        </is>
      </c>
      <c r="S19">
        <f>HYPERLINK("https://klasma.github.io/Logging_2482/artfynd/A 62308-2022 artfynd.xlsx", "A 62308-2022")</f>
        <v/>
      </c>
      <c r="T19">
        <f>HYPERLINK("https://klasma.github.io/Logging_2482/kartor/A 62308-2022 karta.png", "A 62308-2022")</f>
        <v/>
      </c>
      <c r="V19">
        <f>HYPERLINK("https://klasma.github.io/Logging_2482/klagomål/A 62308-2022 FSC-klagomål.docx", "A 62308-2022")</f>
        <v/>
      </c>
      <c r="W19">
        <f>HYPERLINK("https://klasma.github.io/Logging_2482/klagomålsmail/A 62308-2022 FSC-klagomål mail.docx", "A 62308-2022")</f>
        <v/>
      </c>
      <c r="X19">
        <f>HYPERLINK("https://klasma.github.io/Logging_2482/tillsyn/A 62308-2022 tillsynsbegäran.docx", "A 62308-2022")</f>
        <v/>
      </c>
      <c r="Y19">
        <f>HYPERLINK("https://klasma.github.io/Logging_2482/tillsynsmail/A 62308-2022 tillsynsbegäran mail.docx", "A 62308-2022")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46078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2574-2026</t>
        </is>
      </c>
      <c r="B21" s="1" t="n">
        <v>46037.51079861111</v>
      </c>
      <c r="C21" s="1" t="n">
        <v>46078</v>
      </c>
      <c r="D21" t="inlineStr">
        <is>
          <t>VÄSTERBOTTENS LÄN</t>
        </is>
      </c>
      <c r="E21" t="inlineStr">
        <is>
          <t>SKELLEFTEÅ</t>
        </is>
      </c>
      <c r="G21" t="n">
        <v>11.2</v>
      </c>
      <c r="H21" t="n">
        <v>3</v>
      </c>
      <c r="I21" t="n">
        <v>2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10</v>
      </c>
      <c r="R21" s="2" t="inlineStr">
        <is>
          <t>Dvärgbägarlav
Gammelgransskål
Garnlav
Hornvaxskinn
Talltita
Tretåig hackspett
Ullticka
Videsparv
Bårdlav
Vedticka</t>
        </is>
      </c>
      <c r="S21">
        <f>HYPERLINK("https://klasma.github.io/Logging_2482/artfynd/A 2574-2026 artfynd.xlsx", "A 2574-2026")</f>
        <v/>
      </c>
      <c r="T21">
        <f>HYPERLINK("https://klasma.github.io/Logging_2482/kartor/A 2574-2026 karta.png", "A 2574-2026")</f>
        <v/>
      </c>
      <c r="V21">
        <f>HYPERLINK("https://klasma.github.io/Logging_2482/klagomål/A 2574-2026 FSC-klagomål.docx", "A 2574-2026")</f>
        <v/>
      </c>
      <c r="W21">
        <f>HYPERLINK("https://klasma.github.io/Logging_2482/klagomålsmail/A 2574-2026 FSC-klagomål mail.docx", "A 2574-2026")</f>
        <v/>
      </c>
      <c r="X21">
        <f>HYPERLINK("https://klasma.github.io/Logging_2482/tillsyn/A 2574-2026 tillsynsbegäran.docx", "A 2574-2026")</f>
        <v/>
      </c>
      <c r="Y21">
        <f>HYPERLINK("https://klasma.github.io/Logging_2482/tillsynsmail/A 2574-2026 tillsynsbegäran mail.docx", "A 2574-2026")</f>
        <v/>
      </c>
      <c r="Z21">
        <f>HYPERLINK("https://klasma.github.io/Logging_2482/fåglar/A 2574-2026 prioriterade fågelarter.docx", "A 2574-2026")</f>
        <v/>
      </c>
    </row>
    <row r="22" ht="15" customHeight="1">
      <c r="A22" t="inlineStr">
        <is>
          <t>A 31173-2021</t>
        </is>
      </c>
      <c r="B22" s="1" t="n">
        <v>44368</v>
      </c>
      <c r="C22" s="1" t="n">
        <v>46078</v>
      </c>
      <c r="D22" t="inlineStr">
        <is>
          <t>VÄSTERBOTTENS LÄN</t>
        </is>
      </c>
      <c r="E22" t="inlineStr">
        <is>
          <t>SKELLEFTEÅ</t>
        </is>
      </c>
      <c r="G22" t="n">
        <v>41.4</v>
      </c>
      <c r="H22" t="n">
        <v>1</v>
      </c>
      <c r="I22" t="n">
        <v>1</v>
      </c>
      <c r="J22" t="n">
        <v>8</v>
      </c>
      <c r="K22" t="n">
        <v>1</v>
      </c>
      <c r="L22" t="n">
        <v>0</v>
      </c>
      <c r="M22" t="n">
        <v>0</v>
      </c>
      <c r="N22" t="n">
        <v>0</v>
      </c>
      <c r="O22" t="n">
        <v>9</v>
      </c>
      <c r="P22" t="n">
        <v>1</v>
      </c>
      <c r="Q22" t="n">
        <v>10</v>
      </c>
      <c r="R22" s="2" t="inlineStr">
        <is>
          <t>Ulltickeporing
Gammelgransskål
Granticka
Gränsticka
Harticka
Rosenticka
Stjärntagging
Tretåig hackspett
Ullticka
Stuplav</t>
        </is>
      </c>
      <c r="S22">
        <f>HYPERLINK("https://klasma.github.io/Logging_2482/artfynd/A 31173-2021 artfynd.xlsx", "A 31173-2021")</f>
        <v/>
      </c>
      <c r="T22">
        <f>HYPERLINK("https://klasma.github.io/Logging_2482/kartor/A 31173-2021 karta.png", "A 31173-2021")</f>
        <v/>
      </c>
      <c r="V22">
        <f>HYPERLINK("https://klasma.github.io/Logging_2482/klagomål/A 31173-2021 FSC-klagomål.docx", "A 31173-2021")</f>
        <v/>
      </c>
      <c r="W22">
        <f>HYPERLINK("https://klasma.github.io/Logging_2482/klagomålsmail/A 31173-2021 FSC-klagomål mail.docx", "A 31173-2021")</f>
        <v/>
      </c>
      <c r="X22">
        <f>HYPERLINK("https://klasma.github.io/Logging_2482/tillsyn/A 31173-2021 tillsynsbegäran.docx", "A 31173-2021")</f>
        <v/>
      </c>
      <c r="Y22">
        <f>HYPERLINK("https://klasma.github.io/Logging_2482/tillsynsmail/A 31173-2021 tillsynsbegäran mail.docx", "A 31173-2021")</f>
        <v/>
      </c>
      <c r="Z22">
        <f>HYPERLINK("https://klasma.github.io/Logging_2482/fåglar/A 31173-2021 prioriterade fågelarter.docx", "A 31173-2021")</f>
        <v/>
      </c>
    </row>
    <row r="23" ht="15" customHeight="1">
      <c r="A23" t="inlineStr">
        <is>
          <t>A 28986-2025</t>
        </is>
      </c>
      <c r="B23" s="1" t="n">
        <v>45821</v>
      </c>
      <c r="C23" s="1" t="n">
        <v>46078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12.5</v>
      </c>
      <c r="H23" t="n">
        <v>2</v>
      </c>
      <c r="I23" t="n">
        <v>0</v>
      </c>
      <c r="J23" t="n">
        <v>9</v>
      </c>
      <c r="K23" t="n">
        <v>1</v>
      </c>
      <c r="L23" t="n">
        <v>0</v>
      </c>
      <c r="M23" t="n">
        <v>0</v>
      </c>
      <c r="N23" t="n">
        <v>0</v>
      </c>
      <c r="O23" t="n">
        <v>10</v>
      </c>
      <c r="P23" t="n">
        <v>1</v>
      </c>
      <c r="Q23" t="n">
        <v>10</v>
      </c>
      <c r="R23" s="2" t="inlineStr">
        <is>
          <t>Ulltickeporing
Garnlav
Granticka
Gränsticka
Lunglav
Rosenticka
Spillkråka
Tretåig hackspett
Ullticka
Violettgrå tagellav</t>
        </is>
      </c>
      <c r="S23">
        <f>HYPERLINK("https://klasma.github.io/Logging_2482/artfynd/A 28986-2025 artfynd.xlsx", "A 28986-2025")</f>
        <v/>
      </c>
      <c r="T23">
        <f>HYPERLINK("https://klasma.github.io/Logging_2482/kartor/A 28986-2025 karta.png", "A 28986-2025")</f>
        <v/>
      </c>
      <c r="V23">
        <f>HYPERLINK("https://klasma.github.io/Logging_2482/klagomål/A 28986-2025 FSC-klagomål.docx", "A 28986-2025")</f>
        <v/>
      </c>
      <c r="W23">
        <f>HYPERLINK("https://klasma.github.io/Logging_2482/klagomålsmail/A 28986-2025 FSC-klagomål mail.docx", "A 28986-2025")</f>
        <v/>
      </c>
      <c r="X23">
        <f>HYPERLINK("https://klasma.github.io/Logging_2482/tillsyn/A 28986-2025 tillsynsbegäran.docx", "A 28986-2025")</f>
        <v/>
      </c>
      <c r="Y23">
        <f>HYPERLINK("https://klasma.github.io/Logging_2482/tillsynsmail/A 28986-2025 tillsynsbegäran mail.docx", "A 28986-2025")</f>
        <v/>
      </c>
      <c r="Z23">
        <f>HYPERLINK("https://klasma.github.io/Logging_2482/fåglar/A 28986-2025 prioriterade fågelarter.docx", "A 28986-2025")</f>
        <v/>
      </c>
    </row>
    <row r="24" ht="15" customHeight="1">
      <c r="A24" t="inlineStr">
        <is>
          <t>A 9093-2025</t>
        </is>
      </c>
      <c r="B24" s="1" t="n">
        <v>45713</v>
      </c>
      <c r="C24" s="1" t="n">
        <v>46078</v>
      </c>
      <c r="D24" t="inlineStr">
        <is>
          <t>VÄSTERBOTTENS LÄN</t>
        </is>
      </c>
      <c r="E24" t="inlineStr">
        <is>
          <t>SKELLEFTEÅ</t>
        </is>
      </c>
      <c r="G24" t="n">
        <v>10.5</v>
      </c>
      <c r="H24" t="n">
        <v>4</v>
      </c>
      <c r="I24" t="n">
        <v>2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10</v>
      </c>
      <c r="R24" s="2" t="inlineStr">
        <is>
          <t>Knärot
Garnlav
Granticka
Spillkråka
Talltita
Tretåig hackspett
Ullticka
Violettgrå tagellav
Bronshjon
Vedticka</t>
        </is>
      </c>
      <c r="S24">
        <f>HYPERLINK("https://klasma.github.io/Logging_2482/artfynd/A 9093-2025 artfynd.xlsx", "A 9093-2025")</f>
        <v/>
      </c>
      <c r="T24">
        <f>HYPERLINK("https://klasma.github.io/Logging_2482/kartor/A 9093-2025 karta.png", "A 9093-2025")</f>
        <v/>
      </c>
      <c r="U24">
        <f>HYPERLINK("https://klasma.github.io/Logging_2482/knärot/A 9093-2025 karta knärot.png", "A 9093-2025")</f>
        <v/>
      </c>
      <c r="V24">
        <f>HYPERLINK("https://klasma.github.io/Logging_2482/klagomål/A 9093-2025 FSC-klagomål.docx", "A 9093-2025")</f>
        <v/>
      </c>
      <c r="W24">
        <f>HYPERLINK("https://klasma.github.io/Logging_2482/klagomålsmail/A 9093-2025 FSC-klagomål mail.docx", "A 9093-2025")</f>
        <v/>
      </c>
      <c r="X24">
        <f>HYPERLINK("https://klasma.github.io/Logging_2482/tillsyn/A 9093-2025 tillsynsbegäran.docx", "A 9093-2025")</f>
        <v/>
      </c>
      <c r="Y24">
        <f>HYPERLINK("https://klasma.github.io/Logging_2482/tillsynsmail/A 9093-2025 tillsynsbegäran mail.docx", "A 9093-2025")</f>
        <v/>
      </c>
      <c r="Z24">
        <f>HYPERLINK("https://klasma.github.io/Logging_2482/fåglar/A 9093-2025 prioriterade fågelarter.docx", "A 9093-2025")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46078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46078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22441-2025</t>
        </is>
      </c>
      <c r="B27" s="1" t="n">
        <v>45786</v>
      </c>
      <c r="C27" s="1" t="n">
        <v>46078</v>
      </c>
      <c r="D27" t="inlineStr">
        <is>
          <t>VÄSTERBOTTENS LÄN</t>
        </is>
      </c>
      <c r="E27" t="inlineStr">
        <is>
          <t>SKELLEFTEÅ</t>
        </is>
      </c>
      <c r="G27" t="n">
        <v>3.6</v>
      </c>
      <c r="H27" t="n">
        <v>3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Ulltickeporing
Gammelgransskål
Granticka
Harticka
Spillkråka
Talltita
Ullticka
Vedticka
Fläcknycklar</t>
        </is>
      </c>
      <c r="S27">
        <f>HYPERLINK("https://klasma.github.io/Logging_2482/artfynd/A 22441-2025 artfynd.xlsx", "A 22441-2025")</f>
        <v/>
      </c>
      <c r="T27">
        <f>HYPERLINK("https://klasma.github.io/Logging_2482/kartor/A 22441-2025 karta.png", "A 22441-2025")</f>
        <v/>
      </c>
      <c r="V27">
        <f>HYPERLINK("https://klasma.github.io/Logging_2482/klagomål/A 22441-2025 FSC-klagomål.docx", "A 22441-2025")</f>
        <v/>
      </c>
      <c r="W27">
        <f>HYPERLINK("https://klasma.github.io/Logging_2482/klagomålsmail/A 22441-2025 FSC-klagomål mail.docx", "A 22441-2025")</f>
        <v/>
      </c>
      <c r="X27">
        <f>HYPERLINK("https://klasma.github.io/Logging_2482/tillsyn/A 22441-2025 tillsynsbegäran.docx", "A 22441-2025")</f>
        <v/>
      </c>
      <c r="Y27">
        <f>HYPERLINK("https://klasma.github.io/Logging_2482/tillsynsmail/A 22441-2025 tillsynsbegäran mail.docx", "A 22441-2025")</f>
        <v/>
      </c>
      <c r="Z27">
        <f>HYPERLINK("https://klasma.github.io/Logging_2482/fåglar/A 22441-2025 prioriterade fågelarter.docx", "A 22441-2025")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46078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46078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46078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46078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46078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46078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46078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46078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46078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46078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46078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46078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24496-2025</t>
        </is>
      </c>
      <c r="B40" s="1" t="n">
        <v>45798</v>
      </c>
      <c r="C40" s="1" t="n">
        <v>46078</v>
      </c>
      <c r="D40" t="inlineStr">
        <is>
          <t>VÄSTERBOTTENS LÄN</t>
        </is>
      </c>
      <c r="E40" t="inlineStr">
        <is>
          <t>SKELLEFTEÅ</t>
        </is>
      </c>
      <c r="G40" t="n">
        <v>3</v>
      </c>
      <c r="H40" t="n">
        <v>3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Gammelgransskål
Mindre hackspett
Talltita
Björksplintborre
Vedticka
Kungsfågel</t>
        </is>
      </c>
      <c r="S40">
        <f>HYPERLINK("https://klasma.github.io/Logging_2482/artfynd/A 24496-2025 artfynd.xlsx", "A 24496-2025")</f>
        <v/>
      </c>
      <c r="T40">
        <f>HYPERLINK("https://klasma.github.io/Logging_2482/kartor/A 24496-2025 karta.png", "A 24496-2025")</f>
        <v/>
      </c>
      <c r="V40">
        <f>HYPERLINK("https://klasma.github.io/Logging_2482/klagomål/A 24496-2025 FSC-klagomål.docx", "A 24496-2025")</f>
        <v/>
      </c>
      <c r="W40">
        <f>HYPERLINK("https://klasma.github.io/Logging_2482/klagomålsmail/A 24496-2025 FSC-klagomål mail.docx", "A 24496-2025")</f>
        <v/>
      </c>
      <c r="X40">
        <f>HYPERLINK("https://klasma.github.io/Logging_2482/tillsyn/A 24496-2025 tillsynsbegäran.docx", "A 24496-2025")</f>
        <v/>
      </c>
      <c r="Y40">
        <f>HYPERLINK("https://klasma.github.io/Logging_2482/tillsynsmail/A 24496-2025 tillsynsbegäran mail.docx", "A 24496-2025")</f>
        <v/>
      </c>
      <c r="Z40">
        <f>HYPERLINK("https://klasma.github.io/Logging_2482/fåglar/A 24496-2025 prioriterade fågelarter.docx", "A 24496-2025")</f>
        <v/>
      </c>
    </row>
    <row r="41" ht="15" customHeight="1">
      <c r="A41" t="inlineStr">
        <is>
          <t>A 62346-2023</t>
        </is>
      </c>
      <c r="B41" s="1" t="n">
        <v>45267</v>
      </c>
      <c r="C41" s="1" t="n">
        <v>46078</v>
      </c>
      <c r="D41" t="inlineStr">
        <is>
          <t>VÄSTERBOTTENS LÄN</t>
        </is>
      </c>
      <c r="E41" t="inlineStr">
        <is>
          <t>SKELLEFTEÅ</t>
        </is>
      </c>
      <c r="G41" t="n">
        <v>5.1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Talltita
Tretåig hackspett
Ullticka
Violettgrå tagellav
Spindelblomster</t>
        </is>
      </c>
      <c r="S41">
        <f>HYPERLINK("https://klasma.github.io/Logging_2482/artfynd/A 62346-2023 artfynd.xlsx", "A 62346-2023")</f>
        <v/>
      </c>
      <c r="T41">
        <f>HYPERLINK("https://klasma.github.io/Logging_2482/kartor/A 62346-2023 karta.png", "A 62346-2023")</f>
        <v/>
      </c>
      <c r="V41">
        <f>HYPERLINK("https://klasma.github.io/Logging_2482/klagomål/A 62346-2023 FSC-klagomål.docx", "A 62346-2023")</f>
        <v/>
      </c>
      <c r="W41">
        <f>HYPERLINK("https://klasma.github.io/Logging_2482/klagomålsmail/A 62346-2023 FSC-klagomål mail.docx", "A 62346-2023")</f>
        <v/>
      </c>
      <c r="X41">
        <f>HYPERLINK("https://klasma.github.io/Logging_2482/tillsyn/A 62346-2023 tillsynsbegäran.docx", "A 62346-2023")</f>
        <v/>
      </c>
      <c r="Y41">
        <f>HYPERLINK("https://klasma.github.io/Logging_2482/tillsynsmail/A 62346-2023 tillsynsbegäran mail.docx", "A 62346-2023")</f>
        <v/>
      </c>
      <c r="Z41">
        <f>HYPERLINK("https://klasma.github.io/Logging_2482/fåglar/A 62346-2023 prioriterade fågelarter.docx", "A 62346-2023")</f>
        <v/>
      </c>
    </row>
    <row r="42" ht="15" customHeight="1">
      <c r="A42" t="inlineStr">
        <is>
          <t>A 51686-2025</t>
        </is>
      </c>
      <c r="B42" s="1" t="n">
        <v>45951.52231481481</v>
      </c>
      <c r="C42" s="1" t="n">
        <v>46078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Granticka
Spillkråka
Tretåig hackspett
Ullticka
Spindelblomster</t>
        </is>
      </c>
      <c r="S42">
        <f>HYPERLINK("https://klasma.github.io/Logging_2482/artfynd/A 51686-2025 artfynd.xlsx", "A 51686-2025")</f>
        <v/>
      </c>
      <c r="T42">
        <f>HYPERLINK("https://klasma.github.io/Logging_2482/kartor/A 51686-2025 karta.png", "A 51686-2025")</f>
        <v/>
      </c>
      <c r="V42">
        <f>HYPERLINK("https://klasma.github.io/Logging_2482/klagomål/A 51686-2025 FSC-klagomål.docx", "A 51686-2025")</f>
        <v/>
      </c>
      <c r="W42">
        <f>HYPERLINK("https://klasma.github.io/Logging_2482/klagomålsmail/A 51686-2025 FSC-klagomål mail.docx", "A 51686-2025")</f>
        <v/>
      </c>
      <c r="X42">
        <f>HYPERLINK("https://klasma.github.io/Logging_2482/tillsyn/A 51686-2025 tillsynsbegäran.docx", "A 51686-2025")</f>
        <v/>
      </c>
      <c r="Y42">
        <f>HYPERLINK("https://klasma.github.io/Logging_2482/tillsynsmail/A 51686-2025 tillsynsbegäran mail.docx", "A 51686-2025")</f>
        <v/>
      </c>
      <c r="Z42">
        <f>HYPERLINK("https://klasma.github.io/Logging_2482/fåglar/A 51686-2025 prioriterade fågelarter.docx", "A 51686-2025")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46078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Hapalopilus aurantiacus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46078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46078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46078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46078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45210-2025</t>
        </is>
      </c>
      <c r="B48" s="1" t="n">
        <v>45919.56964120371</v>
      </c>
      <c r="C48" s="1" t="n">
        <v>46078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38.1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Smalfotad taggsvamp
Blå taggsvamp
Vedskivlav
Dropptaggsvamp
Tjäder</t>
        </is>
      </c>
      <c r="S48">
        <f>HYPERLINK("https://klasma.github.io/Logging_2482/artfynd/A 45210-2025 artfynd.xlsx", "A 45210-2025")</f>
        <v/>
      </c>
      <c r="T48">
        <f>HYPERLINK("https://klasma.github.io/Logging_2482/kartor/A 45210-2025 karta.png", "A 45210-2025")</f>
        <v/>
      </c>
      <c r="V48">
        <f>HYPERLINK("https://klasma.github.io/Logging_2482/klagomål/A 45210-2025 FSC-klagomål.docx", "A 45210-2025")</f>
        <v/>
      </c>
      <c r="W48">
        <f>HYPERLINK("https://klasma.github.io/Logging_2482/klagomålsmail/A 45210-2025 FSC-klagomål mail.docx", "A 45210-2025")</f>
        <v/>
      </c>
      <c r="X48">
        <f>HYPERLINK("https://klasma.github.io/Logging_2482/tillsyn/A 45210-2025 tillsynsbegäran.docx", "A 45210-2025")</f>
        <v/>
      </c>
      <c r="Y48">
        <f>HYPERLINK("https://klasma.github.io/Logging_2482/tillsynsmail/A 45210-2025 tillsynsbegäran mail.docx", "A 45210-2025")</f>
        <v/>
      </c>
      <c r="Z48">
        <f>HYPERLINK("https://klasma.github.io/Logging_2482/fåglar/A 45210-2025 prioriterade fågelarter.docx", "A 45210-2025")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46078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46078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46078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33941-2024</t>
        </is>
      </c>
      <c r="B52" s="1" t="n">
        <v>45523.44668981482</v>
      </c>
      <c r="C52" s="1" t="n">
        <v>46078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8.1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Talltita
Tretåig hackspett
Revlummer</t>
        </is>
      </c>
      <c r="S52">
        <f>HYPERLINK("https://klasma.github.io/Logging_2482/artfynd/A 33941-2024 artfynd.xlsx", "A 33941-2024")</f>
        <v/>
      </c>
      <c r="T52">
        <f>HYPERLINK("https://klasma.github.io/Logging_2482/kartor/A 33941-2024 karta.png", "A 33941-2024")</f>
        <v/>
      </c>
      <c r="V52">
        <f>HYPERLINK("https://klasma.github.io/Logging_2482/klagomål/A 33941-2024 FSC-klagomål.docx", "A 33941-2024")</f>
        <v/>
      </c>
      <c r="W52">
        <f>HYPERLINK("https://klasma.github.io/Logging_2482/klagomålsmail/A 33941-2024 FSC-klagomål mail.docx", "A 33941-2024")</f>
        <v/>
      </c>
      <c r="X52">
        <f>HYPERLINK("https://klasma.github.io/Logging_2482/tillsyn/A 33941-2024 tillsynsbegäran.docx", "A 33941-2024")</f>
        <v/>
      </c>
      <c r="Y52">
        <f>HYPERLINK("https://klasma.github.io/Logging_2482/tillsynsmail/A 33941-2024 tillsynsbegäran mail.docx", "A 33941-2024")</f>
        <v/>
      </c>
      <c r="Z52">
        <f>HYPERLINK("https://klasma.github.io/Logging_2482/fåglar/A 33941-2024 prioriterade fågelarter.docx", "A 33941-2024")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46078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46078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46078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46078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Leptoporus mollis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46078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38654-2025</t>
        </is>
      </c>
      <c r="B58" s="1" t="n">
        <v>45884.59638888889</v>
      </c>
      <c r="C58" s="1" t="n">
        <v>46078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5.6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Gammelgransskål
Kopparödla
Brudsporre
Nattviol</t>
        </is>
      </c>
      <c r="S58">
        <f>HYPERLINK("https://klasma.github.io/Logging_2482/artfynd/A 38654-2025 artfynd.xlsx", "A 38654-2025")</f>
        <v/>
      </c>
      <c r="T58">
        <f>HYPERLINK("https://klasma.github.io/Logging_2482/kartor/A 38654-2025 karta.png", "A 38654-2025")</f>
        <v/>
      </c>
      <c r="V58">
        <f>HYPERLINK("https://klasma.github.io/Logging_2482/klagomål/A 38654-2025 FSC-klagomål.docx", "A 38654-2025")</f>
        <v/>
      </c>
      <c r="W58">
        <f>HYPERLINK("https://klasma.github.io/Logging_2482/klagomålsmail/A 38654-2025 FSC-klagomål mail.docx", "A 38654-2025")</f>
        <v/>
      </c>
      <c r="X58">
        <f>HYPERLINK("https://klasma.github.io/Logging_2482/tillsyn/A 38654-2025 tillsynsbegäran.docx", "A 38654-2025")</f>
        <v/>
      </c>
      <c r="Y58">
        <f>HYPERLINK("https://klasma.github.io/Logging_2482/tillsynsmail/A 38654-2025 tillsynsbegäran mail.docx", "A 38654-2025")</f>
        <v/>
      </c>
    </row>
    <row r="59" ht="15" customHeight="1">
      <c r="A59" t="inlineStr">
        <is>
          <t>A 57738-2021</t>
        </is>
      </c>
      <c r="B59" s="1" t="n">
        <v>44484</v>
      </c>
      <c r="C59" s="1" t="n">
        <v>46078</v>
      </c>
      <c r="D59" t="inlineStr">
        <is>
          <t>VÄSTERBOTTENS LÄN</t>
        </is>
      </c>
      <c r="E59" t="inlineStr">
        <is>
          <t>SKELLEFTEÅ</t>
        </is>
      </c>
      <c r="G59" t="n">
        <v>11.4</v>
      </c>
      <c r="H59" t="n">
        <v>2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Doftskinn
Talltita
Nästlav
Fläcknycklar</t>
        </is>
      </c>
      <c r="S59">
        <f>HYPERLINK("https://klasma.github.io/Logging_2482/artfynd/A 57738-2021 artfynd.xlsx", "A 57738-2021")</f>
        <v/>
      </c>
      <c r="T59">
        <f>HYPERLINK("https://klasma.github.io/Logging_2482/kartor/A 57738-2021 karta.png", "A 57738-2021")</f>
        <v/>
      </c>
      <c r="V59">
        <f>HYPERLINK("https://klasma.github.io/Logging_2482/klagomål/A 57738-2021 FSC-klagomål.docx", "A 57738-2021")</f>
        <v/>
      </c>
      <c r="W59">
        <f>HYPERLINK("https://klasma.github.io/Logging_2482/klagomålsmail/A 57738-2021 FSC-klagomål mail.docx", "A 57738-2021")</f>
        <v/>
      </c>
      <c r="X59">
        <f>HYPERLINK("https://klasma.github.io/Logging_2482/tillsyn/A 57738-2021 tillsynsbegäran.docx", "A 57738-2021")</f>
        <v/>
      </c>
      <c r="Y59">
        <f>HYPERLINK("https://klasma.github.io/Logging_2482/tillsynsmail/A 57738-2021 tillsynsbegäran mail.docx", "A 57738-2021")</f>
        <v/>
      </c>
      <c r="Z59">
        <f>HYPERLINK("https://klasma.github.io/Logging_2482/fåglar/A 57738-2021 prioriterade fågelarter.docx", "A 57738-2021")</f>
        <v/>
      </c>
    </row>
    <row r="60" ht="15" customHeight="1">
      <c r="A60" t="inlineStr">
        <is>
          <t>A 46092-2023</t>
        </is>
      </c>
      <c r="B60" s="1" t="n">
        <v>45190</v>
      </c>
      <c r="C60" s="1" t="n">
        <v>46078</v>
      </c>
      <c r="D60" t="inlineStr">
        <is>
          <t>VÄSTERBOTTENS LÄN</t>
        </is>
      </c>
      <c r="E60" t="inlineStr">
        <is>
          <t>SKELLEFTEÅ</t>
        </is>
      </c>
      <c r="G60" t="n">
        <v>8.699999999999999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Violettgrå tagellav
Luddlav
Skinnlav
Stuplav</t>
        </is>
      </c>
      <c r="S60">
        <f>HYPERLINK("https://klasma.github.io/Logging_2482/artfynd/A 46092-2023 artfynd.xlsx", "A 46092-2023")</f>
        <v/>
      </c>
      <c r="T60">
        <f>HYPERLINK("https://klasma.github.io/Logging_2482/kartor/A 46092-2023 karta.png", "A 46092-2023")</f>
        <v/>
      </c>
      <c r="V60">
        <f>HYPERLINK("https://klasma.github.io/Logging_2482/klagomål/A 46092-2023 FSC-klagomål.docx", "A 46092-2023")</f>
        <v/>
      </c>
      <c r="W60">
        <f>HYPERLINK("https://klasma.github.io/Logging_2482/klagomålsmail/A 46092-2023 FSC-klagomål mail.docx", "A 46092-2023")</f>
        <v/>
      </c>
      <c r="X60">
        <f>HYPERLINK("https://klasma.github.io/Logging_2482/tillsyn/A 46092-2023 tillsynsbegäran.docx", "A 46092-2023")</f>
        <v/>
      </c>
      <c r="Y60">
        <f>HYPERLINK("https://klasma.github.io/Logging_2482/tillsynsmail/A 46092-2023 tillsynsbegäran mail.docx", "A 46092-2023")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46078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51431-2025</t>
        </is>
      </c>
      <c r="B62" s="1" t="n">
        <v>45950.54863425926</v>
      </c>
      <c r="C62" s="1" t="n">
        <v>46078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3.2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Blanksvart spiklav
Kolflarnlav
Svart taggsvamp
Dropptaggsvamp</t>
        </is>
      </c>
      <c r="S62">
        <f>HYPERLINK("https://klasma.github.io/Logging_2482/artfynd/A 51431-2025 artfynd.xlsx", "A 51431-2025")</f>
        <v/>
      </c>
      <c r="T62">
        <f>HYPERLINK("https://klasma.github.io/Logging_2482/kartor/A 51431-2025 karta.png", "A 51431-2025")</f>
        <v/>
      </c>
      <c r="V62">
        <f>HYPERLINK("https://klasma.github.io/Logging_2482/klagomål/A 51431-2025 FSC-klagomål.docx", "A 51431-2025")</f>
        <v/>
      </c>
      <c r="W62">
        <f>HYPERLINK("https://klasma.github.io/Logging_2482/klagomålsmail/A 51431-2025 FSC-klagomål mail.docx", "A 51431-2025")</f>
        <v/>
      </c>
      <c r="X62">
        <f>HYPERLINK("https://klasma.github.io/Logging_2482/tillsyn/A 51431-2025 tillsynsbegäran.docx", "A 51431-2025")</f>
        <v/>
      </c>
      <c r="Y62">
        <f>HYPERLINK("https://klasma.github.io/Logging_2482/tillsynsmail/A 51431-2025 tillsynsbegäran mail.docx", "A 51431-2025")</f>
        <v/>
      </c>
    </row>
    <row r="63" ht="15" customHeight="1">
      <c r="A63" t="inlineStr">
        <is>
          <t>A 35164-2025</t>
        </is>
      </c>
      <c r="B63" s="1" t="n">
        <v>45852</v>
      </c>
      <c r="C63" s="1" t="n">
        <v>46078</v>
      </c>
      <c r="D63" t="inlineStr">
        <is>
          <t>VÄSTERBOTTENS LÄN</t>
        </is>
      </c>
      <c r="E63" t="inlineStr">
        <is>
          <t>SKELLEFTEÅ</t>
        </is>
      </c>
      <c r="G63" t="n">
        <v>2.1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Harticka
Kilporing
Rosenticka</t>
        </is>
      </c>
      <c r="S63">
        <f>HYPERLINK("https://klasma.github.io/Logging_2482/artfynd/A 35164-2025 artfynd.xlsx", "A 35164-2025")</f>
        <v/>
      </c>
      <c r="T63">
        <f>HYPERLINK("https://klasma.github.io/Logging_2482/kartor/A 35164-2025 karta.png", "A 35164-2025")</f>
        <v/>
      </c>
      <c r="V63">
        <f>HYPERLINK("https://klasma.github.io/Logging_2482/klagomål/A 35164-2025 FSC-klagomål.docx", "A 35164-2025")</f>
        <v/>
      </c>
      <c r="W63">
        <f>HYPERLINK("https://klasma.github.io/Logging_2482/klagomålsmail/A 35164-2025 FSC-klagomål mail.docx", "A 35164-2025")</f>
        <v/>
      </c>
      <c r="X63">
        <f>HYPERLINK("https://klasma.github.io/Logging_2482/tillsyn/A 35164-2025 tillsynsbegäran.docx", "A 35164-2025")</f>
        <v/>
      </c>
      <c r="Y63">
        <f>HYPERLINK("https://klasma.github.io/Logging_2482/tillsynsmail/A 35164-2025 tillsynsbegäran mail.docx", "A 35164-2025")</f>
        <v/>
      </c>
    </row>
    <row r="64" ht="15" customHeight="1">
      <c r="A64" t="inlineStr">
        <is>
          <t>A 58835-2021</t>
        </is>
      </c>
      <c r="B64" s="1" t="n">
        <v>44489</v>
      </c>
      <c r="C64" s="1" t="n">
        <v>46078</v>
      </c>
      <c r="D64" t="inlineStr">
        <is>
          <t>VÄSTERBOTTENS LÄN</t>
        </is>
      </c>
      <c r="E64" t="inlineStr">
        <is>
          <t>SKELLEFTEÅ</t>
        </is>
      </c>
      <c r="G64" t="n">
        <v>10.2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Doftskinn
Gammelgransskål
Stjärntagging
Ullticka</t>
        </is>
      </c>
      <c r="S64">
        <f>HYPERLINK("https://klasma.github.io/Logging_2482/artfynd/A 58835-2021 artfynd.xlsx", "A 58835-2021")</f>
        <v/>
      </c>
      <c r="T64">
        <f>HYPERLINK("https://klasma.github.io/Logging_2482/kartor/A 58835-2021 karta.png", "A 58835-2021")</f>
        <v/>
      </c>
      <c r="V64">
        <f>HYPERLINK("https://klasma.github.io/Logging_2482/klagomål/A 58835-2021 FSC-klagomål.docx", "A 58835-2021")</f>
        <v/>
      </c>
      <c r="W64">
        <f>HYPERLINK("https://klasma.github.io/Logging_2482/klagomålsmail/A 58835-2021 FSC-klagomål mail.docx", "A 58835-2021")</f>
        <v/>
      </c>
      <c r="X64">
        <f>HYPERLINK("https://klasma.github.io/Logging_2482/tillsyn/A 58835-2021 tillsynsbegäran.docx", "A 58835-2021")</f>
        <v/>
      </c>
      <c r="Y64">
        <f>HYPERLINK("https://klasma.github.io/Logging_2482/tillsynsmail/A 58835-2021 tillsynsbegäran mail.docx", "A 58835-2021")</f>
        <v/>
      </c>
    </row>
    <row r="65" ht="15" customHeight="1">
      <c r="A65" t="inlineStr">
        <is>
          <t>A 58867-2025</t>
        </is>
      </c>
      <c r="B65" s="1" t="n">
        <v>45987.45527777778</v>
      </c>
      <c r="C65" s="1" t="n">
        <v>46078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4.4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Garnlav
Granticka
Vedticka</t>
        </is>
      </c>
      <c r="S65">
        <f>HYPERLINK("https://klasma.github.io/Logging_2482/artfynd/A 58867-2025 artfynd.xlsx", "A 58867-2025")</f>
        <v/>
      </c>
      <c r="T65">
        <f>HYPERLINK("https://klasma.github.io/Logging_2482/kartor/A 58867-2025 karta.png", "A 58867-2025")</f>
        <v/>
      </c>
      <c r="V65">
        <f>HYPERLINK("https://klasma.github.io/Logging_2482/klagomål/A 58867-2025 FSC-klagomål.docx", "A 58867-2025")</f>
        <v/>
      </c>
      <c r="W65">
        <f>HYPERLINK("https://klasma.github.io/Logging_2482/klagomålsmail/A 58867-2025 FSC-klagomål mail.docx", "A 58867-2025")</f>
        <v/>
      </c>
      <c r="X65">
        <f>HYPERLINK("https://klasma.github.io/Logging_2482/tillsyn/A 58867-2025 tillsynsbegäran.docx", "A 58867-2025")</f>
        <v/>
      </c>
      <c r="Y65">
        <f>HYPERLINK("https://klasma.github.io/Logging_2482/tillsynsmail/A 58867-2025 tillsynsbegäran mail.docx", "A 58867-2025")</f>
        <v/>
      </c>
    </row>
    <row r="66" ht="15" customHeight="1">
      <c r="A66" t="inlineStr">
        <is>
          <t>A 18577-2024</t>
        </is>
      </c>
      <c r="B66" s="1" t="n">
        <v>45425</v>
      </c>
      <c r="C66" s="1" t="n">
        <v>46078</v>
      </c>
      <c r="D66" t="inlineStr">
        <is>
          <t>VÄSTERBOTTENS LÄN</t>
        </is>
      </c>
      <c r="E66" t="inlineStr">
        <is>
          <t>SKELLEFTEÅ</t>
        </is>
      </c>
      <c r="G66" t="n">
        <v>5.3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Gammelgransskål
Garnlav
Rävticka</t>
        </is>
      </c>
      <c r="S66">
        <f>HYPERLINK("https://klasma.github.io/Logging_2482/artfynd/A 18577-2024 artfynd.xlsx", "A 18577-2024")</f>
        <v/>
      </c>
      <c r="T66">
        <f>HYPERLINK("https://klasma.github.io/Logging_2482/kartor/A 18577-2024 karta.png", "A 18577-2024")</f>
        <v/>
      </c>
      <c r="U66">
        <f>HYPERLINK("https://klasma.github.io/Logging_2482/knärot/A 18577-2024 karta knärot.png", "A 18577-2024")</f>
        <v/>
      </c>
      <c r="V66">
        <f>HYPERLINK("https://klasma.github.io/Logging_2482/klagomål/A 18577-2024 FSC-klagomål.docx", "A 18577-2024")</f>
        <v/>
      </c>
      <c r="W66">
        <f>HYPERLINK("https://klasma.github.io/Logging_2482/klagomålsmail/A 18577-2024 FSC-klagomål mail.docx", "A 18577-2024")</f>
        <v/>
      </c>
      <c r="X66">
        <f>HYPERLINK("https://klasma.github.io/Logging_2482/tillsyn/A 18577-2024 tillsynsbegäran.docx", "A 18577-2024")</f>
        <v/>
      </c>
      <c r="Y66">
        <f>HYPERLINK("https://klasma.github.io/Logging_2482/tillsynsmail/A 18577-2024 tillsynsbegäran mail.docx", "A 18577-2024")</f>
        <v/>
      </c>
    </row>
    <row r="67" ht="15" customHeight="1">
      <c r="A67" t="inlineStr">
        <is>
          <t>A 62340-2021</t>
        </is>
      </c>
      <c r="B67" s="1" t="n">
        <v>44503</v>
      </c>
      <c r="C67" s="1" t="n">
        <v>46078</v>
      </c>
      <c r="D67" t="inlineStr">
        <is>
          <t>VÄSTERBOTTENS LÄN</t>
        </is>
      </c>
      <c r="E67" t="inlineStr">
        <is>
          <t>SKELLEFTEÅ</t>
        </is>
      </c>
      <c r="G67" t="n">
        <v>3.9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Garnlav
Harticka
Dropptaggsvamp
Vedticka</t>
        </is>
      </c>
      <c r="S67">
        <f>HYPERLINK("https://klasma.github.io/Logging_2482/artfynd/A 62340-2021 artfynd.xlsx", "A 62340-2021")</f>
        <v/>
      </c>
      <c r="T67">
        <f>HYPERLINK("https://klasma.github.io/Logging_2482/kartor/A 62340-2021 karta.png", "A 62340-2021")</f>
        <v/>
      </c>
      <c r="U67">
        <f>HYPERLINK("https://klasma.github.io/Logging_2482/knärot/A 62340-2021 karta knärot.png", "A 62340-2021")</f>
        <v/>
      </c>
      <c r="V67">
        <f>HYPERLINK("https://klasma.github.io/Logging_2482/klagomål/A 62340-2021 FSC-klagomål.docx", "A 62340-2021")</f>
        <v/>
      </c>
      <c r="W67">
        <f>HYPERLINK("https://klasma.github.io/Logging_2482/klagomålsmail/A 62340-2021 FSC-klagomål mail.docx", "A 62340-2021")</f>
        <v/>
      </c>
      <c r="X67">
        <f>HYPERLINK("https://klasma.github.io/Logging_2482/tillsyn/A 62340-2021 tillsynsbegäran.docx", "A 62340-2021")</f>
        <v/>
      </c>
      <c r="Y67">
        <f>HYPERLINK("https://klasma.github.io/Logging_2482/tillsynsmail/A 62340-2021 tillsynsbegäran mail.docx", "A 62340-2021")</f>
        <v/>
      </c>
    </row>
    <row r="68" ht="15" customHeight="1">
      <c r="A68" t="inlineStr">
        <is>
          <t>A 39126-2025</t>
        </is>
      </c>
      <c r="B68" s="1" t="n">
        <v>45888</v>
      </c>
      <c r="C68" s="1" t="n">
        <v>46078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1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Gammelgransskål
Granbarkgnagare
Trådticka
Vedticka</t>
        </is>
      </c>
      <c r="S68">
        <f>HYPERLINK("https://klasma.github.io/Logging_2482/artfynd/A 39126-2025 artfynd.xlsx", "A 39126-2025")</f>
        <v/>
      </c>
      <c r="T68">
        <f>HYPERLINK("https://klasma.github.io/Logging_2482/kartor/A 39126-2025 karta.png", "A 39126-2025")</f>
        <v/>
      </c>
      <c r="U68">
        <f>HYPERLINK("https://klasma.github.io/Logging_2482/knärot/A 39126-2025 karta knärot.png", "A 39126-2025")</f>
        <v/>
      </c>
      <c r="V68">
        <f>HYPERLINK("https://klasma.github.io/Logging_2482/klagomål/A 39126-2025 FSC-klagomål.docx", "A 39126-2025")</f>
        <v/>
      </c>
      <c r="W68">
        <f>HYPERLINK("https://klasma.github.io/Logging_2482/klagomålsmail/A 39126-2025 FSC-klagomål mail.docx", "A 39126-2025")</f>
        <v/>
      </c>
      <c r="X68">
        <f>HYPERLINK("https://klasma.github.io/Logging_2482/tillsyn/A 39126-2025 tillsynsbegäran.docx", "A 39126-2025")</f>
        <v/>
      </c>
      <c r="Y68">
        <f>HYPERLINK("https://klasma.github.io/Logging_2482/tillsynsmail/A 39126-2025 tillsynsbegäran mail.docx", "A 39126-2025")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46078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55242-2024</t>
        </is>
      </c>
      <c r="B70" s="1" t="n">
        <v>45620</v>
      </c>
      <c r="C70" s="1" t="n">
        <v>46078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Ostticka
Garnlav
Granticka
Ullticka</t>
        </is>
      </c>
      <c r="S70">
        <f>HYPERLINK("https://klasma.github.io/Logging_2482/artfynd/A 55242-2024 artfynd.xlsx", "A 55242-2024")</f>
        <v/>
      </c>
      <c r="T70">
        <f>HYPERLINK("https://klasma.github.io/Logging_2482/kartor/A 55242-2024 karta.png", "A 55242-2024")</f>
        <v/>
      </c>
      <c r="V70">
        <f>HYPERLINK("https://klasma.github.io/Logging_2482/klagomål/A 55242-2024 FSC-klagomål.docx", "A 55242-2024")</f>
        <v/>
      </c>
      <c r="W70">
        <f>HYPERLINK("https://klasma.github.io/Logging_2482/klagomålsmail/A 55242-2024 FSC-klagomål mail.docx", "A 55242-2024")</f>
        <v/>
      </c>
      <c r="X70">
        <f>HYPERLINK("https://klasma.github.io/Logging_2482/tillsyn/A 55242-2024 tillsynsbegäran.docx", "A 55242-2024")</f>
        <v/>
      </c>
      <c r="Y70">
        <f>HYPERLINK("https://klasma.github.io/Logging_2482/tillsynsmail/A 55242-2024 tillsynsbegäran mail.docx", "A 55242-2024")</f>
        <v/>
      </c>
    </row>
    <row r="71" ht="15" customHeight="1">
      <c r="A71" t="inlineStr">
        <is>
          <t>A 39114-2025</t>
        </is>
      </c>
      <c r="B71" s="1" t="n">
        <v>45888</v>
      </c>
      <c r="C71" s="1" t="n">
        <v>46078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2.9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Garnlav
Tretåig hackspett
Vedticka
Lavskrika</t>
        </is>
      </c>
      <c r="S71">
        <f>HYPERLINK("https://klasma.github.io/Logging_2482/artfynd/A 39114-2025 artfynd.xlsx", "A 39114-2025")</f>
        <v/>
      </c>
      <c r="T71">
        <f>HYPERLINK("https://klasma.github.io/Logging_2482/kartor/A 39114-2025 karta.png", "A 39114-2025")</f>
        <v/>
      </c>
      <c r="V71">
        <f>HYPERLINK("https://klasma.github.io/Logging_2482/klagomål/A 39114-2025 FSC-klagomål.docx", "A 39114-2025")</f>
        <v/>
      </c>
      <c r="W71">
        <f>HYPERLINK("https://klasma.github.io/Logging_2482/klagomålsmail/A 39114-2025 FSC-klagomål mail.docx", "A 39114-2025")</f>
        <v/>
      </c>
      <c r="X71">
        <f>HYPERLINK("https://klasma.github.io/Logging_2482/tillsyn/A 39114-2025 tillsynsbegäran.docx", "A 39114-2025")</f>
        <v/>
      </c>
      <c r="Y71">
        <f>HYPERLINK("https://klasma.github.io/Logging_2482/tillsynsmail/A 39114-2025 tillsynsbegäran mail.docx", "A 39114-2025")</f>
        <v/>
      </c>
      <c r="Z71">
        <f>HYPERLINK("https://klasma.github.io/Logging_2482/fåglar/A 39114-2025 prioriterade fågelarter.docx", "A 39114-2025")</f>
        <v/>
      </c>
    </row>
    <row r="72" ht="15" customHeight="1">
      <c r="A72" t="inlineStr">
        <is>
          <t>A 62393-2023</t>
        </is>
      </c>
      <c r="B72" s="1" t="n">
        <v>45268</v>
      </c>
      <c r="C72" s="1" t="n">
        <v>46078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6.7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Lunglav
Violettgrå tagellav
Bårdlav</t>
        </is>
      </c>
      <c r="S72">
        <f>HYPERLINK("https://klasma.github.io/Logging_2482/artfynd/A 62393-2023 artfynd.xlsx", "A 62393-2023")</f>
        <v/>
      </c>
      <c r="T72">
        <f>HYPERLINK("https://klasma.github.io/Logging_2482/kartor/A 62393-2023 karta.png", "A 62393-2023")</f>
        <v/>
      </c>
      <c r="V72">
        <f>HYPERLINK("https://klasma.github.io/Logging_2482/klagomål/A 62393-2023 FSC-klagomål.docx", "A 62393-2023")</f>
        <v/>
      </c>
      <c r="W72">
        <f>HYPERLINK("https://klasma.github.io/Logging_2482/klagomålsmail/A 62393-2023 FSC-klagomål mail.docx", "A 62393-2023")</f>
        <v/>
      </c>
      <c r="X72">
        <f>HYPERLINK("https://klasma.github.io/Logging_2482/tillsyn/A 62393-2023 tillsynsbegäran.docx", "A 62393-2023")</f>
        <v/>
      </c>
      <c r="Y72">
        <f>HYPERLINK("https://klasma.github.io/Logging_2482/tillsynsmail/A 62393-2023 tillsynsbegäran mail.docx", "A 62393-2023")</f>
        <v/>
      </c>
    </row>
    <row r="73" ht="15" customHeight="1">
      <c r="A73" t="inlineStr">
        <is>
          <t>A 57409-2021</t>
        </is>
      </c>
      <c r="B73" s="1" t="n">
        <v>44483</v>
      </c>
      <c r="C73" s="1" t="n">
        <v>46078</v>
      </c>
      <c r="D73" t="inlineStr">
        <is>
          <t>VÄSTERBOTTENS LÄN</t>
        </is>
      </c>
      <c r="E73" t="inlineStr">
        <is>
          <t>SKELLEFTEÅ</t>
        </is>
      </c>
      <c r="G73" t="n">
        <v>20.3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Ullticka
Vedticka</t>
        </is>
      </c>
      <c r="S73">
        <f>HYPERLINK("https://klasma.github.io/Logging_2482/artfynd/A 57409-2021 artfynd.xlsx", "A 57409-2021")</f>
        <v/>
      </c>
      <c r="T73">
        <f>HYPERLINK("https://klasma.github.io/Logging_2482/kartor/A 57409-2021 karta.png", "A 57409-2021")</f>
        <v/>
      </c>
      <c r="V73">
        <f>HYPERLINK("https://klasma.github.io/Logging_2482/klagomål/A 57409-2021 FSC-klagomål.docx", "A 57409-2021")</f>
        <v/>
      </c>
      <c r="W73">
        <f>HYPERLINK("https://klasma.github.io/Logging_2482/klagomålsmail/A 57409-2021 FSC-klagomål mail.docx", "A 57409-2021")</f>
        <v/>
      </c>
      <c r="X73">
        <f>HYPERLINK("https://klasma.github.io/Logging_2482/tillsyn/A 57409-2021 tillsynsbegäran.docx", "A 57409-2021")</f>
        <v/>
      </c>
      <c r="Y73">
        <f>HYPERLINK("https://klasma.github.io/Logging_2482/tillsynsmail/A 57409-2021 tillsynsbegäran mail.docx", "A 57409-2021")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46078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53423-2024</t>
        </is>
      </c>
      <c r="B75" s="1" t="n">
        <v>45614.51168981481</v>
      </c>
      <c r="C75" s="1" t="n">
        <v>46078</v>
      </c>
      <c r="D75" t="inlineStr">
        <is>
          <t>VÄSTERBOTTENS LÄN</t>
        </is>
      </c>
      <c r="E75" t="inlineStr">
        <is>
          <t>SKELLEFTEÅ</t>
        </is>
      </c>
      <c r="G75" t="n">
        <v>3.5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Blanksvart spiklav
Blå taggsvamp
Garnlav
Spillkråka</t>
        </is>
      </c>
      <c r="S75">
        <f>HYPERLINK("https://klasma.github.io/Logging_2482/artfynd/A 53423-2024 artfynd.xlsx", "A 53423-2024")</f>
        <v/>
      </c>
      <c r="T75">
        <f>HYPERLINK("https://klasma.github.io/Logging_2482/kartor/A 53423-2024 karta.png", "A 53423-2024")</f>
        <v/>
      </c>
      <c r="V75">
        <f>HYPERLINK("https://klasma.github.io/Logging_2482/klagomål/A 53423-2024 FSC-klagomål.docx", "A 53423-2024")</f>
        <v/>
      </c>
      <c r="W75">
        <f>HYPERLINK("https://klasma.github.io/Logging_2482/klagomålsmail/A 53423-2024 FSC-klagomål mail.docx", "A 53423-2024")</f>
        <v/>
      </c>
      <c r="X75">
        <f>HYPERLINK("https://klasma.github.io/Logging_2482/tillsyn/A 53423-2024 tillsynsbegäran.docx", "A 53423-2024")</f>
        <v/>
      </c>
      <c r="Y75">
        <f>HYPERLINK("https://klasma.github.io/Logging_2482/tillsynsmail/A 53423-2024 tillsynsbegäran mail.docx", "A 53423-2024")</f>
        <v/>
      </c>
      <c r="Z75">
        <f>HYPERLINK("https://klasma.github.io/Logging_2482/fåglar/A 53423-2024 prioriterade fågelarter.docx", "A 53423-2024")</f>
        <v/>
      </c>
    </row>
    <row r="76" ht="15" customHeight="1">
      <c r="A76" t="inlineStr">
        <is>
          <t>A 22626-2021</t>
        </is>
      </c>
      <c r="B76" s="1" t="n">
        <v>44326</v>
      </c>
      <c r="C76" s="1" t="n">
        <v>46078</v>
      </c>
      <c r="D76" t="inlineStr">
        <is>
          <t>VÄSTERBOTTENS LÄN</t>
        </is>
      </c>
      <c r="E76" t="inlineStr">
        <is>
          <t>SKELLEFTEÅ</t>
        </is>
      </c>
      <c r="G76" t="n">
        <v>8.4</v>
      </c>
      <c r="H76" t="n">
        <v>0</v>
      </c>
      <c r="I76" t="n">
        <v>0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Laxporing
Ulltickeporing
Fyrflikig jordstjärna</t>
        </is>
      </c>
      <c r="S76">
        <f>HYPERLINK("https://klasma.github.io/Logging_2482/artfynd/A 22626-2021 artfynd.xlsx", "A 22626-2021")</f>
        <v/>
      </c>
      <c r="T76">
        <f>HYPERLINK("https://klasma.github.io/Logging_2482/kartor/A 22626-2021 karta.png", "A 22626-2021")</f>
        <v/>
      </c>
      <c r="V76">
        <f>HYPERLINK("https://klasma.github.io/Logging_2482/klagomål/A 22626-2021 FSC-klagomål.docx", "A 22626-2021")</f>
        <v/>
      </c>
      <c r="W76">
        <f>HYPERLINK("https://klasma.github.io/Logging_2482/klagomålsmail/A 22626-2021 FSC-klagomål mail.docx", "A 22626-2021")</f>
        <v/>
      </c>
      <c r="X76">
        <f>HYPERLINK("https://klasma.github.io/Logging_2482/tillsyn/A 22626-2021 tillsynsbegäran.docx", "A 22626-2021")</f>
        <v/>
      </c>
      <c r="Y76">
        <f>HYPERLINK("https://klasma.github.io/Logging_2482/tillsynsmail/A 22626-2021 tillsynsbegäran mail.docx", "A 22626-2021")</f>
        <v/>
      </c>
    </row>
    <row r="77" ht="15" customHeight="1">
      <c r="A77" t="inlineStr">
        <is>
          <t>A 44152-2023</t>
        </is>
      </c>
      <c r="B77" s="1" t="n">
        <v>45188.47930555556</v>
      </c>
      <c r="C77" s="1" t="n">
        <v>46078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9.199999999999999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Videsparv</t>
        </is>
      </c>
      <c r="S77">
        <f>HYPERLINK("https://klasma.github.io/Logging_2482/artfynd/A 44152-2023 artfynd.xlsx", "A 44152-2023")</f>
        <v/>
      </c>
      <c r="T77">
        <f>HYPERLINK("https://klasma.github.io/Logging_2482/kartor/A 44152-2023 karta.png", "A 44152-2023")</f>
        <v/>
      </c>
      <c r="V77">
        <f>HYPERLINK("https://klasma.github.io/Logging_2482/klagomål/A 44152-2023 FSC-klagomål.docx", "A 44152-2023")</f>
        <v/>
      </c>
      <c r="W77">
        <f>HYPERLINK("https://klasma.github.io/Logging_2482/klagomålsmail/A 44152-2023 FSC-klagomål mail.docx", "A 44152-2023")</f>
        <v/>
      </c>
      <c r="X77">
        <f>HYPERLINK("https://klasma.github.io/Logging_2482/tillsyn/A 44152-2023 tillsynsbegäran.docx", "A 44152-2023")</f>
        <v/>
      </c>
      <c r="Y77">
        <f>HYPERLINK("https://klasma.github.io/Logging_2482/tillsynsmail/A 44152-2023 tillsynsbegäran mail.docx", "A 44152-2023")</f>
        <v/>
      </c>
      <c r="Z77">
        <f>HYPERLINK("https://klasma.github.io/Logging_2482/fåglar/A 44152-2023 prioriterade fågelarter.docx", "A 44152-2023")</f>
        <v/>
      </c>
    </row>
    <row r="78" ht="15" customHeight="1">
      <c r="A78" t="inlineStr">
        <is>
          <t>A 23299-2025</t>
        </is>
      </c>
      <c r="B78" s="1" t="n">
        <v>45791.59457175926</v>
      </c>
      <c r="C78" s="1" t="n">
        <v>46078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1.5</v>
      </c>
      <c r="H78" t="n">
        <v>1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Garnlav
Nästlav
Plattlummer</t>
        </is>
      </c>
      <c r="S78">
        <f>HYPERLINK("https://klasma.github.io/Logging_2482/artfynd/A 23299-2025 artfynd.xlsx", "A 23299-2025")</f>
        <v/>
      </c>
      <c r="T78">
        <f>HYPERLINK("https://klasma.github.io/Logging_2482/kartor/A 23299-2025 karta.png", "A 23299-2025")</f>
        <v/>
      </c>
      <c r="V78">
        <f>HYPERLINK("https://klasma.github.io/Logging_2482/klagomål/A 23299-2025 FSC-klagomål.docx", "A 23299-2025")</f>
        <v/>
      </c>
      <c r="W78">
        <f>HYPERLINK("https://klasma.github.io/Logging_2482/klagomålsmail/A 23299-2025 FSC-klagomål mail.docx", "A 23299-2025")</f>
        <v/>
      </c>
      <c r="X78">
        <f>HYPERLINK("https://klasma.github.io/Logging_2482/tillsyn/A 23299-2025 tillsynsbegäran.docx", "A 23299-2025")</f>
        <v/>
      </c>
      <c r="Y78">
        <f>HYPERLINK("https://klasma.github.io/Logging_2482/tillsynsmail/A 23299-2025 tillsynsbegäran mail.docx", "A 23299-2025")</f>
        <v/>
      </c>
    </row>
    <row r="79" ht="15" customHeight="1">
      <c r="A79" t="inlineStr">
        <is>
          <t>A 23725-2025</t>
        </is>
      </c>
      <c r="B79" s="1" t="n">
        <v>45793.40694444445</v>
      </c>
      <c r="C79" s="1" t="n">
        <v>46078</v>
      </c>
      <c r="D79" t="inlineStr">
        <is>
          <t>VÄSTERBOTTENS LÄN</t>
        </is>
      </c>
      <c r="E79" t="inlineStr">
        <is>
          <t>SKELLEFTEÅ</t>
        </is>
      </c>
      <c r="G79" t="n">
        <v>6.3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Nordfladdermus
Fläcknycklar</t>
        </is>
      </c>
      <c r="S79">
        <f>HYPERLINK("https://klasma.github.io/Logging_2482/artfynd/A 23725-2025 artfynd.xlsx", "A 23725-2025")</f>
        <v/>
      </c>
      <c r="T79">
        <f>HYPERLINK("https://klasma.github.io/Logging_2482/kartor/A 23725-2025 karta.png", "A 23725-2025")</f>
        <v/>
      </c>
      <c r="V79">
        <f>HYPERLINK("https://klasma.github.io/Logging_2482/klagomål/A 23725-2025 FSC-klagomål.docx", "A 23725-2025")</f>
        <v/>
      </c>
      <c r="W79">
        <f>HYPERLINK("https://klasma.github.io/Logging_2482/klagomålsmail/A 23725-2025 FSC-klagomål mail.docx", "A 23725-2025")</f>
        <v/>
      </c>
      <c r="X79">
        <f>HYPERLINK("https://klasma.github.io/Logging_2482/tillsyn/A 23725-2025 tillsynsbegäran.docx", "A 23725-2025")</f>
        <v/>
      </c>
      <c r="Y79">
        <f>HYPERLINK("https://klasma.github.io/Logging_2482/tillsynsmail/A 23725-2025 tillsynsbegäran mail.docx", "A 23725-2025")</f>
        <v/>
      </c>
    </row>
    <row r="80" ht="15" customHeight="1">
      <c r="A80" t="inlineStr">
        <is>
          <t>A 58525-2023</t>
        </is>
      </c>
      <c r="B80" s="1" t="n">
        <v>45251.38579861111</v>
      </c>
      <c r="C80" s="1" t="n">
        <v>46078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19.1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Tretåig hackspett
Vedskivlav</t>
        </is>
      </c>
      <c r="S80">
        <f>HYPERLINK("https://klasma.github.io/Logging_2482/artfynd/A 58525-2023 artfynd.xlsx", "A 58525-2023")</f>
        <v/>
      </c>
      <c r="T80">
        <f>HYPERLINK("https://klasma.github.io/Logging_2482/kartor/A 58525-2023 karta.png", "A 58525-2023")</f>
        <v/>
      </c>
      <c r="V80">
        <f>HYPERLINK("https://klasma.github.io/Logging_2482/klagomål/A 58525-2023 FSC-klagomål.docx", "A 58525-2023")</f>
        <v/>
      </c>
      <c r="W80">
        <f>HYPERLINK("https://klasma.github.io/Logging_2482/klagomålsmail/A 58525-2023 FSC-klagomål mail.docx", "A 58525-2023")</f>
        <v/>
      </c>
      <c r="X80">
        <f>HYPERLINK("https://klasma.github.io/Logging_2482/tillsyn/A 58525-2023 tillsynsbegäran.docx", "A 58525-2023")</f>
        <v/>
      </c>
      <c r="Y80">
        <f>HYPERLINK("https://klasma.github.io/Logging_2482/tillsynsmail/A 58525-2023 tillsynsbegäran mail.docx", "A 58525-2023")</f>
        <v/>
      </c>
      <c r="Z80">
        <f>HYPERLINK("https://klasma.github.io/Logging_2482/fåglar/A 58525-2023 prioriterade fågelarter.docx", "A 58525-2023")</f>
        <v/>
      </c>
    </row>
    <row r="81" ht="15" customHeight="1">
      <c r="A81" t="inlineStr">
        <is>
          <t>A 32937-2025</t>
        </is>
      </c>
      <c r="B81" s="1" t="n">
        <v>45839.67740740741</v>
      </c>
      <c r="C81" s="1" t="n">
        <v>46078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24.3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HYPERLINK("https://klasma.github.io/Logging_2482/artfynd/A 32937-2025 artfynd.xlsx", "A 32937-2025")</f>
        <v/>
      </c>
      <c r="T81">
        <f>HYPERLINK("https://klasma.github.io/Logging_2482/kartor/A 32937-2025 karta.png", "A 32937-2025")</f>
        <v/>
      </c>
      <c r="V81">
        <f>HYPERLINK("https://klasma.github.io/Logging_2482/klagomål/A 32937-2025 FSC-klagomål.docx", "A 32937-2025")</f>
        <v/>
      </c>
      <c r="W81">
        <f>HYPERLINK("https://klasma.github.io/Logging_2482/klagomålsmail/A 32937-2025 FSC-klagomål mail.docx", "A 32937-2025")</f>
        <v/>
      </c>
      <c r="X81">
        <f>HYPERLINK("https://klasma.github.io/Logging_2482/tillsyn/A 32937-2025 tillsynsbegäran.docx", "A 32937-2025")</f>
        <v/>
      </c>
      <c r="Y81">
        <f>HYPERLINK("https://klasma.github.io/Logging_2482/tillsynsmail/A 32937-2025 tillsynsbegäran mail.docx", "A 32937-2025")</f>
        <v/>
      </c>
      <c r="Z81">
        <f>HYPERLINK("https://klasma.github.io/Logging_2482/fåglar/A 32937-2025 prioriterade fågelarter.docx", "A 32937-2025")</f>
        <v/>
      </c>
    </row>
    <row r="82" ht="15" customHeight="1">
      <c r="A82" t="inlineStr">
        <is>
          <t>A 35159-2025</t>
        </is>
      </c>
      <c r="B82" s="1" t="n">
        <v>45852</v>
      </c>
      <c r="C82" s="1" t="n">
        <v>46078</v>
      </c>
      <c r="D82" t="inlineStr">
        <is>
          <t>VÄSTERBOTTENS LÄN</t>
        </is>
      </c>
      <c r="E82" t="inlineStr">
        <is>
          <t>SKELLEFTEÅ</t>
        </is>
      </c>
      <c r="G82" t="n">
        <v>3.3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Talltita
Postia balsamina</t>
        </is>
      </c>
      <c r="S82">
        <f>HYPERLINK("https://klasma.github.io/Logging_2482/artfynd/A 35159-2025 artfynd.xlsx", "A 35159-2025")</f>
        <v/>
      </c>
      <c r="T82">
        <f>HYPERLINK("https://klasma.github.io/Logging_2482/kartor/A 35159-2025 karta.png", "A 35159-2025")</f>
        <v/>
      </c>
      <c r="V82">
        <f>HYPERLINK("https://klasma.github.io/Logging_2482/klagomål/A 35159-2025 FSC-klagomål.docx", "A 35159-2025")</f>
        <v/>
      </c>
      <c r="W82">
        <f>HYPERLINK("https://klasma.github.io/Logging_2482/klagomålsmail/A 35159-2025 FSC-klagomål mail.docx", "A 35159-2025")</f>
        <v/>
      </c>
      <c r="X82">
        <f>HYPERLINK("https://klasma.github.io/Logging_2482/tillsyn/A 35159-2025 tillsynsbegäran.docx", "A 35159-2025")</f>
        <v/>
      </c>
      <c r="Y82">
        <f>HYPERLINK("https://klasma.github.io/Logging_2482/tillsynsmail/A 35159-2025 tillsynsbegäran mail.docx", "A 35159-2025")</f>
        <v/>
      </c>
      <c r="Z82">
        <f>HYPERLINK("https://klasma.github.io/Logging_2482/fåglar/A 35159-2025 prioriterade fågelarter.docx", "A 35159-2025")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46078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56435-2023</t>
        </is>
      </c>
      <c r="B84" s="1" t="n">
        <v>45243</v>
      </c>
      <c r="C84" s="1" t="n">
        <v>46078</v>
      </c>
      <c r="D84" t="inlineStr">
        <is>
          <t>VÄSTERBOTTENS LÄN</t>
        </is>
      </c>
      <c r="E84" t="inlineStr">
        <is>
          <t>SKELLEFTEÅ</t>
        </is>
      </c>
      <c r="G84" t="n">
        <v>4.1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Ullticka
Violettgrå tagellav</t>
        </is>
      </c>
      <c r="S84">
        <f>HYPERLINK("https://klasma.github.io/Logging_2482/artfynd/A 56435-2023 artfynd.xlsx", "A 56435-2023")</f>
        <v/>
      </c>
      <c r="T84">
        <f>HYPERLINK("https://klasma.github.io/Logging_2482/kartor/A 56435-2023 karta.png", "A 56435-2023")</f>
        <v/>
      </c>
      <c r="V84">
        <f>HYPERLINK("https://klasma.github.io/Logging_2482/klagomål/A 56435-2023 FSC-klagomål.docx", "A 56435-2023")</f>
        <v/>
      </c>
      <c r="W84">
        <f>HYPERLINK("https://klasma.github.io/Logging_2482/klagomålsmail/A 56435-2023 FSC-klagomål mail.docx", "A 56435-2023")</f>
        <v/>
      </c>
      <c r="X84">
        <f>HYPERLINK("https://klasma.github.io/Logging_2482/tillsyn/A 56435-2023 tillsynsbegäran.docx", "A 56435-2023")</f>
        <v/>
      </c>
      <c r="Y84">
        <f>HYPERLINK("https://klasma.github.io/Logging_2482/tillsynsmail/A 56435-2023 tillsynsbegäran mail.docx", "A 56435-2023")</f>
        <v/>
      </c>
    </row>
    <row r="85" ht="15" customHeight="1">
      <c r="A85" t="inlineStr">
        <is>
          <t>A 38401-2025</t>
        </is>
      </c>
      <c r="B85" s="1" t="n">
        <v>45883.58827546296</v>
      </c>
      <c r="C85" s="1" t="n">
        <v>46078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9.5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Ullticka
Violettgrå tagellav
Ögonpyrola</t>
        </is>
      </c>
      <c r="S85">
        <f>HYPERLINK("https://klasma.github.io/Logging_2482/artfynd/A 38401-2025 artfynd.xlsx", "A 38401-2025")</f>
        <v/>
      </c>
      <c r="T85">
        <f>HYPERLINK("https://klasma.github.io/Logging_2482/kartor/A 38401-2025 karta.png", "A 38401-2025")</f>
        <v/>
      </c>
      <c r="V85">
        <f>HYPERLINK("https://klasma.github.io/Logging_2482/klagomål/A 38401-2025 FSC-klagomål.docx", "A 38401-2025")</f>
        <v/>
      </c>
      <c r="W85">
        <f>HYPERLINK("https://klasma.github.io/Logging_2482/klagomålsmail/A 38401-2025 FSC-klagomål mail.docx", "A 38401-2025")</f>
        <v/>
      </c>
      <c r="X85">
        <f>HYPERLINK("https://klasma.github.io/Logging_2482/tillsyn/A 38401-2025 tillsynsbegäran.docx", "A 38401-2025")</f>
        <v/>
      </c>
      <c r="Y85">
        <f>HYPERLINK("https://klasma.github.io/Logging_2482/tillsynsmail/A 38401-2025 tillsynsbegäran mail.docx", "A 38401-2025")</f>
        <v/>
      </c>
    </row>
    <row r="86" ht="15" customHeight="1">
      <c r="A86" t="inlineStr">
        <is>
          <t>A 55024-2025</t>
        </is>
      </c>
      <c r="B86" s="1" t="n">
        <v>45967.63331018519</v>
      </c>
      <c r="C86" s="1" t="n">
        <v>46078</v>
      </c>
      <c r="D86" t="inlineStr">
        <is>
          <t>VÄSTERBOTTENS LÄN</t>
        </is>
      </c>
      <c r="E86" t="inlineStr">
        <is>
          <t>SKELLEFTEÅ</t>
        </is>
      </c>
      <c r="G86" t="n">
        <v>0.9</v>
      </c>
      <c r="H86" t="n">
        <v>3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Plattlummer
Mattlummer
Revlummer</t>
        </is>
      </c>
      <c r="S86">
        <f>HYPERLINK("https://klasma.github.io/Logging_2482/artfynd/A 55024-2025 artfynd.xlsx", "A 55024-2025")</f>
        <v/>
      </c>
      <c r="T86">
        <f>HYPERLINK("https://klasma.github.io/Logging_2482/kartor/A 55024-2025 karta.png", "A 55024-2025")</f>
        <v/>
      </c>
      <c r="V86">
        <f>HYPERLINK("https://klasma.github.io/Logging_2482/klagomål/A 55024-2025 FSC-klagomål.docx", "A 55024-2025")</f>
        <v/>
      </c>
      <c r="W86">
        <f>HYPERLINK("https://klasma.github.io/Logging_2482/klagomålsmail/A 55024-2025 FSC-klagomål mail.docx", "A 55024-2025")</f>
        <v/>
      </c>
      <c r="X86">
        <f>HYPERLINK("https://klasma.github.io/Logging_2482/tillsyn/A 55024-2025 tillsynsbegäran.docx", "A 55024-2025")</f>
        <v/>
      </c>
      <c r="Y86">
        <f>HYPERLINK("https://klasma.github.io/Logging_2482/tillsynsmail/A 55024-2025 tillsynsbegäran mail.docx", "A 55024-2025")</f>
        <v/>
      </c>
    </row>
    <row r="87" ht="15" customHeight="1">
      <c r="A87" t="inlineStr">
        <is>
          <t>A 62595-2023</t>
        </is>
      </c>
      <c r="B87" s="1" t="n">
        <v>45267</v>
      </c>
      <c r="C87" s="1" t="n">
        <v>46078</v>
      </c>
      <c r="D87" t="inlineStr">
        <is>
          <t>VÄSTERBOTTENS LÄN</t>
        </is>
      </c>
      <c r="E87" t="inlineStr">
        <is>
          <t>SKELLEFTEÅ</t>
        </is>
      </c>
      <c r="G87" t="n">
        <v>4.6</v>
      </c>
      <c r="H87" t="n">
        <v>2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Spillkråka
Vedticka
Fläcknycklar</t>
        </is>
      </c>
      <c r="S87">
        <f>HYPERLINK("https://klasma.github.io/Logging_2482/artfynd/A 62595-2023 artfynd.xlsx", "A 62595-2023")</f>
        <v/>
      </c>
      <c r="T87">
        <f>HYPERLINK("https://klasma.github.io/Logging_2482/kartor/A 62595-2023 karta.png", "A 62595-2023")</f>
        <v/>
      </c>
      <c r="V87">
        <f>HYPERLINK("https://klasma.github.io/Logging_2482/klagomål/A 62595-2023 FSC-klagomål.docx", "A 62595-2023")</f>
        <v/>
      </c>
      <c r="W87">
        <f>HYPERLINK("https://klasma.github.io/Logging_2482/klagomålsmail/A 62595-2023 FSC-klagomål mail.docx", "A 62595-2023")</f>
        <v/>
      </c>
      <c r="X87">
        <f>HYPERLINK("https://klasma.github.io/Logging_2482/tillsyn/A 62595-2023 tillsynsbegäran.docx", "A 62595-2023")</f>
        <v/>
      </c>
      <c r="Y87">
        <f>HYPERLINK("https://klasma.github.io/Logging_2482/tillsynsmail/A 62595-2023 tillsynsbegäran mail.docx", "A 62595-2023")</f>
        <v/>
      </c>
      <c r="Z87">
        <f>HYPERLINK("https://klasma.github.io/Logging_2482/fåglar/A 62595-2023 prioriterade fågelarter.docx", "A 62595-2023")</f>
        <v/>
      </c>
    </row>
    <row r="88" ht="15" customHeight="1">
      <c r="A88" t="inlineStr">
        <is>
          <t>A 57388-2025</t>
        </is>
      </c>
      <c r="B88" s="1" t="n">
        <v>45980.41665509259</v>
      </c>
      <c r="C88" s="1" t="n">
        <v>46078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6.6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Gammelgransskål
Granticka
Vedticka</t>
        </is>
      </c>
      <c r="S88">
        <f>HYPERLINK("https://klasma.github.io/Logging_2482/artfynd/A 57388-2025 artfynd.xlsx", "A 57388-2025")</f>
        <v/>
      </c>
      <c r="T88">
        <f>HYPERLINK("https://klasma.github.io/Logging_2482/kartor/A 57388-2025 karta.png", "A 57388-2025")</f>
        <v/>
      </c>
      <c r="V88">
        <f>HYPERLINK("https://klasma.github.io/Logging_2482/klagomål/A 57388-2025 FSC-klagomål.docx", "A 57388-2025")</f>
        <v/>
      </c>
      <c r="W88">
        <f>HYPERLINK("https://klasma.github.io/Logging_2482/klagomålsmail/A 57388-2025 FSC-klagomål mail.docx", "A 57388-2025")</f>
        <v/>
      </c>
      <c r="X88">
        <f>HYPERLINK("https://klasma.github.io/Logging_2482/tillsyn/A 57388-2025 tillsynsbegäran.docx", "A 57388-2025")</f>
        <v/>
      </c>
      <c r="Y88">
        <f>HYPERLINK("https://klasma.github.io/Logging_2482/tillsynsmail/A 57388-2025 tillsynsbegäran mail.docx", "A 57388-2025")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46078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40987-2022</t>
        </is>
      </c>
      <c r="B90" s="1" t="n">
        <v>44823</v>
      </c>
      <c r="C90" s="1" t="n">
        <v>46078</v>
      </c>
      <c r="D90" t="inlineStr">
        <is>
          <t>VÄSTERBOTTENS LÄN</t>
        </is>
      </c>
      <c r="E90" t="inlineStr">
        <is>
          <t>SKELLEFTEÅ</t>
        </is>
      </c>
      <c r="G90" t="n">
        <v>7.1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Blå taggsvamp
Bårdlav
Norrlandslav</t>
        </is>
      </c>
      <c r="S90">
        <f>HYPERLINK("https://klasma.github.io/Logging_2482/artfynd/A 40987-2022 artfynd.xlsx", "A 40987-2022")</f>
        <v/>
      </c>
      <c r="T90">
        <f>HYPERLINK("https://klasma.github.io/Logging_2482/kartor/A 40987-2022 karta.png", "A 40987-2022")</f>
        <v/>
      </c>
      <c r="V90">
        <f>HYPERLINK("https://klasma.github.io/Logging_2482/klagomål/A 40987-2022 FSC-klagomål.docx", "A 40987-2022")</f>
        <v/>
      </c>
      <c r="W90">
        <f>HYPERLINK("https://klasma.github.io/Logging_2482/klagomålsmail/A 40987-2022 FSC-klagomål mail.docx", "A 40987-2022")</f>
        <v/>
      </c>
      <c r="X90">
        <f>HYPERLINK("https://klasma.github.io/Logging_2482/tillsyn/A 40987-2022 tillsynsbegäran.docx", "A 40987-2022")</f>
        <v/>
      </c>
      <c r="Y90">
        <f>HYPERLINK("https://klasma.github.io/Logging_2482/tillsynsmail/A 40987-2022 tillsynsbegäran mail.docx", "A 40987-2022")</f>
        <v/>
      </c>
    </row>
    <row r="91" ht="15" customHeight="1">
      <c r="A91" t="inlineStr">
        <is>
          <t>A 60564-2025</t>
        </is>
      </c>
      <c r="B91" s="1" t="n">
        <v>45994</v>
      </c>
      <c r="C91" s="1" t="n">
        <v>46078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Kommuner</t>
        </is>
      </c>
      <c r="G91" t="n">
        <v>4.7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Järpe
Spillkråka
Vanlig padda</t>
        </is>
      </c>
      <c r="S91">
        <f>HYPERLINK("https://klasma.github.io/Logging_2482/artfynd/A 60564-2025 artfynd.xlsx", "A 60564-2025")</f>
        <v/>
      </c>
      <c r="T91">
        <f>HYPERLINK("https://klasma.github.io/Logging_2482/kartor/A 60564-2025 karta.png", "A 60564-2025")</f>
        <v/>
      </c>
      <c r="V91">
        <f>HYPERLINK("https://klasma.github.io/Logging_2482/klagomål/A 60564-2025 FSC-klagomål.docx", "A 60564-2025")</f>
        <v/>
      </c>
      <c r="W91">
        <f>HYPERLINK("https://klasma.github.io/Logging_2482/klagomålsmail/A 60564-2025 FSC-klagomål mail.docx", "A 60564-2025")</f>
        <v/>
      </c>
      <c r="X91">
        <f>HYPERLINK("https://klasma.github.io/Logging_2482/tillsyn/A 60564-2025 tillsynsbegäran.docx", "A 60564-2025")</f>
        <v/>
      </c>
      <c r="Y91">
        <f>HYPERLINK("https://klasma.github.io/Logging_2482/tillsynsmail/A 60564-2025 tillsynsbegäran mail.docx", "A 60564-2025")</f>
        <v/>
      </c>
      <c r="Z91">
        <f>HYPERLINK("https://klasma.github.io/Logging_2482/fåglar/A 60564-2025 prioriterade fågelarter.docx", "A 60564-2025")</f>
        <v/>
      </c>
    </row>
    <row r="92" ht="15" customHeight="1">
      <c r="A92" t="inlineStr">
        <is>
          <t>A 61101-2025</t>
        </is>
      </c>
      <c r="B92" s="1" t="n">
        <v>46000.44283564815</v>
      </c>
      <c r="C92" s="1" t="n">
        <v>46078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13.7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Ullticka
Stuplav</t>
        </is>
      </c>
      <c r="S92">
        <f>HYPERLINK("https://klasma.github.io/Logging_2482/artfynd/A 61101-2025 artfynd.xlsx", "A 61101-2025")</f>
        <v/>
      </c>
      <c r="T92">
        <f>HYPERLINK("https://klasma.github.io/Logging_2482/kartor/A 61101-2025 karta.png", "A 61101-2025")</f>
        <v/>
      </c>
      <c r="V92">
        <f>HYPERLINK("https://klasma.github.io/Logging_2482/klagomål/A 61101-2025 FSC-klagomål.docx", "A 61101-2025")</f>
        <v/>
      </c>
      <c r="W92">
        <f>HYPERLINK("https://klasma.github.io/Logging_2482/klagomålsmail/A 61101-2025 FSC-klagomål mail.docx", "A 61101-2025")</f>
        <v/>
      </c>
      <c r="X92">
        <f>HYPERLINK("https://klasma.github.io/Logging_2482/tillsyn/A 61101-2025 tillsynsbegäran.docx", "A 61101-2025")</f>
        <v/>
      </c>
      <c r="Y92">
        <f>HYPERLINK("https://klasma.github.io/Logging_2482/tillsynsmail/A 61101-2025 tillsynsbegäran mail.docx", "A 61101-2025")</f>
        <v/>
      </c>
    </row>
    <row r="93" ht="15" customHeight="1">
      <c r="A93" t="inlineStr">
        <is>
          <t>A 5957-2026</t>
        </is>
      </c>
      <c r="B93" s="1" t="n">
        <v>46052.50188657407</v>
      </c>
      <c r="C93" s="1" t="n">
        <v>46078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Svart taggsvamp
Äggvaxskivling</t>
        </is>
      </c>
      <c r="S93">
        <f>HYPERLINK("https://klasma.github.io/Logging_2482/artfynd/A 5957-2026 artfynd.xlsx", "A 5957-2026")</f>
        <v/>
      </c>
      <c r="T93">
        <f>HYPERLINK("https://klasma.github.io/Logging_2482/kartor/A 5957-2026 karta.png", "A 5957-2026")</f>
        <v/>
      </c>
      <c r="U93">
        <f>HYPERLINK("https://klasma.github.io/Logging_2482/knärot/A 5957-2026 karta knärot.png", "A 5957-2026")</f>
        <v/>
      </c>
      <c r="V93">
        <f>HYPERLINK("https://klasma.github.io/Logging_2482/klagomål/A 5957-2026 FSC-klagomål.docx", "A 5957-2026")</f>
        <v/>
      </c>
      <c r="W93">
        <f>HYPERLINK("https://klasma.github.io/Logging_2482/klagomålsmail/A 5957-2026 FSC-klagomål mail.docx", "A 5957-2026")</f>
        <v/>
      </c>
      <c r="X93">
        <f>HYPERLINK("https://klasma.github.io/Logging_2482/tillsyn/A 5957-2026 tillsynsbegäran.docx", "A 5957-2026")</f>
        <v/>
      </c>
      <c r="Y93">
        <f>HYPERLINK("https://klasma.github.io/Logging_2482/tillsynsmail/A 5957-2026 tillsynsbegäran mail.docx", "A 5957-2026")</f>
        <v/>
      </c>
    </row>
    <row r="94" ht="15" customHeight="1">
      <c r="A94" t="inlineStr">
        <is>
          <t>A 41099-2023</t>
        </is>
      </c>
      <c r="B94" s="1" t="n">
        <v>45173.68905092592</v>
      </c>
      <c r="C94" s="1" t="n">
        <v>46078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1762-2026</t>
        </is>
      </c>
      <c r="B95" s="1" t="n">
        <v>46034.67745370371</v>
      </c>
      <c r="C95" s="1" t="n">
        <v>46078</v>
      </c>
      <c r="D95" t="inlineStr">
        <is>
          <t>VÄSTERBOTTENS LÄN</t>
        </is>
      </c>
      <c r="E95" t="inlineStr">
        <is>
          <t>SKELLEFTEÅ</t>
        </is>
      </c>
      <c r="G95" t="n">
        <v>9.9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Motaggsvamp
Fläcknycklar
Revlummer</t>
        </is>
      </c>
      <c r="S95">
        <f>HYPERLINK("https://klasma.github.io/Logging_2482/artfynd/A 1762-2026 artfynd.xlsx", "A 1762-2026")</f>
        <v/>
      </c>
      <c r="T95">
        <f>HYPERLINK("https://klasma.github.io/Logging_2482/kartor/A 1762-2026 karta.png", "A 1762-2026")</f>
        <v/>
      </c>
      <c r="V95">
        <f>HYPERLINK("https://klasma.github.io/Logging_2482/klagomål/A 1762-2026 FSC-klagomål.docx", "A 1762-2026")</f>
        <v/>
      </c>
      <c r="W95">
        <f>HYPERLINK("https://klasma.github.io/Logging_2482/klagomålsmail/A 1762-2026 FSC-klagomål mail.docx", "A 1762-2026")</f>
        <v/>
      </c>
      <c r="X95">
        <f>HYPERLINK("https://klasma.github.io/Logging_2482/tillsyn/A 1762-2026 tillsynsbegäran.docx", "A 1762-2026")</f>
        <v/>
      </c>
      <c r="Y95">
        <f>HYPERLINK("https://klasma.github.io/Logging_2482/tillsynsmail/A 1762-2026 tillsynsbegäran mail.docx", "A 1762-2026")</f>
        <v/>
      </c>
    </row>
    <row r="96" ht="15" customHeight="1">
      <c r="A96" t="inlineStr">
        <is>
          <t>A 29725-2021</t>
        </is>
      </c>
      <c r="B96" s="1" t="n">
        <v>44362.44362268518</v>
      </c>
      <c r="C96" s="1" t="n">
        <v>46078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10.7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Orre</t>
        </is>
      </c>
      <c r="S96">
        <f>HYPERLINK("https://klasma.github.io/Logging_2482/artfynd/A 29725-2021 artfynd.xlsx", "A 29725-2021")</f>
        <v/>
      </c>
      <c r="T96">
        <f>HYPERLINK("https://klasma.github.io/Logging_2482/kartor/A 29725-2021 karta.png", "A 29725-2021")</f>
        <v/>
      </c>
      <c r="V96">
        <f>HYPERLINK("https://klasma.github.io/Logging_2482/klagomål/A 29725-2021 FSC-klagomål.docx", "A 29725-2021")</f>
        <v/>
      </c>
      <c r="W96">
        <f>HYPERLINK("https://klasma.github.io/Logging_2482/klagomålsmail/A 29725-2021 FSC-klagomål mail.docx", "A 29725-2021")</f>
        <v/>
      </c>
      <c r="X96">
        <f>HYPERLINK("https://klasma.github.io/Logging_2482/tillsyn/A 29725-2021 tillsynsbegäran.docx", "A 29725-2021")</f>
        <v/>
      </c>
      <c r="Y96">
        <f>HYPERLINK("https://klasma.github.io/Logging_2482/tillsynsmail/A 29725-2021 tillsynsbegäran mail.docx", "A 29725-2021")</f>
        <v/>
      </c>
      <c r="Z96">
        <f>HYPERLINK("https://klasma.github.io/Logging_2482/fåglar/A 29725-2021 prioriterade fågelarter.docx", "A 29725-2021")</f>
        <v/>
      </c>
    </row>
    <row r="97" ht="15" customHeight="1">
      <c r="A97" t="inlineStr">
        <is>
          <t>A 41412-2022</t>
        </is>
      </c>
      <c r="B97" s="1" t="n">
        <v>44826</v>
      </c>
      <c r="C97" s="1" t="n">
        <v>46078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Gränsticka
Ullticka
Vedticka</t>
        </is>
      </c>
      <c r="S97">
        <f>HYPERLINK("https://klasma.github.io/Logging_2482/artfynd/A 41412-2022 artfynd.xlsx", "A 41412-2022")</f>
        <v/>
      </c>
      <c r="T97">
        <f>HYPERLINK("https://klasma.github.io/Logging_2482/kartor/A 41412-2022 karta.png", "A 41412-2022")</f>
        <v/>
      </c>
      <c r="V97">
        <f>HYPERLINK("https://klasma.github.io/Logging_2482/klagomål/A 41412-2022 FSC-klagomål.docx", "A 41412-2022")</f>
        <v/>
      </c>
      <c r="W97">
        <f>HYPERLINK("https://klasma.github.io/Logging_2482/klagomålsmail/A 41412-2022 FSC-klagomål mail.docx", "A 41412-2022")</f>
        <v/>
      </c>
      <c r="X97">
        <f>HYPERLINK("https://klasma.github.io/Logging_2482/tillsyn/A 41412-2022 tillsynsbegäran.docx", "A 41412-2022")</f>
        <v/>
      </c>
      <c r="Y97">
        <f>HYPERLINK("https://klasma.github.io/Logging_2482/tillsynsmail/A 41412-2022 tillsynsbegäran mail.docx", "A 41412-2022")</f>
        <v/>
      </c>
    </row>
    <row r="98" ht="15" customHeight="1">
      <c r="A98" t="inlineStr">
        <is>
          <t>A 42687-2022</t>
        </is>
      </c>
      <c r="B98" s="1" t="n">
        <v>44831</v>
      </c>
      <c r="C98" s="1" t="n">
        <v>46078</v>
      </c>
      <c r="D98" t="inlineStr">
        <is>
          <t>VÄSTERBOTTENS LÄN</t>
        </is>
      </c>
      <c r="E98" t="inlineStr">
        <is>
          <t>SKELLEFTEÅ</t>
        </is>
      </c>
      <c r="G98" t="n">
        <v>2.7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Stjärntagging
Ullticka</t>
        </is>
      </c>
      <c r="S98">
        <f>HYPERLINK("https://klasma.github.io/Logging_2482/artfynd/A 42687-2022 artfynd.xlsx", "A 42687-2022")</f>
        <v/>
      </c>
      <c r="T98">
        <f>HYPERLINK("https://klasma.github.io/Logging_2482/kartor/A 42687-2022 karta.png", "A 42687-2022")</f>
        <v/>
      </c>
      <c r="V98">
        <f>HYPERLINK("https://klasma.github.io/Logging_2482/klagomål/A 42687-2022 FSC-klagomål.docx", "A 42687-2022")</f>
        <v/>
      </c>
      <c r="W98">
        <f>HYPERLINK("https://klasma.github.io/Logging_2482/klagomålsmail/A 42687-2022 FSC-klagomål mail.docx", "A 42687-2022")</f>
        <v/>
      </c>
      <c r="X98">
        <f>HYPERLINK("https://klasma.github.io/Logging_2482/tillsyn/A 42687-2022 tillsynsbegäran.docx", "A 42687-2022")</f>
        <v/>
      </c>
      <c r="Y98">
        <f>HYPERLINK("https://klasma.github.io/Logging_2482/tillsynsmail/A 42687-2022 tillsynsbegäran mail.docx", "A 42687-2022")</f>
        <v/>
      </c>
    </row>
    <row r="99" ht="15" customHeight="1">
      <c r="A99" t="inlineStr">
        <is>
          <t>A 33858-2024</t>
        </is>
      </c>
      <c r="B99" s="1" t="n">
        <v>45520</v>
      </c>
      <c r="C99" s="1" t="n">
        <v>46078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1.5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Gammelgransskål
Garnlav
Dropptaggsvamp</t>
        </is>
      </c>
      <c r="S99">
        <f>HYPERLINK("https://klasma.github.io/Logging_2482/artfynd/A 33858-2024 artfynd.xlsx", "A 33858-2024")</f>
        <v/>
      </c>
      <c r="T99">
        <f>HYPERLINK("https://klasma.github.io/Logging_2482/kartor/A 33858-2024 karta.png", "A 33858-2024")</f>
        <v/>
      </c>
      <c r="V99">
        <f>HYPERLINK("https://klasma.github.io/Logging_2482/klagomål/A 33858-2024 FSC-klagomål.docx", "A 33858-2024")</f>
        <v/>
      </c>
      <c r="W99">
        <f>HYPERLINK("https://klasma.github.io/Logging_2482/klagomålsmail/A 33858-2024 FSC-klagomål mail.docx", "A 33858-2024")</f>
        <v/>
      </c>
      <c r="X99">
        <f>HYPERLINK("https://klasma.github.io/Logging_2482/tillsyn/A 33858-2024 tillsynsbegäran.docx", "A 33858-2024")</f>
        <v/>
      </c>
      <c r="Y99">
        <f>HYPERLINK("https://klasma.github.io/Logging_2482/tillsynsmail/A 33858-2024 tillsynsbegäran mail.docx", "A 33858-2024")</f>
        <v/>
      </c>
    </row>
    <row r="100" ht="15" customHeight="1">
      <c r="A100" t="inlineStr">
        <is>
          <t>A 20379-2025</t>
        </is>
      </c>
      <c r="B100" s="1" t="n">
        <v>45775.42733796296</v>
      </c>
      <c r="C100" s="1" t="n">
        <v>46078</v>
      </c>
      <c r="D100" t="inlineStr">
        <is>
          <t>VÄSTERBOTTENS LÄN</t>
        </is>
      </c>
      <c r="E100" t="inlineStr">
        <is>
          <t>SKELLEFTEÅ</t>
        </is>
      </c>
      <c r="G100" t="n">
        <v>3.3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Granticka
Orange taggsvamp
Violettgrå tagellav</t>
        </is>
      </c>
      <c r="S100">
        <f>HYPERLINK("https://klasma.github.io/Logging_2482/artfynd/A 20379-2025 artfynd.xlsx", "A 20379-2025")</f>
        <v/>
      </c>
      <c r="T100">
        <f>HYPERLINK("https://klasma.github.io/Logging_2482/kartor/A 20379-2025 karta.png", "A 20379-2025")</f>
        <v/>
      </c>
      <c r="V100">
        <f>HYPERLINK("https://klasma.github.io/Logging_2482/klagomål/A 20379-2025 FSC-klagomål.docx", "A 20379-2025")</f>
        <v/>
      </c>
      <c r="W100">
        <f>HYPERLINK("https://klasma.github.io/Logging_2482/klagomålsmail/A 20379-2025 FSC-klagomål mail.docx", "A 20379-2025")</f>
        <v/>
      </c>
      <c r="X100">
        <f>HYPERLINK("https://klasma.github.io/Logging_2482/tillsyn/A 20379-2025 tillsynsbegäran.docx", "A 20379-2025")</f>
        <v/>
      </c>
      <c r="Y100">
        <f>HYPERLINK("https://klasma.github.io/Logging_2482/tillsynsmail/A 20379-2025 tillsynsbegäran mail.docx", "A 20379-2025")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46078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58701-2023</t>
        </is>
      </c>
      <c r="B102" s="1" t="n">
        <v>45247</v>
      </c>
      <c r="C102" s="1" t="n">
        <v>46078</v>
      </c>
      <c r="D102" t="inlineStr">
        <is>
          <t>VÄSTERBOTTENS LÄN</t>
        </is>
      </c>
      <c r="E102" t="inlineStr">
        <is>
          <t>SKELLEFTEÅ</t>
        </is>
      </c>
      <c r="G102" t="n">
        <v>1.8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Koralltaggsvamp
Talltita</t>
        </is>
      </c>
      <c r="S102">
        <f>HYPERLINK("https://klasma.github.io/Logging_2482/artfynd/A 58701-2023 artfynd.xlsx", "A 58701-2023")</f>
        <v/>
      </c>
      <c r="T102">
        <f>HYPERLINK("https://klasma.github.io/Logging_2482/kartor/A 58701-2023 karta.png", "A 58701-2023")</f>
        <v/>
      </c>
      <c r="V102">
        <f>HYPERLINK("https://klasma.github.io/Logging_2482/klagomål/A 58701-2023 FSC-klagomål.docx", "A 58701-2023")</f>
        <v/>
      </c>
      <c r="W102">
        <f>HYPERLINK("https://klasma.github.io/Logging_2482/klagomålsmail/A 58701-2023 FSC-klagomål mail.docx", "A 58701-2023")</f>
        <v/>
      </c>
      <c r="X102">
        <f>HYPERLINK("https://klasma.github.io/Logging_2482/tillsyn/A 58701-2023 tillsynsbegäran.docx", "A 58701-2023")</f>
        <v/>
      </c>
      <c r="Y102">
        <f>HYPERLINK("https://klasma.github.io/Logging_2482/tillsynsmail/A 58701-2023 tillsynsbegäran mail.docx", "A 58701-2023")</f>
        <v/>
      </c>
      <c r="Z102">
        <f>HYPERLINK("https://klasma.github.io/Logging_2482/fåglar/A 58701-2023 prioriterade fågelarter.docx", "A 58701-2023")</f>
        <v/>
      </c>
    </row>
    <row r="103" ht="15" customHeight="1">
      <c r="A103" t="inlineStr">
        <is>
          <t>A 53422-2024</t>
        </is>
      </c>
      <c r="B103" s="1" t="n">
        <v>45614.51167824074</v>
      </c>
      <c r="C103" s="1" t="n">
        <v>46078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Talltaggsvamp</t>
        </is>
      </c>
      <c r="S103">
        <f>HYPERLINK("https://klasma.github.io/Logging_2482/artfynd/A 53422-2024 artfynd.xlsx", "A 53422-2024")</f>
        <v/>
      </c>
      <c r="T103">
        <f>HYPERLINK("https://klasma.github.io/Logging_2482/kartor/A 53422-2024 karta.png", "A 53422-2024")</f>
        <v/>
      </c>
      <c r="V103">
        <f>HYPERLINK("https://klasma.github.io/Logging_2482/klagomål/A 53422-2024 FSC-klagomål.docx", "A 53422-2024")</f>
        <v/>
      </c>
      <c r="W103">
        <f>HYPERLINK("https://klasma.github.io/Logging_2482/klagomålsmail/A 53422-2024 FSC-klagomål mail.docx", "A 53422-2024")</f>
        <v/>
      </c>
      <c r="X103">
        <f>HYPERLINK("https://klasma.github.io/Logging_2482/tillsyn/A 53422-2024 tillsynsbegäran.docx", "A 53422-2024")</f>
        <v/>
      </c>
      <c r="Y103">
        <f>HYPERLINK("https://klasma.github.io/Logging_2482/tillsynsmail/A 53422-2024 tillsynsbegäran mail.docx", "A 53422-2024")</f>
        <v/>
      </c>
      <c r="Z103">
        <f>HYPERLINK("https://klasma.github.io/Logging_2482/fåglar/A 53422-2024 prioriterade fågelarter.docx", "A 53422-2024")</f>
        <v/>
      </c>
    </row>
    <row r="104" ht="15" customHeight="1">
      <c r="A104" t="inlineStr">
        <is>
          <t>A 55198-2024</t>
        </is>
      </c>
      <c r="B104" s="1" t="n">
        <v>45620</v>
      </c>
      <c r="C104" s="1" t="n">
        <v>46078</v>
      </c>
      <c r="D104" t="inlineStr">
        <is>
          <t>VÄSTERBOTTENS LÄN</t>
        </is>
      </c>
      <c r="E104" t="inlineStr">
        <is>
          <t>SKELLEFTEÅ</t>
        </is>
      </c>
      <c r="G104" t="n">
        <v>1.8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Blanksvart spiklav
Nästlav</t>
        </is>
      </c>
      <c r="S104">
        <f>HYPERLINK("https://klasma.github.io/Logging_2482/artfynd/A 55198-2024 artfynd.xlsx", "A 55198-2024")</f>
        <v/>
      </c>
      <c r="T104">
        <f>HYPERLINK("https://klasma.github.io/Logging_2482/kartor/A 55198-2024 karta.png", "A 55198-2024")</f>
        <v/>
      </c>
      <c r="V104">
        <f>HYPERLINK("https://klasma.github.io/Logging_2482/klagomål/A 55198-2024 FSC-klagomål.docx", "A 55198-2024")</f>
        <v/>
      </c>
      <c r="W104">
        <f>HYPERLINK("https://klasma.github.io/Logging_2482/klagomålsmail/A 55198-2024 FSC-klagomål mail.docx", "A 55198-2024")</f>
        <v/>
      </c>
      <c r="X104">
        <f>HYPERLINK("https://klasma.github.io/Logging_2482/tillsyn/A 55198-2024 tillsynsbegäran.docx", "A 55198-2024")</f>
        <v/>
      </c>
      <c r="Y104">
        <f>HYPERLINK("https://klasma.github.io/Logging_2482/tillsynsmail/A 55198-2024 tillsynsbegäran mail.docx", "A 55198-2024")</f>
        <v/>
      </c>
    </row>
    <row r="105" ht="15" customHeight="1">
      <c r="A105" t="inlineStr">
        <is>
          <t>A 43250-2023</t>
        </is>
      </c>
      <c r="B105" s="1" t="n">
        <v>45180</v>
      </c>
      <c r="C105" s="1" t="n">
        <v>46078</v>
      </c>
      <c r="D105" t="inlineStr">
        <is>
          <t>VÄSTERBOTTENS LÄN</t>
        </is>
      </c>
      <c r="E105" t="inlineStr">
        <is>
          <t>SKELLEFTEÅ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Gammelgransskål</t>
        </is>
      </c>
      <c r="S105">
        <f>HYPERLINK("https://klasma.github.io/Logging_2482/artfynd/A 43250-2023 artfynd.xlsx", "A 43250-2023")</f>
        <v/>
      </c>
      <c r="T105">
        <f>HYPERLINK("https://klasma.github.io/Logging_2482/kartor/A 43250-2023 karta.png", "A 43250-2023")</f>
        <v/>
      </c>
      <c r="U105">
        <f>HYPERLINK("https://klasma.github.io/Logging_2482/knärot/A 43250-2023 karta knärot.png", "A 43250-2023")</f>
        <v/>
      </c>
      <c r="V105">
        <f>HYPERLINK("https://klasma.github.io/Logging_2482/klagomål/A 43250-2023 FSC-klagomål.docx", "A 43250-2023")</f>
        <v/>
      </c>
      <c r="W105">
        <f>HYPERLINK("https://klasma.github.io/Logging_2482/klagomålsmail/A 43250-2023 FSC-klagomål mail.docx", "A 43250-2023")</f>
        <v/>
      </c>
      <c r="X105">
        <f>HYPERLINK("https://klasma.github.io/Logging_2482/tillsyn/A 43250-2023 tillsynsbegäran.docx", "A 43250-2023")</f>
        <v/>
      </c>
      <c r="Y105">
        <f>HYPERLINK("https://klasma.github.io/Logging_2482/tillsynsmail/A 43250-2023 tillsynsbegäran mail.docx", "A 43250-2023")</f>
        <v/>
      </c>
    </row>
    <row r="106" ht="15" customHeight="1">
      <c r="A106" t="inlineStr">
        <is>
          <t>A 43743-2024</t>
        </is>
      </c>
      <c r="B106" s="1" t="n">
        <v>45569.66039351852</v>
      </c>
      <c r="C106" s="1" t="n">
        <v>46078</v>
      </c>
      <c r="D106" t="inlineStr">
        <is>
          <t>VÄSTERBOTTENS LÄN</t>
        </is>
      </c>
      <c r="E106" t="inlineStr">
        <is>
          <t>SKELLEFTEÅ</t>
        </is>
      </c>
      <c r="G106" t="n">
        <v>2.6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Stuplav
Fläcknycklar</t>
        </is>
      </c>
      <c r="S106">
        <f>HYPERLINK("https://klasma.github.io/Logging_2482/artfynd/A 43743-2024 artfynd.xlsx", "A 43743-2024")</f>
        <v/>
      </c>
      <c r="T106">
        <f>HYPERLINK("https://klasma.github.io/Logging_2482/kartor/A 43743-2024 karta.png", "A 43743-2024")</f>
        <v/>
      </c>
      <c r="V106">
        <f>HYPERLINK("https://klasma.github.io/Logging_2482/klagomål/A 43743-2024 FSC-klagomål.docx", "A 43743-2024")</f>
        <v/>
      </c>
      <c r="W106">
        <f>HYPERLINK("https://klasma.github.io/Logging_2482/klagomålsmail/A 43743-2024 FSC-klagomål mail.docx", "A 43743-2024")</f>
        <v/>
      </c>
      <c r="X106">
        <f>HYPERLINK("https://klasma.github.io/Logging_2482/tillsyn/A 43743-2024 tillsynsbegäran.docx", "A 43743-2024")</f>
        <v/>
      </c>
      <c r="Y106">
        <f>HYPERLINK("https://klasma.github.io/Logging_2482/tillsynsmail/A 43743-2024 tillsynsbegäran mail.docx", "A 43743-2024")</f>
        <v/>
      </c>
    </row>
    <row r="107" ht="15" customHeight="1">
      <c r="A107" t="inlineStr">
        <is>
          <t>A 5110-2025</t>
        </is>
      </c>
      <c r="B107" s="1" t="n">
        <v>45691</v>
      </c>
      <c r="C107" s="1" t="n">
        <v>46078</v>
      </c>
      <c r="D107" t="inlineStr">
        <is>
          <t>VÄSTERBOTTENS LÄN</t>
        </is>
      </c>
      <c r="E107" t="inlineStr">
        <is>
          <t>SKELLEFTEÅ</t>
        </is>
      </c>
      <c r="G107" t="n">
        <v>3.5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Gammelgransskål
Harticka</t>
        </is>
      </c>
      <c r="S107">
        <f>HYPERLINK("https://klasma.github.io/Logging_2482/artfynd/A 5110-2025 artfynd.xlsx", "A 5110-2025")</f>
        <v/>
      </c>
      <c r="T107">
        <f>HYPERLINK("https://klasma.github.io/Logging_2482/kartor/A 5110-2025 karta.png", "A 5110-2025")</f>
        <v/>
      </c>
      <c r="V107">
        <f>HYPERLINK("https://klasma.github.io/Logging_2482/klagomål/A 5110-2025 FSC-klagomål.docx", "A 5110-2025")</f>
        <v/>
      </c>
      <c r="W107">
        <f>HYPERLINK("https://klasma.github.io/Logging_2482/klagomålsmail/A 5110-2025 FSC-klagomål mail.docx", "A 5110-2025")</f>
        <v/>
      </c>
      <c r="X107">
        <f>HYPERLINK("https://klasma.github.io/Logging_2482/tillsyn/A 5110-2025 tillsynsbegäran.docx", "A 5110-2025")</f>
        <v/>
      </c>
      <c r="Y107">
        <f>HYPERLINK("https://klasma.github.io/Logging_2482/tillsynsmail/A 5110-2025 tillsynsbegäran mail.docx", "A 5110-2025")</f>
        <v/>
      </c>
    </row>
    <row r="108" ht="15" customHeight="1">
      <c r="A108" t="inlineStr">
        <is>
          <t>A 23329-2025</t>
        </is>
      </c>
      <c r="B108" s="1" t="n">
        <v>45791.64069444445</v>
      </c>
      <c r="C108" s="1" t="n">
        <v>46078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3.3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HYPERLINK("https://klasma.github.io/Logging_2482/artfynd/A 23329-2025 artfynd.xlsx", "A 23329-2025")</f>
        <v/>
      </c>
      <c r="T108">
        <f>HYPERLINK("https://klasma.github.io/Logging_2482/kartor/A 23329-2025 karta.png", "A 23329-2025")</f>
        <v/>
      </c>
      <c r="V108">
        <f>HYPERLINK("https://klasma.github.io/Logging_2482/klagomål/A 23329-2025 FSC-klagomål.docx", "A 23329-2025")</f>
        <v/>
      </c>
      <c r="W108">
        <f>HYPERLINK("https://klasma.github.io/Logging_2482/klagomålsmail/A 23329-2025 FSC-klagomål mail.docx", "A 23329-2025")</f>
        <v/>
      </c>
      <c r="X108">
        <f>HYPERLINK("https://klasma.github.io/Logging_2482/tillsyn/A 23329-2025 tillsynsbegäran.docx", "A 23329-2025")</f>
        <v/>
      </c>
      <c r="Y108">
        <f>HYPERLINK("https://klasma.github.io/Logging_2482/tillsynsmail/A 23329-2025 tillsynsbegäran mail.docx", "A 23329-2025")</f>
        <v/>
      </c>
    </row>
    <row r="109" ht="15" customHeight="1">
      <c r="A109" t="inlineStr">
        <is>
          <t>A 14391-2025</t>
        </is>
      </c>
      <c r="B109" s="1" t="n">
        <v>45741.42979166667</v>
      </c>
      <c r="C109" s="1" t="n">
        <v>46078</v>
      </c>
      <c r="D109" t="inlineStr">
        <is>
          <t>VÄSTERBOTTENS LÄN</t>
        </is>
      </c>
      <c r="E109" t="inlineStr">
        <is>
          <t>SKELLEFTEÅ</t>
        </is>
      </c>
      <c r="G109" t="n">
        <v>3.2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Enkelbeckasin
Grönsiska</t>
        </is>
      </c>
      <c r="S109">
        <f>HYPERLINK("https://klasma.github.io/Logging_2482/artfynd/A 14391-2025 artfynd.xlsx", "A 14391-2025")</f>
        <v/>
      </c>
      <c r="T109">
        <f>HYPERLINK("https://klasma.github.io/Logging_2482/kartor/A 14391-2025 karta.png", "A 14391-2025")</f>
        <v/>
      </c>
      <c r="V109">
        <f>HYPERLINK("https://klasma.github.io/Logging_2482/klagomål/A 14391-2025 FSC-klagomål.docx", "A 14391-2025")</f>
        <v/>
      </c>
      <c r="W109">
        <f>HYPERLINK("https://klasma.github.io/Logging_2482/klagomålsmail/A 14391-2025 FSC-klagomål mail.docx", "A 14391-2025")</f>
        <v/>
      </c>
      <c r="X109">
        <f>HYPERLINK("https://klasma.github.io/Logging_2482/tillsyn/A 14391-2025 tillsynsbegäran.docx", "A 14391-2025")</f>
        <v/>
      </c>
      <c r="Y109">
        <f>HYPERLINK("https://klasma.github.io/Logging_2482/tillsynsmail/A 14391-2025 tillsynsbegäran mail.docx", "A 14391-2025")</f>
        <v/>
      </c>
      <c r="Z109">
        <f>HYPERLINK("https://klasma.github.io/Logging_2482/fåglar/A 14391-2025 prioriterade fågelarter.docx", "A 14391-2025")</f>
        <v/>
      </c>
    </row>
    <row r="110" ht="15" customHeight="1">
      <c r="A110" t="inlineStr">
        <is>
          <t>A 57222-2024</t>
        </is>
      </c>
      <c r="B110" s="1" t="n">
        <v>45629.52625</v>
      </c>
      <c r="C110" s="1" t="n">
        <v>46078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3.9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Gammelgransskål</t>
        </is>
      </c>
      <c r="S110">
        <f>HYPERLINK("https://klasma.github.io/Logging_2482/artfynd/A 57222-2024 artfynd.xlsx", "A 57222-2024")</f>
        <v/>
      </c>
      <c r="T110">
        <f>HYPERLINK("https://klasma.github.io/Logging_2482/kartor/A 57222-2024 karta.png", "A 57222-2024")</f>
        <v/>
      </c>
      <c r="U110">
        <f>HYPERLINK("https://klasma.github.io/Logging_2482/knärot/A 57222-2024 karta knärot.png", "A 57222-2024")</f>
        <v/>
      </c>
      <c r="V110">
        <f>HYPERLINK("https://klasma.github.io/Logging_2482/klagomål/A 57222-2024 FSC-klagomål.docx", "A 57222-2024")</f>
        <v/>
      </c>
      <c r="W110">
        <f>HYPERLINK("https://klasma.github.io/Logging_2482/klagomålsmail/A 57222-2024 FSC-klagomål mail.docx", "A 57222-2024")</f>
        <v/>
      </c>
      <c r="X110">
        <f>HYPERLINK("https://klasma.github.io/Logging_2482/tillsyn/A 57222-2024 tillsynsbegäran.docx", "A 57222-2024")</f>
        <v/>
      </c>
      <c r="Y110">
        <f>HYPERLINK("https://klasma.github.io/Logging_2482/tillsynsmail/A 57222-2024 tillsynsbegäran mail.docx", "A 57222-2024")</f>
        <v/>
      </c>
    </row>
    <row r="111" ht="15" customHeight="1">
      <c r="A111" t="inlineStr">
        <is>
          <t>A 42328-2025</t>
        </is>
      </c>
      <c r="B111" s="1" t="n">
        <v>45904</v>
      </c>
      <c r="C111" s="1" t="n">
        <v>46078</v>
      </c>
      <c r="D111" t="inlineStr">
        <is>
          <t>VÄSTERBOTTENS LÄN</t>
        </is>
      </c>
      <c r="E111" t="inlineStr">
        <is>
          <t>SKELLEFTEÅ</t>
        </is>
      </c>
      <c r="G111" t="n">
        <v>7.5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Rödvingetrast
Enkelbeckasin</t>
        </is>
      </c>
      <c r="S111">
        <f>HYPERLINK("https://klasma.github.io/Logging_2482/artfynd/A 42328-2025 artfynd.xlsx", "A 42328-2025")</f>
        <v/>
      </c>
      <c r="T111">
        <f>HYPERLINK("https://klasma.github.io/Logging_2482/kartor/A 42328-2025 karta.png", "A 42328-2025")</f>
        <v/>
      </c>
      <c r="V111">
        <f>HYPERLINK("https://klasma.github.io/Logging_2482/klagomål/A 42328-2025 FSC-klagomål.docx", "A 42328-2025")</f>
        <v/>
      </c>
      <c r="W111">
        <f>HYPERLINK("https://klasma.github.io/Logging_2482/klagomålsmail/A 42328-2025 FSC-klagomål mail.docx", "A 42328-2025")</f>
        <v/>
      </c>
      <c r="X111">
        <f>HYPERLINK("https://klasma.github.io/Logging_2482/tillsyn/A 42328-2025 tillsynsbegäran.docx", "A 42328-2025")</f>
        <v/>
      </c>
      <c r="Y111">
        <f>HYPERLINK("https://klasma.github.io/Logging_2482/tillsynsmail/A 42328-2025 tillsynsbegäran mail.docx", "A 42328-2025")</f>
        <v/>
      </c>
      <c r="Z111">
        <f>HYPERLINK("https://klasma.github.io/Logging_2482/fåglar/A 42328-2025 prioriterade fågelarter.docx", "A 42328-2025")</f>
        <v/>
      </c>
    </row>
    <row r="112" ht="15" customHeight="1">
      <c r="A112" t="inlineStr">
        <is>
          <t>A 41087-2023</t>
        </is>
      </c>
      <c r="B112" s="1" t="n">
        <v>45173</v>
      </c>
      <c r="C112" s="1" t="n">
        <v>46078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10</v>
      </c>
      <c r="H112" t="n">
        <v>1</v>
      </c>
      <c r="I112" t="n">
        <v>0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2</v>
      </c>
      <c r="P112" t="n">
        <v>2</v>
      </c>
      <c r="Q112" t="n">
        <v>2</v>
      </c>
      <c r="R112" s="2" t="inlineStr">
        <is>
          <t>Flodpärlmussla
Knärot</t>
        </is>
      </c>
      <c r="S112">
        <f>HYPERLINK("https://klasma.github.io/Logging_2482/artfynd/A 41087-2023 artfynd.xlsx", "A 41087-2023")</f>
        <v/>
      </c>
      <c r="T112">
        <f>HYPERLINK("https://klasma.github.io/Logging_2482/kartor/A 41087-2023 karta.png", "A 41087-2023")</f>
        <v/>
      </c>
      <c r="U112">
        <f>HYPERLINK("https://klasma.github.io/Logging_2482/knärot/A 41087-2023 karta knärot.png", "A 41087-2023")</f>
        <v/>
      </c>
      <c r="V112">
        <f>HYPERLINK("https://klasma.github.io/Logging_2482/klagomål/A 41087-2023 FSC-klagomål.docx", "A 41087-2023")</f>
        <v/>
      </c>
      <c r="W112">
        <f>HYPERLINK("https://klasma.github.io/Logging_2482/klagomålsmail/A 41087-2023 FSC-klagomål mail.docx", "A 41087-2023")</f>
        <v/>
      </c>
      <c r="X112">
        <f>HYPERLINK("https://klasma.github.io/Logging_2482/tillsyn/A 41087-2023 tillsynsbegäran.docx", "A 41087-2023")</f>
        <v/>
      </c>
      <c r="Y112">
        <f>HYPERLINK("https://klasma.github.io/Logging_2482/tillsynsmail/A 41087-2023 tillsynsbegäran mail.docx", "A 41087-2023")</f>
        <v/>
      </c>
    </row>
    <row r="113" ht="15" customHeight="1">
      <c r="A113" t="inlineStr">
        <is>
          <t>A 26962-2025</t>
        </is>
      </c>
      <c r="B113" s="1" t="n">
        <v>45811.46348379629</v>
      </c>
      <c r="C113" s="1" t="n">
        <v>46078</v>
      </c>
      <c r="D113" t="inlineStr">
        <is>
          <t>VÄSTERBOTTENS LÄN</t>
        </is>
      </c>
      <c r="E113" t="inlineStr">
        <is>
          <t>SKELLEFTEÅ</t>
        </is>
      </c>
      <c r="G113" t="n">
        <v>2.4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Talltita</t>
        </is>
      </c>
      <c r="S113">
        <f>HYPERLINK("https://klasma.github.io/Logging_2482/artfynd/A 26962-2025 artfynd.xlsx", "A 26962-2025")</f>
        <v/>
      </c>
      <c r="T113">
        <f>HYPERLINK("https://klasma.github.io/Logging_2482/kartor/A 26962-2025 karta.png", "A 26962-2025")</f>
        <v/>
      </c>
      <c r="V113">
        <f>HYPERLINK("https://klasma.github.io/Logging_2482/klagomål/A 26962-2025 FSC-klagomål.docx", "A 26962-2025")</f>
        <v/>
      </c>
      <c r="W113">
        <f>HYPERLINK("https://klasma.github.io/Logging_2482/klagomålsmail/A 26962-2025 FSC-klagomål mail.docx", "A 26962-2025")</f>
        <v/>
      </c>
      <c r="X113">
        <f>HYPERLINK("https://klasma.github.io/Logging_2482/tillsyn/A 26962-2025 tillsynsbegäran.docx", "A 26962-2025")</f>
        <v/>
      </c>
      <c r="Y113">
        <f>HYPERLINK("https://klasma.github.io/Logging_2482/tillsynsmail/A 26962-2025 tillsynsbegäran mail.docx", "A 26962-2025")</f>
        <v/>
      </c>
      <c r="Z113">
        <f>HYPERLINK("https://klasma.github.io/Logging_2482/fåglar/A 26962-2025 prioriterade fågelarter.docx", "A 26962-2025")</f>
        <v/>
      </c>
    </row>
    <row r="114" ht="15" customHeight="1">
      <c r="A114" t="inlineStr">
        <is>
          <t>A 11627-2023</t>
        </is>
      </c>
      <c r="B114" s="1" t="n">
        <v>44994</v>
      </c>
      <c r="C114" s="1" t="n">
        <v>46078</v>
      </c>
      <c r="D114" t="inlineStr">
        <is>
          <t>VÄSTERBOTTENS LÄN</t>
        </is>
      </c>
      <c r="E114" t="inlineStr">
        <is>
          <t>SKELLEFTEÅ</t>
        </is>
      </c>
      <c r="G114" t="n">
        <v>16.6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Norrlandslav
Revlummer</t>
        </is>
      </c>
      <c r="S114">
        <f>HYPERLINK("https://klasma.github.io/Logging_2482/artfynd/A 11627-2023 artfynd.xlsx", "A 11627-2023")</f>
        <v/>
      </c>
      <c r="T114">
        <f>HYPERLINK("https://klasma.github.io/Logging_2482/kartor/A 11627-2023 karta.png", "A 11627-2023")</f>
        <v/>
      </c>
      <c r="V114">
        <f>HYPERLINK("https://klasma.github.io/Logging_2482/klagomål/A 11627-2023 FSC-klagomål.docx", "A 11627-2023")</f>
        <v/>
      </c>
      <c r="W114">
        <f>HYPERLINK("https://klasma.github.io/Logging_2482/klagomålsmail/A 11627-2023 FSC-klagomål mail.docx", "A 11627-2023")</f>
        <v/>
      </c>
      <c r="X114">
        <f>HYPERLINK("https://klasma.github.io/Logging_2482/tillsyn/A 11627-2023 tillsynsbegäran.docx", "A 11627-2023")</f>
        <v/>
      </c>
      <c r="Y114">
        <f>HYPERLINK("https://klasma.github.io/Logging_2482/tillsynsmail/A 11627-2023 tillsynsbegäran mail.docx", "A 11627-2023")</f>
        <v/>
      </c>
    </row>
    <row r="115" ht="15" customHeight="1">
      <c r="A115" t="inlineStr">
        <is>
          <t>A 28061-2025</t>
        </is>
      </c>
      <c r="B115" s="1" t="n">
        <v>45817.66739583333</v>
      </c>
      <c r="C115" s="1" t="n">
        <v>46078</v>
      </c>
      <c r="D115" t="inlineStr">
        <is>
          <t>VÄSTERBOTTENS LÄN</t>
        </is>
      </c>
      <c r="E115" t="inlineStr">
        <is>
          <t>SKELLEFTEÅ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Spillkråka</t>
        </is>
      </c>
      <c r="S115">
        <f>HYPERLINK("https://klasma.github.io/Logging_2482/artfynd/A 28061-2025 artfynd.xlsx", "A 28061-2025")</f>
        <v/>
      </c>
      <c r="T115">
        <f>HYPERLINK("https://klasma.github.io/Logging_2482/kartor/A 28061-2025 karta.png", "A 28061-2025")</f>
        <v/>
      </c>
      <c r="V115">
        <f>HYPERLINK("https://klasma.github.io/Logging_2482/klagomål/A 28061-2025 FSC-klagomål.docx", "A 28061-2025")</f>
        <v/>
      </c>
      <c r="W115">
        <f>HYPERLINK("https://klasma.github.io/Logging_2482/klagomålsmail/A 28061-2025 FSC-klagomål mail.docx", "A 28061-2025")</f>
        <v/>
      </c>
      <c r="X115">
        <f>HYPERLINK("https://klasma.github.io/Logging_2482/tillsyn/A 28061-2025 tillsynsbegäran.docx", "A 28061-2025")</f>
        <v/>
      </c>
      <c r="Y115">
        <f>HYPERLINK("https://klasma.github.io/Logging_2482/tillsynsmail/A 28061-2025 tillsynsbegäran mail.docx", "A 28061-2025")</f>
        <v/>
      </c>
      <c r="Z115">
        <f>HYPERLINK("https://klasma.github.io/Logging_2482/fåglar/A 28061-2025 prioriterade fågelarter.docx", "A 28061-2025")</f>
        <v/>
      </c>
    </row>
    <row r="116" ht="15" customHeight="1">
      <c r="A116" t="inlineStr">
        <is>
          <t>A 51285-2025</t>
        </is>
      </c>
      <c r="B116" s="1" t="n">
        <v>45950.34473379629</v>
      </c>
      <c r="C116" s="1" t="n">
        <v>46078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SCA</t>
        </is>
      </c>
      <c r="G116" t="n">
        <v>2.4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Blå taggsvamp
Skarp dropptaggsvamp</t>
        </is>
      </c>
      <c r="S116">
        <f>HYPERLINK("https://klasma.github.io/Logging_2482/artfynd/A 51285-2025 artfynd.xlsx", "A 51285-2025")</f>
        <v/>
      </c>
      <c r="T116">
        <f>HYPERLINK("https://klasma.github.io/Logging_2482/kartor/A 51285-2025 karta.png", "A 51285-2025")</f>
        <v/>
      </c>
      <c r="V116">
        <f>HYPERLINK("https://klasma.github.io/Logging_2482/klagomål/A 51285-2025 FSC-klagomål.docx", "A 51285-2025")</f>
        <v/>
      </c>
      <c r="W116">
        <f>HYPERLINK("https://klasma.github.io/Logging_2482/klagomålsmail/A 51285-2025 FSC-klagomål mail.docx", "A 51285-2025")</f>
        <v/>
      </c>
      <c r="X116">
        <f>HYPERLINK("https://klasma.github.io/Logging_2482/tillsyn/A 51285-2025 tillsynsbegäran.docx", "A 51285-2025")</f>
        <v/>
      </c>
      <c r="Y116">
        <f>HYPERLINK("https://klasma.github.io/Logging_2482/tillsynsmail/A 51285-2025 tillsynsbegäran mail.docx", "A 51285-2025")</f>
        <v/>
      </c>
    </row>
    <row r="117" ht="15" customHeight="1">
      <c r="A117" t="inlineStr">
        <is>
          <t>A 52630-2025</t>
        </is>
      </c>
      <c r="B117" s="1" t="n">
        <v>45953</v>
      </c>
      <c r="C117" s="1" t="n">
        <v>46078</v>
      </c>
      <c r="D117" t="inlineStr">
        <is>
          <t>VÄSTERBOTTENS LÄN</t>
        </is>
      </c>
      <c r="E117" t="inlineStr">
        <is>
          <t>SKELLEFTEÅ</t>
        </is>
      </c>
      <c r="G117" t="n">
        <v>3.9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Spillkråka</t>
        </is>
      </c>
      <c r="S117">
        <f>HYPERLINK("https://klasma.github.io/Logging_2482/artfynd/A 52630-2025 artfynd.xlsx", "A 52630-2025")</f>
        <v/>
      </c>
      <c r="T117">
        <f>HYPERLINK("https://klasma.github.io/Logging_2482/kartor/A 52630-2025 karta.png", "A 52630-2025")</f>
        <v/>
      </c>
      <c r="U117">
        <f>HYPERLINK("https://klasma.github.io/Logging_2482/knärot/A 52630-2025 karta knärot.png", "A 52630-2025")</f>
        <v/>
      </c>
      <c r="V117">
        <f>HYPERLINK("https://klasma.github.io/Logging_2482/klagomål/A 52630-2025 FSC-klagomål.docx", "A 52630-2025")</f>
        <v/>
      </c>
      <c r="W117">
        <f>HYPERLINK("https://klasma.github.io/Logging_2482/klagomålsmail/A 52630-2025 FSC-klagomål mail.docx", "A 52630-2025")</f>
        <v/>
      </c>
      <c r="X117">
        <f>HYPERLINK("https://klasma.github.io/Logging_2482/tillsyn/A 52630-2025 tillsynsbegäran.docx", "A 52630-2025")</f>
        <v/>
      </c>
      <c r="Y117">
        <f>HYPERLINK("https://klasma.github.io/Logging_2482/tillsynsmail/A 52630-2025 tillsynsbegäran mail.docx", "A 52630-2025")</f>
        <v/>
      </c>
      <c r="Z117">
        <f>HYPERLINK("https://klasma.github.io/Logging_2482/fåglar/A 52630-2025 prioriterade fågelarter.docx", "A 52630-2025")</f>
        <v/>
      </c>
    </row>
    <row r="118" ht="15" customHeight="1">
      <c r="A118" t="inlineStr">
        <is>
          <t>A 35956-2025</t>
        </is>
      </c>
      <c r="B118" s="1" t="n">
        <v>45863.32681712963</v>
      </c>
      <c r="C118" s="1" t="n">
        <v>46078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Gammelgransskål
Fläcknycklar</t>
        </is>
      </c>
      <c r="S118">
        <f>HYPERLINK("https://klasma.github.io/Logging_2482/artfynd/A 35956-2025 artfynd.xlsx", "A 35956-2025")</f>
        <v/>
      </c>
      <c r="T118">
        <f>HYPERLINK("https://klasma.github.io/Logging_2482/kartor/A 35956-2025 karta.png", "A 35956-2025")</f>
        <v/>
      </c>
      <c r="V118">
        <f>HYPERLINK("https://klasma.github.io/Logging_2482/klagomål/A 35956-2025 FSC-klagomål.docx", "A 35956-2025")</f>
        <v/>
      </c>
      <c r="W118">
        <f>HYPERLINK("https://klasma.github.io/Logging_2482/klagomålsmail/A 35956-2025 FSC-klagomål mail.docx", "A 35956-2025")</f>
        <v/>
      </c>
      <c r="X118">
        <f>HYPERLINK("https://klasma.github.io/Logging_2482/tillsyn/A 35956-2025 tillsynsbegäran.docx", "A 35956-2025")</f>
        <v/>
      </c>
      <c r="Y118">
        <f>HYPERLINK("https://klasma.github.io/Logging_2482/tillsynsmail/A 35956-2025 tillsynsbegäran mail.docx", "A 35956-2025")</f>
        <v/>
      </c>
    </row>
    <row r="119" ht="15" customHeight="1">
      <c r="A119" t="inlineStr">
        <is>
          <t>A 37985-2025</t>
        </is>
      </c>
      <c r="B119" s="1" t="n">
        <v>45881.70010416667</v>
      </c>
      <c r="C119" s="1" t="n">
        <v>46078</v>
      </c>
      <c r="D119" t="inlineStr">
        <is>
          <t>VÄSTERBOTTENS LÄN</t>
        </is>
      </c>
      <c r="E119" t="inlineStr">
        <is>
          <t>SKELLEFTEÅ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Orre</t>
        </is>
      </c>
      <c r="S119">
        <f>HYPERLINK("https://klasma.github.io/Logging_2482/artfynd/A 37985-2025 artfynd.xlsx", "A 37985-2025")</f>
        <v/>
      </c>
      <c r="T119">
        <f>HYPERLINK("https://klasma.github.io/Logging_2482/kartor/A 37985-2025 karta.png", "A 37985-2025")</f>
        <v/>
      </c>
      <c r="V119">
        <f>HYPERLINK("https://klasma.github.io/Logging_2482/klagomål/A 37985-2025 FSC-klagomål.docx", "A 37985-2025")</f>
        <v/>
      </c>
      <c r="W119">
        <f>HYPERLINK("https://klasma.github.io/Logging_2482/klagomålsmail/A 37985-2025 FSC-klagomål mail.docx", "A 37985-2025")</f>
        <v/>
      </c>
      <c r="X119">
        <f>HYPERLINK("https://klasma.github.io/Logging_2482/tillsyn/A 37985-2025 tillsynsbegäran.docx", "A 37985-2025")</f>
        <v/>
      </c>
      <c r="Y119">
        <f>HYPERLINK("https://klasma.github.io/Logging_2482/tillsynsmail/A 37985-2025 tillsynsbegäran mail.docx", "A 37985-2025")</f>
        <v/>
      </c>
      <c r="Z119">
        <f>HYPERLINK("https://klasma.github.io/Logging_2482/fåglar/A 37985-2025 prioriterade fågelarter.docx", "A 37985-2025")</f>
        <v/>
      </c>
    </row>
    <row r="120" ht="15" customHeight="1">
      <c r="A120" t="inlineStr">
        <is>
          <t>A 40742-2023</t>
        </is>
      </c>
      <c r="B120" s="1" t="n">
        <v>45170</v>
      </c>
      <c r="C120" s="1" t="n">
        <v>46078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Sveaskog</t>
        </is>
      </c>
      <c r="G120" t="n">
        <v>13.6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Stuplav</t>
        </is>
      </c>
      <c r="S120">
        <f>HYPERLINK("https://klasma.github.io/Logging_2482/artfynd/A 40742-2023 artfynd.xlsx", "A 40742-2023")</f>
        <v/>
      </c>
      <c r="T120">
        <f>HYPERLINK("https://klasma.github.io/Logging_2482/kartor/A 40742-2023 karta.png", "A 40742-2023")</f>
        <v/>
      </c>
      <c r="V120">
        <f>HYPERLINK("https://klasma.github.io/Logging_2482/klagomål/A 40742-2023 FSC-klagomål.docx", "A 40742-2023")</f>
        <v/>
      </c>
      <c r="W120">
        <f>HYPERLINK("https://klasma.github.io/Logging_2482/klagomålsmail/A 40742-2023 FSC-klagomål mail.docx", "A 40742-2023")</f>
        <v/>
      </c>
      <c r="X120">
        <f>HYPERLINK("https://klasma.github.io/Logging_2482/tillsyn/A 40742-2023 tillsynsbegäran.docx", "A 40742-2023")</f>
        <v/>
      </c>
      <c r="Y120">
        <f>HYPERLINK("https://klasma.github.io/Logging_2482/tillsynsmail/A 40742-2023 tillsynsbegäran mail.docx", "A 40742-2023")</f>
        <v/>
      </c>
    </row>
    <row r="121" ht="15" customHeight="1">
      <c r="A121" t="inlineStr">
        <is>
          <t>A 38458-2025</t>
        </is>
      </c>
      <c r="B121" s="1" t="n">
        <v>45883.71289351852</v>
      </c>
      <c r="C121" s="1" t="n">
        <v>46078</v>
      </c>
      <c r="D121" t="inlineStr">
        <is>
          <t>VÄSTERBOTTENS LÄN</t>
        </is>
      </c>
      <c r="E121" t="inlineStr">
        <is>
          <t>SKELLEFTEÅ</t>
        </is>
      </c>
      <c r="G121" t="n">
        <v>7.2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Stuplav
Fläcknycklar</t>
        </is>
      </c>
      <c r="S121">
        <f>HYPERLINK("https://klasma.github.io/Logging_2482/artfynd/A 38458-2025 artfynd.xlsx", "A 38458-2025")</f>
        <v/>
      </c>
      <c r="T121">
        <f>HYPERLINK("https://klasma.github.io/Logging_2482/kartor/A 38458-2025 karta.png", "A 38458-2025")</f>
        <v/>
      </c>
      <c r="V121">
        <f>HYPERLINK("https://klasma.github.io/Logging_2482/klagomål/A 38458-2025 FSC-klagomål.docx", "A 38458-2025")</f>
        <v/>
      </c>
      <c r="W121">
        <f>HYPERLINK("https://klasma.github.io/Logging_2482/klagomålsmail/A 38458-2025 FSC-klagomål mail.docx", "A 38458-2025")</f>
        <v/>
      </c>
      <c r="X121">
        <f>HYPERLINK("https://klasma.github.io/Logging_2482/tillsyn/A 38458-2025 tillsynsbegäran.docx", "A 38458-2025")</f>
        <v/>
      </c>
      <c r="Y121">
        <f>HYPERLINK("https://klasma.github.io/Logging_2482/tillsynsmail/A 38458-2025 tillsynsbegäran mail.docx", "A 38458-2025")</f>
        <v/>
      </c>
    </row>
    <row r="122" ht="15" customHeight="1">
      <c r="A122" t="inlineStr">
        <is>
          <t>A 57851-2024</t>
        </is>
      </c>
      <c r="B122" s="1" t="n">
        <v>45631</v>
      </c>
      <c r="C122" s="1" t="n">
        <v>46078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15.7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Fläcknycklar
Revlummer</t>
        </is>
      </c>
      <c r="S122">
        <f>HYPERLINK("https://klasma.github.io/Logging_2482/artfynd/A 57851-2024 artfynd.xlsx", "A 57851-2024")</f>
        <v/>
      </c>
      <c r="T122">
        <f>HYPERLINK("https://klasma.github.io/Logging_2482/kartor/A 57851-2024 karta.png", "A 57851-2024")</f>
        <v/>
      </c>
      <c r="V122">
        <f>HYPERLINK("https://klasma.github.io/Logging_2482/klagomål/A 57851-2024 FSC-klagomål.docx", "A 57851-2024")</f>
        <v/>
      </c>
      <c r="W122">
        <f>HYPERLINK("https://klasma.github.io/Logging_2482/klagomålsmail/A 57851-2024 FSC-klagomål mail.docx", "A 57851-2024")</f>
        <v/>
      </c>
      <c r="X122">
        <f>HYPERLINK("https://klasma.github.io/Logging_2482/tillsyn/A 57851-2024 tillsynsbegäran.docx", "A 57851-2024")</f>
        <v/>
      </c>
      <c r="Y122">
        <f>HYPERLINK("https://klasma.github.io/Logging_2482/tillsynsmail/A 57851-2024 tillsynsbegäran mail.docx", "A 57851-2024")</f>
        <v/>
      </c>
    </row>
    <row r="123" ht="15" customHeight="1">
      <c r="A123" t="inlineStr">
        <is>
          <t>A 57969-2025</t>
        </is>
      </c>
      <c r="B123" s="1" t="n">
        <v>45982.38577546296</v>
      </c>
      <c r="C123" s="1" t="n">
        <v>46078</v>
      </c>
      <c r="D123" t="inlineStr">
        <is>
          <t>VÄSTERBOTTENS LÄN</t>
        </is>
      </c>
      <c r="E123" t="inlineStr">
        <is>
          <t>SKELLEFTEÅ</t>
        </is>
      </c>
      <c r="G123" t="n">
        <v>2.6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Björksplintborre
Skogsödla</t>
        </is>
      </c>
      <c r="S123">
        <f>HYPERLINK("https://klasma.github.io/Logging_2482/artfynd/A 57969-2025 artfynd.xlsx", "A 57969-2025")</f>
        <v/>
      </c>
      <c r="T123">
        <f>HYPERLINK("https://klasma.github.io/Logging_2482/kartor/A 57969-2025 karta.png", "A 57969-2025")</f>
        <v/>
      </c>
      <c r="V123">
        <f>HYPERLINK("https://klasma.github.io/Logging_2482/klagomål/A 57969-2025 FSC-klagomål.docx", "A 57969-2025")</f>
        <v/>
      </c>
      <c r="W123">
        <f>HYPERLINK("https://klasma.github.io/Logging_2482/klagomålsmail/A 57969-2025 FSC-klagomål mail.docx", "A 57969-2025")</f>
        <v/>
      </c>
      <c r="X123">
        <f>HYPERLINK("https://klasma.github.io/Logging_2482/tillsyn/A 57969-2025 tillsynsbegäran.docx", "A 57969-2025")</f>
        <v/>
      </c>
      <c r="Y123">
        <f>HYPERLINK("https://klasma.github.io/Logging_2482/tillsynsmail/A 57969-2025 tillsynsbegäran mail.docx", "A 57969-2025")</f>
        <v/>
      </c>
    </row>
    <row r="124" ht="15" customHeight="1">
      <c r="A124" t="inlineStr">
        <is>
          <t>A 901-2023</t>
        </is>
      </c>
      <c r="B124" s="1" t="n">
        <v>44931.92556712963</v>
      </c>
      <c r="C124" s="1" t="n">
        <v>46078</v>
      </c>
      <c r="D124" t="inlineStr">
        <is>
          <t>VÄSTERBOTTENS LÄN</t>
        </is>
      </c>
      <c r="E124" t="inlineStr">
        <is>
          <t>SKELLEFTEÅ</t>
        </is>
      </c>
      <c r="G124" t="n">
        <v>7.7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Skogshare</t>
        </is>
      </c>
      <c r="S124">
        <f>HYPERLINK("https://klasma.github.io/Logging_2482/artfynd/A 901-2023 artfynd.xlsx", "A 901-2023")</f>
        <v/>
      </c>
      <c r="T124">
        <f>HYPERLINK("https://klasma.github.io/Logging_2482/kartor/A 901-2023 karta.png", "A 901-2023")</f>
        <v/>
      </c>
      <c r="V124">
        <f>HYPERLINK("https://klasma.github.io/Logging_2482/klagomål/A 901-2023 FSC-klagomål.docx", "A 901-2023")</f>
        <v/>
      </c>
      <c r="W124">
        <f>HYPERLINK("https://klasma.github.io/Logging_2482/klagomålsmail/A 901-2023 FSC-klagomål mail.docx", "A 901-2023")</f>
        <v/>
      </c>
      <c r="X124">
        <f>HYPERLINK("https://klasma.github.io/Logging_2482/tillsyn/A 901-2023 tillsynsbegäran.docx", "A 901-2023")</f>
        <v/>
      </c>
      <c r="Y124">
        <f>HYPERLINK("https://klasma.github.io/Logging_2482/tillsynsmail/A 901-2023 tillsynsbegäran mail.docx", "A 901-2023")</f>
        <v/>
      </c>
    </row>
    <row r="125" ht="15" customHeight="1">
      <c r="A125" t="inlineStr">
        <is>
          <t>A 26190-2024</t>
        </is>
      </c>
      <c r="B125" s="1" t="n">
        <v>45468.5712037037</v>
      </c>
      <c r="C125" s="1" t="n">
        <v>46078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8.199999999999999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Tretåig hackspett</t>
        </is>
      </c>
      <c r="S125">
        <f>HYPERLINK("https://klasma.github.io/Logging_2482/artfynd/A 26190-2024 artfynd.xlsx", "A 26190-2024")</f>
        <v/>
      </c>
      <c r="T125">
        <f>HYPERLINK("https://klasma.github.io/Logging_2482/kartor/A 26190-2024 karta.png", "A 26190-2024")</f>
        <v/>
      </c>
      <c r="V125">
        <f>HYPERLINK("https://klasma.github.io/Logging_2482/klagomål/A 26190-2024 FSC-klagomål.docx", "A 26190-2024")</f>
        <v/>
      </c>
      <c r="W125">
        <f>HYPERLINK("https://klasma.github.io/Logging_2482/klagomålsmail/A 26190-2024 FSC-klagomål mail.docx", "A 26190-2024")</f>
        <v/>
      </c>
      <c r="X125">
        <f>HYPERLINK("https://klasma.github.io/Logging_2482/tillsyn/A 26190-2024 tillsynsbegäran.docx", "A 26190-2024")</f>
        <v/>
      </c>
      <c r="Y125">
        <f>HYPERLINK("https://klasma.github.io/Logging_2482/tillsynsmail/A 26190-2024 tillsynsbegäran mail.docx", "A 26190-2024")</f>
        <v/>
      </c>
      <c r="Z125">
        <f>HYPERLINK("https://klasma.github.io/Logging_2482/fåglar/A 26190-2024 prioriterade fågelarter.docx", "A 26190-2024")</f>
        <v/>
      </c>
    </row>
    <row r="126" ht="15" customHeight="1">
      <c r="A126" t="inlineStr">
        <is>
          <t>A 20367-2025</t>
        </is>
      </c>
      <c r="B126" s="1" t="n">
        <v>45775</v>
      </c>
      <c r="C126" s="1" t="n">
        <v>46078</v>
      </c>
      <c r="D126" t="inlineStr">
        <is>
          <t>VÄSTERBOTTENS LÄN</t>
        </is>
      </c>
      <c r="E126" t="inlineStr">
        <is>
          <t>SKELLEFTEÅ</t>
        </is>
      </c>
      <c r="G126" t="n">
        <v>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HYPERLINK("https://klasma.github.io/Logging_2482/artfynd/A 20367-2025 artfynd.xlsx", "A 20367-2025")</f>
        <v/>
      </c>
      <c r="T126">
        <f>HYPERLINK("https://klasma.github.io/Logging_2482/kartor/A 20367-2025 karta.png", "A 20367-2025")</f>
        <v/>
      </c>
      <c r="U126">
        <f>HYPERLINK("https://klasma.github.io/Logging_2482/knärot/A 20367-2025 karta knärot.png", "A 20367-2025")</f>
        <v/>
      </c>
      <c r="V126">
        <f>HYPERLINK("https://klasma.github.io/Logging_2482/klagomål/A 20367-2025 FSC-klagomål.docx", "A 20367-2025")</f>
        <v/>
      </c>
      <c r="W126">
        <f>HYPERLINK("https://klasma.github.io/Logging_2482/klagomålsmail/A 20367-2025 FSC-klagomål mail.docx", "A 20367-2025")</f>
        <v/>
      </c>
      <c r="X126">
        <f>HYPERLINK("https://klasma.github.io/Logging_2482/tillsyn/A 20367-2025 tillsynsbegäran.docx", "A 20367-2025")</f>
        <v/>
      </c>
      <c r="Y126">
        <f>HYPERLINK("https://klasma.github.io/Logging_2482/tillsynsmail/A 20367-2025 tillsynsbegäran mail.docx", "A 20367-2025")</f>
        <v/>
      </c>
    </row>
    <row r="127" ht="15" customHeight="1">
      <c r="A127" t="inlineStr">
        <is>
          <t>A 787-2023</t>
        </is>
      </c>
      <c r="B127" s="1" t="n">
        <v>44931</v>
      </c>
      <c r="C127" s="1" t="n">
        <v>46078</v>
      </c>
      <c r="D127" t="inlineStr">
        <is>
          <t>VÄSTERBOTTENS LÄN</t>
        </is>
      </c>
      <c r="E127" t="inlineStr">
        <is>
          <t>SKELLEFTEÅ</t>
        </is>
      </c>
      <c r="G127" t="n">
        <v>13.9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Storgröe
Ögonpyrola</t>
        </is>
      </c>
      <c r="S127">
        <f>HYPERLINK("https://klasma.github.io/Logging_2482/artfynd/A 787-2023 artfynd.xlsx", "A 787-2023")</f>
        <v/>
      </c>
      <c r="T127">
        <f>HYPERLINK("https://klasma.github.io/Logging_2482/kartor/A 787-2023 karta.png", "A 787-2023")</f>
        <v/>
      </c>
      <c r="V127">
        <f>HYPERLINK("https://klasma.github.io/Logging_2482/klagomål/A 787-2023 FSC-klagomål.docx", "A 787-2023")</f>
        <v/>
      </c>
      <c r="W127">
        <f>HYPERLINK("https://klasma.github.io/Logging_2482/klagomålsmail/A 787-2023 FSC-klagomål mail.docx", "A 787-2023")</f>
        <v/>
      </c>
      <c r="X127">
        <f>HYPERLINK("https://klasma.github.io/Logging_2482/tillsyn/A 787-2023 tillsynsbegäran.docx", "A 787-2023")</f>
        <v/>
      </c>
      <c r="Y127">
        <f>HYPERLINK("https://klasma.github.io/Logging_2482/tillsynsmail/A 787-2023 tillsynsbegäran mail.docx", "A 787-2023")</f>
        <v/>
      </c>
    </row>
    <row r="128" ht="15" customHeight="1">
      <c r="A128" t="inlineStr">
        <is>
          <t>A 52525-2024</t>
        </is>
      </c>
      <c r="B128" s="1" t="n">
        <v>45609</v>
      </c>
      <c r="C128" s="1" t="n">
        <v>46078</v>
      </c>
      <c r="D128" t="inlineStr">
        <is>
          <t>VÄSTERBOTTENS LÄN</t>
        </is>
      </c>
      <c r="E128" t="inlineStr">
        <is>
          <t>SKELLEFTEÅ</t>
        </is>
      </c>
      <c r="G128" t="n">
        <v>8.6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HYPERLINK("https://klasma.github.io/Logging_2482/artfynd/A 52525-2024 artfynd.xlsx", "A 52525-2024")</f>
        <v/>
      </c>
      <c r="T128">
        <f>HYPERLINK("https://klasma.github.io/Logging_2482/kartor/A 52525-2024 karta.png", "A 52525-2024")</f>
        <v/>
      </c>
      <c r="V128">
        <f>HYPERLINK("https://klasma.github.io/Logging_2482/klagomål/A 52525-2024 FSC-klagomål.docx", "A 52525-2024")</f>
        <v/>
      </c>
      <c r="W128">
        <f>HYPERLINK("https://klasma.github.io/Logging_2482/klagomålsmail/A 52525-2024 FSC-klagomål mail.docx", "A 52525-2024")</f>
        <v/>
      </c>
      <c r="X128">
        <f>HYPERLINK("https://klasma.github.io/Logging_2482/tillsyn/A 52525-2024 tillsynsbegäran.docx", "A 52525-2024")</f>
        <v/>
      </c>
      <c r="Y128">
        <f>HYPERLINK("https://klasma.github.io/Logging_2482/tillsynsmail/A 52525-2024 tillsynsbegäran mail.docx", "A 52525-2024")</f>
        <v/>
      </c>
    </row>
    <row r="129" ht="15" customHeight="1">
      <c r="A129" t="inlineStr">
        <is>
          <t>A 35733-2021</t>
        </is>
      </c>
      <c r="B129" s="1" t="n">
        <v>44385</v>
      </c>
      <c r="C129" s="1" t="n">
        <v>46078</v>
      </c>
      <c r="D129" t="inlineStr">
        <is>
          <t>VÄSTERBOTTENS LÄN</t>
        </is>
      </c>
      <c r="E129" t="inlineStr">
        <is>
          <t>SKELLEFTEÅ</t>
        </is>
      </c>
      <c r="G129" t="n">
        <v>0.9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Tjäder</t>
        </is>
      </c>
      <c r="S129">
        <f>HYPERLINK("https://klasma.github.io/Logging_2482/artfynd/A 35733-2021 artfynd.xlsx", "A 35733-2021")</f>
        <v/>
      </c>
      <c r="T129">
        <f>HYPERLINK("https://klasma.github.io/Logging_2482/kartor/A 35733-2021 karta.png", "A 35733-2021")</f>
        <v/>
      </c>
      <c r="V129">
        <f>HYPERLINK("https://klasma.github.io/Logging_2482/klagomål/A 35733-2021 FSC-klagomål.docx", "A 35733-2021")</f>
        <v/>
      </c>
      <c r="W129">
        <f>HYPERLINK("https://klasma.github.io/Logging_2482/klagomålsmail/A 35733-2021 FSC-klagomål mail.docx", "A 35733-2021")</f>
        <v/>
      </c>
      <c r="X129">
        <f>HYPERLINK("https://klasma.github.io/Logging_2482/tillsyn/A 35733-2021 tillsynsbegäran.docx", "A 35733-2021")</f>
        <v/>
      </c>
      <c r="Y129">
        <f>HYPERLINK("https://klasma.github.io/Logging_2482/tillsynsmail/A 35733-2021 tillsynsbegäran mail.docx", "A 35733-2021")</f>
        <v/>
      </c>
      <c r="Z129">
        <f>HYPERLINK("https://klasma.github.io/Logging_2482/fåglar/A 35733-2021 prioriterade fågelarter.docx", "A 35733-2021")</f>
        <v/>
      </c>
    </row>
    <row r="130" ht="15" customHeight="1">
      <c r="A130" t="inlineStr">
        <is>
          <t>A 59706-2021</t>
        </is>
      </c>
      <c r="B130" s="1" t="n">
        <v>44494</v>
      </c>
      <c r="C130" s="1" t="n">
        <v>46078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Violettgrå tagellav</t>
        </is>
      </c>
      <c r="S130">
        <f>HYPERLINK("https://klasma.github.io/Logging_2482/artfynd/A 59706-2021 artfynd.xlsx", "A 59706-2021")</f>
        <v/>
      </c>
      <c r="T130">
        <f>HYPERLINK("https://klasma.github.io/Logging_2482/kartor/A 59706-2021 karta.png", "A 59706-2021")</f>
        <v/>
      </c>
      <c r="V130">
        <f>HYPERLINK("https://klasma.github.io/Logging_2482/klagomål/A 59706-2021 FSC-klagomål.docx", "A 59706-2021")</f>
        <v/>
      </c>
      <c r="W130">
        <f>HYPERLINK("https://klasma.github.io/Logging_2482/klagomålsmail/A 59706-2021 FSC-klagomål mail.docx", "A 59706-2021")</f>
        <v/>
      </c>
      <c r="X130">
        <f>HYPERLINK("https://klasma.github.io/Logging_2482/tillsyn/A 59706-2021 tillsynsbegäran.docx", "A 59706-2021")</f>
        <v/>
      </c>
      <c r="Y130">
        <f>HYPERLINK("https://klasma.github.io/Logging_2482/tillsynsmail/A 59706-2021 tillsynsbegäran mail.docx", "A 59706-2021")</f>
        <v/>
      </c>
    </row>
    <row r="131" ht="15" customHeight="1">
      <c r="A131" t="inlineStr">
        <is>
          <t>A 49440-2022</t>
        </is>
      </c>
      <c r="B131" s="1" t="n">
        <v>44859</v>
      </c>
      <c r="C131" s="1" t="n">
        <v>46078</v>
      </c>
      <c r="D131" t="inlineStr">
        <is>
          <t>VÄSTERBOTTENS LÄN</t>
        </is>
      </c>
      <c r="E131" t="inlineStr">
        <is>
          <t>SKELLEFTEÅ</t>
        </is>
      </c>
      <c r="G131" t="n">
        <v>1.5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Gränsticka
Ullticka</t>
        </is>
      </c>
      <c r="S131">
        <f>HYPERLINK("https://klasma.github.io/Logging_2482/artfynd/A 49440-2022 artfynd.xlsx", "A 49440-2022")</f>
        <v/>
      </c>
      <c r="T131">
        <f>HYPERLINK("https://klasma.github.io/Logging_2482/kartor/A 49440-2022 karta.png", "A 49440-2022")</f>
        <v/>
      </c>
      <c r="V131">
        <f>HYPERLINK("https://klasma.github.io/Logging_2482/klagomål/A 49440-2022 FSC-klagomål.docx", "A 49440-2022")</f>
        <v/>
      </c>
      <c r="W131">
        <f>HYPERLINK("https://klasma.github.io/Logging_2482/klagomålsmail/A 49440-2022 FSC-klagomål mail.docx", "A 49440-2022")</f>
        <v/>
      </c>
      <c r="X131">
        <f>HYPERLINK("https://klasma.github.io/Logging_2482/tillsyn/A 49440-2022 tillsynsbegäran.docx", "A 49440-2022")</f>
        <v/>
      </c>
      <c r="Y131">
        <f>HYPERLINK("https://klasma.github.io/Logging_2482/tillsynsmail/A 49440-2022 tillsynsbegäran mail.docx", "A 49440-2022")</f>
        <v/>
      </c>
    </row>
    <row r="132" ht="15" customHeight="1">
      <c r="A132" t="inlineStr">
        <is>
          <t>A 1259-2024</t>
        </is>
      </c>
      <c r="B132" s="1" t="n">
        <v>45302</v>
      </c>
      <c r="C132" s="1" t="n">
        <v>46078</v>
      </c>
      <c r="D132" t="inlineStr">
        <is>
          <t>VÄSTERBOTTENS LÄN</t>
        </is>
      </c>
      <c r="E132" t="inlineStr">
        <is>
          <t>SKELLEFTEÅ</t>
        </is>
      </c>
      <c r="G132" t="n">
        <v>1.6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Månlåsbräken
Nordlåsbräken</t>
        </is>
      </c>
      <c r="S132">
        <f>HYPERLINK("https://klasma.github.io/Logging_2482/artfynd/A 1259-2024 artfynd.xlsx", "A 1259-2024")</f>
        <v/>
      </c>
      <c r="T132">
        <f>HYPERLINK("https://klasma.github.io/Logging_2482/kartor/A 1259-2024 karta.png", "A 1259-2024")</f>
        <v/>
      </c>
      <c r="V132">
        <f>HYPERLINK("https://klasma.github.io/Logging_2482/klagomål/A 1259-2024 FSC-klagomål.docx", "A 1259-2024")</f>
        <v/>
      </c>
      <c r="W132">
        <f>HYPERLINK("https://klasma.github.io/Logging_2482/klagomålsmail/A 1259-2024 FSC-klagomål mail.docx", "A 1259-2024")</f>
        <v/>
      </c>
      <c r="X132">
        <f>HYPERLINK("https://klasma.github.io/Logging_2482/tillsyn/A 1259-2024 tillsynsbegäran.docx", "A 1259-2024")</f>
        <v/>
      </c>
      <c r="Y132">
        <f>HYPERLINK("https://klasma.github.io/Logging_2482/tillsynsmail/A 1259-2024 tillsynsbegäran mail.docx", "A 1259-2024")</f>
        <v/>
      </c>
    </row>
    <row r="133" ht="15" customHeight="1">
      <c r="A133" t="inlineStr">
        <is>
          <t>A 53271-2024</t>
        </is>
      </c>
      <c r="B133" s="1" t="n">
        <v>45614.36726851852</v>
      </c>
      <c r="C133" s="1" t="n">
        <v>46078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11.1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Orange taggsvamp
Ögonpyrola</t>
        </is>
      </c>
      <c r="S133">
        <f>HYPERLINK("https://klasma.github.io/Logging_2482/artfynd/A 53271-2024 artfynd.xlsx", "A 53271-2024")</f>
        <v/>
      </c>
      <c r="T133">
        <f>HYPERLINK("https://klasma.github.io/Logging_2482/kartor/A 53271-2024 karta.png", "A 53271-2024")</f>
        <v/>
      </c>
      <c r="V133">
        <f>HYPERLINK("https://klasma.github.io/Logging_2482/klagomål/A 53271-2024 FSC-klagomål.docx", "A 53271-2024")</f>
        <v/>
      </c>
      <c r="W133">
        <f>HYPERLINK("https://klasma.github.io/Logging_2482/klagomålsmail/A 53271-2024 FSC-klagomål mail.docx", "A 53271-2024")</f>
        <v/>
      </c>
      <c r="X133">
        <f>HYPERLINK("https://klasma.github.io/Logging_2482/tillsyn/A 53271-2024 tillsynsbegäran.docx", "A 53271-2024")</f>
        <v/>
      </c>
      <c r="Y133">
        <f>HYPERLINK("https://klasma.github.io/Logging_2482/tillsynsmail/A 53271-2024 tillsynsbegäran mail.docx", "A 53271-2024")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46078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46078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46078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46078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46078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8729-2025</t>
        </is>
      </c>
      <c r="B139" s="1" t="n">
        <v>45712.53144675926</v>
      </c>
      <c r="C139" s="1" t="n">
        <v>46078</v>
      </c>
      <c r="D139" t="inlineStr">
        <is>
          <t>VÄSTERBOTTENS LÄN</t>
        </is>
      </c>
      <c r="E139" t="inlineStr">
        <is>
          <t>SKELLEFTEÅ</t>
        </is>
      </c>
      <c r="G139" t="n">
        <v>12.2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HYPERLINK("https://klasma.github.io/Logging_2482/artfynd/A 8729-2025 artfynd.xlsx", "A 8729-2025")</f>
        <v/>
      </c>
      <c r="T139">
        <f>HYPERLINK("https://klasma.github.io/Logging_2482/kartor/A 8729-2025 karta.png", "A 8729-2025")</f>
        <v/>
      </c>
      <c r="V139">
        <f>HYPERLINK("https://klasma.github.io/Logging_2482/klagomål/A 8729-2025 FSC-klagomål.docx", "A 8729-2025")</f>
        <v/>
      </c>
      <c r="W139">
        <f>HYPERLINK("https://klasma.github.io/Logging_2482/klagomålsmail/A 8729-2025 FSC-klagomål mail.docx", "A 8729-2025")</f>
        <v/>
      </c>
      <c r="X139">
        <f>HYPERLINK("https://klasma.github.io/Logging_2482/tillsyn/A 8729-2025 tillsynsbegäran.docx", "A 8729-2025")</f>
        <v/>
      </c>
      <c r="Y139">
        <f>HYPERLINK("https://klasma.github.io/Logging_2482/tillsynsmail/A 8729-2025 tillsynsbegäran mail.docx", "A 8729-2025")</f>
        <v/>
      </c>
    </row>
    <row r="140" ht="15" customHeight="1">
      <c r="A140" t="inlineStr">
        <is>
          <t>A 41409-2025</t>
        </is>
      </c>
      <c r="B140" s="1" t="n">
        <v>45901.34798611111</v>
      </c>
      <c r="C140" s="1" t="n">
        <v>46078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41409-2025 artfynd.xlsx", "A 41409-2025")</f>
        <v/>
      </c>
      <c r="T140">
        <f>HYPERLINK("https://klasma.github.io/Logging_2482/kartor/A 41409-2025 karta.png", "A 41409-2025")</f>
        <v/>
      </c>
      <c r="V140">
        <f>HYPERLINK("https://klasma.github.io/Logging_2482/klagomål/A 41409-2025 FSC-klagomål.docx", "A 41409-2025")</f>
        <v/>
      </c>
      <c r="W140">
        <f>HYPERLINK("https://klasma.github.io/Logging_2482/klagomålsmail/A 41409-2025 FSC-klagomål mail.docx", "A 41409-2025")</f>
        <v/>
      </c>
      <c r="X140">
        <f>HYPERLINK("https://klasma.github.io/Logging_2482/tillsyn/A 41409-2025 tillsynsbegäran.docx", "A 41409-2025")</f>
        <v/>
      </c>
      <c r="Y140">
        <f>HYPERLINK("https://klasma.github.io/Logging_2482/tillsynsmail/A 41409-2025 tillsynsbegäran mail.docx", "A 41409-2025")</f>
        <v/>
      </c>
    </row>
    <row r="141" ht="15" customHeight="1">
      <c r="A141" t="inlineStr">
        <is>
          <t>A 9446-2025</t>
        </is>
      </c>
      <c r="B141" s="1" t="n">
        <v>45715.42019675926</v>
      </c>
      <c r="C141" s="1" t="n">
        <v>46078</v>
      </c>
      <c r="D141" t="inlineStr">
        <is>
          <t>VÄSTERBOTTENS LÄN</t>
        </is>
      </c>
      <c r="E141" t="inlineStr">
        <is>
          <t>SKELLEFTEÅ</t>
        </is>
      </c>
      <c r="G141" t="n">
        <v>1.8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HYPERLINK("https://klasma.github.io/Logging_2482/artfynd/A 9446-2025 artfynd.xlsx", "A 9446-2025")</f>
        <v/>
      </c>
      <c r="T141">
        <f>HYPERLINK("https://klasma.github.io/Logging_2482/kartor/A 9446-2025 karta.png", "A 9446-2025")</f>
        <v/>
      </c>
      <c r="V141">
        <f>HYPERLINK("https://klasma.github.io/Logging_2482/klagomål/A 9446-2025 FSC-klagomål.docx", "A 9446-2025")</f>
        <v/>
      </c>
      <c r="W141">
        <f>HYPERLINK("https://klasma.github.io/Logging_2482/klagomålsmail/A 9446-2025 FSC-klagomål mail.docx", "A 9446-2025")</f>
        <v/>
      </c>
      <c r="X141">
        <f>HYPERLINK("https://klasma.github.io/Logging_2482/tillsyn/A 9446-2025 tillsynsbegäran.docx", "A 9446-2025")</f>
        <v/>
      </c>
      <c r="Y141">
        <f>HYPERLINK("https://klasma.github.io/Logging_2482/tillsynsmail/A 9446-2025 tillsynsbegäran mail.docx", "A 9446-2025")</f>
        <v/>
      </c>
    </row>
    <row r="142" ht="15" customHeight="1">
      <c r="A142" t="inlineStr">
        <is>
          <t>A 53071-2022</t>
        </is>
      </c>
      <c r="B142" s="1" t="n">
        <v>44873</v>
      </c>
      <c r="C142" s="1" t="n">
        <v>46078</v>
      </c>
      <c r="D142" t="inlineStr">
        <is>
          <t>VÄSTERBOTTENS LÄN</t>
        </is>
      </c>
      <c r="E142" t="inlineStr">
        <is>
          <t>SKELLEFTEÅ</t>
        </is>
      </c>
      <c r="G142" t="n">
        <v>10.6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HYPERLINK("https://klasma.github.io/Logging_2482/artfynd/A 53071-2022 artfynd.xlsx", "A 53071-2022")</f>
        <v/>
      </c>
      <c r="T142">
        <f>HYPERLINK("https://klasma.github.io/Logging_2482/kartor/A 53071-2022 karta.png", "A 53071-2022")</f>
        <v/>
      </c>
      <c r="V142">
        <f>HYPERLINK("https://klasma.github.io/Logging_2482/klagomål/A 53071-2022 FSC-klagomål.docx", "A 53071-2022")</f>
        <v/>
      </c>
      <c r="W142">
        <f>HYPERLINK("https://klasma.github.io/Logging_2482/klagomålsmail/A 53071-2022 FSC-klagomål mail.docx", "A 53071-2022")</f>
        <v/>
      </c>
      <c r="X142">
        <f>HYPERLINK("https://klasma.github.io/Logging_2482/tillsyn/A 53071-2022 tillsynsbegäran.docx", "A 53071-2022")</f>
        <v/>
      </c>
      <c r="Y142">
        <f>HYPERLINK("https://klasma.github.io/Logging_2482/tillsynsmail/A 53071-2022 tillsynsbegäran mail.docx", "A 53071-2022")</f>
        <v/>
      </c>
    </row>
    <row r="143" ht="15" customHeight="1">
      <c r="A143" t="inlineStr">
        <is>
          <t>A 58766-2021</t>
        </is>
      </c>
      <c r="B143" s="1" t="n">
        <v>44489</v>
      </c>
      <c r="C143" s="1" t="n">
        <v>46078</v>
      </c>
      <c r="D143" t="inlineStr">
        <is>
          <t>VÄSTERBOTTENS LÄN</t>
        </is>
      </c>
      <c r="E143" t="inlineStr">
        <is>
          <t>SKELLEFTEÅ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Stjärntagging</t>
        </is>
      </c>
      <c r="S143">
        <f>HYPERLINK("https://klasma.github.io/Logging_2482/artfynd/A 58766-2021 artfynd.xlsx", "A 58766-2021")</f>
        <v/>
      </c>
      <c r="T143">
        <f>HYPERLINK("https://klasma.github.io/Logging_2482/kartor/A 58766-2021 karta.png", "A 58766-2021")</f>
        <v/>
      </c>
      <c r="V143">
        <f>HYPERLINK("https://klasma.github.io/Logging_2482/klagomål/A 58766-2021 FSC-klagomål.docx", "A 58766-2021")</f>
        <v/>
      </c>
      <c r="W143">
        <f>HYPERLINK("https://klasma.github.io/Logging_2482/klagomålsmail/A 58766-2021 FSC-klagomål mail.docx", "A 58766-2021")</f>
        <v/>
      </c>
      <c r="X143">
        <f>HYPERLINK("https://klasma.github.io/Logging_2482/tillsyn/A 58766-2021 tillsynsbegäran.docx", "A 58766-2021")</f>
        <v/>
      </c>
      <c r="Y143">
        <f>HYPERLINK("https://klasma.github.io/Logging_2482/tillsynsmail/A 58766-2021 tillsynsbegäran mail.docx", "A 58766-2021")</f>
        <v/>
      </c>
    </row>
    <row r="144" ht="15" customHeight="1">
      <c r="A144" t="inlineStr">
        <is>
          <t>A 43228-2025</t>
        </is>
      </c>
      <c r="B144" s="1" t="n">
        <v>45910.49400462963</v>
      </c>
      <c r="C144" s="1" t="n">
        <v>46078</v>
      </c>
      <c r="D144" t="inlineStr">
        <is>
          <t>VÄSTERBOTTENS LÄN</t>
        </is>
      </c>
      <c r="E144" t="inlineStr">
        <is>
          <t>SKELLEFTEÅ</t>
        </is>
      </c>
      <c r="G144" t="n">
        <v>2.9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Ullticka</t>
        </is>
      </c>
      <c r="S144">
        <f>HYPERLINK("https://klasma.github.io/Logging_2482/artfynd/A 43228-2025 artfynd.xlsx", "A 43228-2025")</f>
        <v/>
      </c>
      <c r="T144">
        <f>HYPERLINK("https://klasma.github.io/Logging_2482/kartor/A 43228-2025 karta.png", "A 43228-2025")</f>
        <v/>
      </c>
      <c r="V144">
        <f>HYPERLINK("https://klasma.github.io/Logging_2482/klagomål/A 43228-2025 FSC-klagomål.docx", "A 43228-2025")</f>
        <v/>
      </c>
      <c r="W144">
        <f>HYPERLINK("https://klasma.github.io/Logging_2482/klagomålsmail/A 43228-2025 FSC-klagomål mail.docx", "A 43228-2025")</f>
        <v/>
      </c>
      <c r="X144">
        <f>HYPERLINK("https://klasma.github.io/Logging_2482/tillsyn/A 43228-2025 tillsynsbegäran.docx", "A 43228-2025")</f>
        <v/>
      </c>
      <c r="Y144">
        <f>HYPERLINK("https://klasma.github.io/Logging_2482/tillsynsmail/A 43228-2025 tillsynsbegäran mail.docx", "A 43228-2025")</f>
        <v/>
      </c>
    </row>
    <row r="145" ht="15" customHeight="1">
      <c r="A145" t="inlineStr">
        <is>
          <t>A 6156-2025</t>
        </is>
      </c>
      <c r="B145" s="1" t="n">
        <v>45695</v>
      </c>
      <c r="C145" s="1" t="n">
        <v>46078</v>
      </c>
      <c r="D145" t="inlineStr">
        <is>
          <t>VÄSTERBOTTENS LÄN</t>
        </is>
      </c>
      <c r="E145" t="inlineStr">
        <is>
          <t>SKELLEFTEÅ</t>
        </is>
      </c>
      <c r="G145" t="n">
        <v>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HYPERLINK("https://klasma.github.io/Logging_2482/artfynd/A 6156-2025 artfynd.xlsx", "A 6156-2025")</f>
        <v/>
      </c>
      <c r="T145">
        <f>HYPERLINK("https://klasma.github.io/Logging_2482/kartor/A 6156-2025 karta.png", "A 6156-2025")</f>
        <v/>
      </c>
      <c r="V145">
        <f>HYPERLINK("https://klasma.github.io/Logging_2482/klagomål/A 6156-2025 FSC-klagomål.docx", "A 6156-2025")</f>
        <v/>
      </c>
      <c r="W145">
        <f>HYPERLINK("https://klasma.github.io/Logging_2482/klagomålsmail/A 6156-2025 FSC-klagomål mail.docx", "A 6156-2025")</f>
        <v/>
      </c>
      <c r="X145">
        <f>HYPERLINK("https://klasma.github.io/Logging_2482/tillsyn/A 6156-2025 tillsynsbegäran.docx", "A 6156-2025")</f>
        <v/>
      </c>
      <c r="Y145">
        <f>HYPERLINK("https://klasma.github.io/Logging_2482/tillsynsmail/A 6156-2025 tillsynsbegäran mail.docx", "A 6156-2025")</f>
        <v/>
      </c>
    </row>
    <row r="146" ht="15" customHeight="1">
      <c r="A146" t="inlineStr">
        <is>
          <t>A 44809-2025</t>
        </is>
      </c>
      <c r="B146" s="1" t="n">
        <v>45918.36953703704</v>
      </c>
      <c r="C146" s="1" t="n">
        <v>46078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1.9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HYPERLINK("https://klasma.github.io/Logging_2482/artfynd/A 44809-2025 artfynd.xlsx", "A 44809-2025")</f>
        <v/>
      </c>
      <c r="T146">
        <f>HYPERLINK("https://klasma.github.io/Logging_2482/kartor/A 44809-2025 karta.png", "A 44809-2025")</f>
        <v/>
      </c>
      <c r="V146">
        <f>HYPERLINK("https://klasma.github.io/Logging_2482/klagomål/A 44809-2025 FSC-klagomål.docx", "A 44809-2025")</f>
        <v/>
      </c>
      <c r="W146">
        <f>HYPERLINK("https://klasma.github.io/Logging_2482/klagomålsmail/A 44809-2025 FSC-klagomål mail.docx", "A 44809-2025")</f>
        <v/>
      </c>
      <c r="X146">
        <f>HYPERLINK("https://klasma.github.io/Logging_2482/tillsyn/A 44809-2025 tillsynsbegäran.docx", "A 44809-2025")</f>
        <v/>
      </c>
      <c r="Y146">
        <f>HYPERLINK("https://klasma.github.io/Logging_2482/tillsynsmail/A 44809-2025 tillsynsbegäran mail.docx", "A 44809-2025")</f>
        <v/>
      </c>
    </row>
    <row r="147" ht="15" customHeight="1">
      <c r="A147" t="inlineStr">
        <is>
          <t>A 19924-2025</t>
        </is>
      </c>
      <c r="B147" s="1" t="n">
        <v>45771</v>
      </c>
      <c r="C147" s="1" t="n">
        <v>46078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2.1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HYPERLINK("https://klasma.github.io/Logging_2482/artfynd/A 19924-2025 artfynd.xlsx", "A 19924-2025")</f>
        <v/>
      </c>
      <c r="T147">
        <f>HYPERLINK("https://klasma.github.io/Logging_2482/kartor/A 19924-2025 karta.png", "A 19924-2025")</f>
        <v/>
      </c>
      <c r="V147">
        <f>HYPERLINK("https://klasma.github.io/Logging_2482/klagomål/A 19924-2025 FSC-klagomål.docx", "A 19924-2025")</f>
        <v/>
      </c>
      <c r="W147">
        <f>HYPERLINK("https://klasma.github.io/Logging_2482/klagomålsmail/A 19924-2025 FSC-klagomål mail.docx", "A 19924-2025")</f>
        <v/>
      </c>
      <c r="X147">
        <f>HYPERLINK("https://klasma.github.io/Logging_2482/tillsyn/A 19924-2025 tillsynsbegäran.docx", "A 19924-2025")</f>
        <v/>
      </c>
      <c r="Y147">
        <f>HYPERLINK("https://klasma.github.io/Logging_2482/tillsynsmail/A 19924-2025 tillsynsbegäran mail.docx", "A 19924-2025")</f>
        <v/>
      </c>
    </row>
    <row r="148" ht="15" customHeight="1">
      <c r="A148" t="inlineStr">
        <is>
          <t>A 46731-2025</t>
        </is>
      </c>
      <c r="B148" s="1" t="n">
        <v>45926.59231481481</v>
      </c>
      <c r="C148" s="1" t="n">
        <v>46078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Sveaskog</t>
        </is>
      </c>
      <c r="G148" t="n">
        <v>17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HYPERLINK("https://klasma.github.io/Logging_2482/artfynd/A 46731-2025 artfynd.xlsx", "A 46731-2025")</f>
        <v/>
      </c>
      <c r="T148">
        <f>HYPERLINK("https://klasma.github.io/Logging_2482/kartor/A 46731-2025 karta.png", "A 46731-2025")</f>
        <v/>
      </c>
      <c r="V148">
        <f>HYPERLINK("https://klasma.github.io/Logging_2482/klagomål/A 46731-2025 FSC-klagomål.docx", "A 46731-2025")</f>
        <v/>
      </c>
      <c r="W148">
        <f>HYPERLINK("https://klasma.github.io/Logging_2482/klagomålsmail/A 46731-2025 FSC-klagomål mail.docx", "A 46731-2025")</f>
        <v/>
      </c>
      <c r="X148">
        <f>HYPERLINK("https://klasma.github.io/Logging_2482/tillsyn/A 46731-2025 tillsynsbegäran.docx", "A 46731-2025")</f>
        <v/>
      </c>
      <c r="Y148">
        <f>HYPERLINK("https://klasma.github.io/Logging_2482/tillsynsmail/A 46731-2025 tillsynsbegäran mail.docx", "A 46731-2025")</f>
        <v/>
      </c>
    </row>
    <row r="149" ht="15" customHeight="1">
      <c r="A149" t="inlineStr">
        <is>
          <t>A 28860-2025</t>
        </is>
      </c>
      <c r="B149" s="1" t="n">
        <v>45820.59178240741</v>
      </c>
      <c r="C149" s="1" t="n">
        <v>46078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Vedskivlav</t>
        </is>
      </c>
      <c r="S149">
        <f>HYPERLINK("https://klasma.github.io/Logging_2482/artfynd/A 28860-2025 artfynd.xlsx", "A 28860-2025")</f>
        <v/>
      </c>
      <c r="T149">
        <f>HYPERLINK("https://klasma.github.io/Logging_2482/kartor/A 28860-2025 karta.png", "A 28860-2025")</f>
        <v/>
      </c>
      <c r="V149">
        <f>HYPERLINK("https://klasma.github.io/Logging_2482/klagomål/A 28860-2025 FSC-klagomål.docx", "A 28860-2025")</f>
        <v/>
      </c>
      <c r="W149">
        <f>HYPERLINK("https://klasma.github.io/Logging_2482/klagomålsmail/A 28860-2025 FSC-klagomål mail.docx", "A 28860-2025")</f>
        <v/>
      </c>
      <c r="X149">
        <f>HYPERLINK("https://klasma.github.io/Logging_2482/tillsyn/A 28860-2025 tillsynsbegäran.docx", "A 28860-2025")</f>
        <v/>
      </c>
      <c r="Y149">
        <f>HYPERLINK("https://klasma.github.io/Logging_2482/tillsynsmail/A 28860-2025 tillsynsbegäran mail.docx", "A 28860-2025")</f>
        <v/>
      </c>
    </row>
    <row r="150" ht="15" customHeight="1">
      <c r="A150" t="inlineStr">
        <is>
          <t>A 47354-2025</t>
        </is>
      </c>
      <c r="B150" s="1" t="n">
        <v>45930.57769675926</v>
      </c>
      <c r="C150" s="1" t="n">
        <v>46078</v>
      </c>
      <c r="D150" t="inlineStr">
        <is>
          <t>VÄSTERBOTTENS LÄN</t>
        </is>
      </c>
      <c r="E150" t="inlineStr">
        <is>
          <t>SKELLEFTEÅ</t>
        </is>
      </c>
      <c r="G150" t="n">
        <v>0.5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Mindre vattensalamander</t>
        </is>
      </c>
      <c r="S150">
        <f>HYPERLINK("https://klasma.github.io/Logging_2482/artfynd/A 47354-2025 artfynd.xlsx", "A 47354-2025")</f>
        <v/>
      </c>
      <c r="T150">
        <f>HYPERLINK("https://klasma.github.io/Logging_2482/kartor/A 47354-2025 karta.png", "A 47354-2025")</f>
        <v/>
      </c>
      <c r="V150">
        <f>HYPERLINK("https://klasma.github.io/Logging_2482/klagomål/A 47354-2025 FSC-klagomål.docx", "A 47354-2025")</f>
        <v/>
      </c>
      <c r="W150">
        <f>HYPERLINK("https://klasma.github.io/Logging_2482/klagomålsmail/A 47354-2025 FSC-klagomål mail.docx", "A 47354-2025")</f>
        <v/>
      </c>
      <c r="X150">
        <f>HYPERLINK("https://klasma.github.io/Logging_2482/tillsyn/A 47354-2025 tillsynsbegäran.docx", "A 47354-2025")</f>
        <v/>
      </c>
      <c r="Y150">
        <f>HYPERLINK("https://klasma.github.io/Logging_2482/tillsynsmail/A 47354-2025 tillsynsbegäran mail.docx", "A 47354-2025")</f>
        <v/>
      </c>
    </row>
    <row r="151" ht="15" customHeight="1">
      <c r="A151" t="inlineStr">
        <is>
          <t>A 36531-2022</t>
        </is>
      </c>
      <c r="B151" s="1" t="n">
        <v>44804</v>
      </c>
      <c r="C151" s="1" t="n">
        <v>46078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Kommuner</t>
        </is>
      </c>
      <c r="G151" t="n">
        <v>3.1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HYPERLINK("https://klasma.github.io/Logging_2482/artfynd/A 36531-2022 artfynd.xlsx", "A 36531-2022")</f>
        <v/>
      </c>
      <c r="T151">
        <f>HYPERLINK("https://klasma.github.io/Logging_2482/kartor/A 36531-2022 karta.png", "A 36531-2022")</f>
        <v/>
      </c>
      <c r="V151">
        <f>HYPERLINK("https://klasma.github.io/Logging_2482/klagomål/A 36531-2022 FSC-klagomål.docx", "A 36531-2022")</f>
        <v/>
      </c>
      <c r="W151">
        <f>HYPERLINK("https://klasma.github.io/Logging_2482/klagomålsmail/A 36531-2022 FSC-klagomål mail.docx", "A 36531-2022")</f>
        <v/>
      </c>
      <c r="X151">
        <f>HYPERLINK("https://klasma.github.io/Logging_2482/tillsyn/A 36531-2022 tillsynsbegäran.docx", "A 36531-2022")</f>
        <v/>
      </c>
      <c r="Y151">
        <f>HYPERLINK("https://klasma.github.io/Logging_2482/tillsynsmail/A 36531-2022 tillsynsbegäran mail.docx", "A 36531-2022")</f>
        <v/>
      </c>
    </row>
    <row r="152" ht="15" customHeight="1">
      <c r="A152" t="inlineStr">
        <is>
          <t>A 24885-2022</t>
        </is>
      </c>
      <c r="B152" s="1" t="n">
        <v>44728</v>
      </c>
      <c r="C152" s="1" t="n">
        <v>46078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2.7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24885-2022 artfynd.xlsx", "A 24885-2022")</f>
        <v/>
      </c>
      <c r="T152">
        <f>HYPERLINK("https://klasma.github.io/Logging_2482/kartor/A 24885-2022 karta.png", "A 24885-2022")</f>
        <v/>
      </c>
      <c r="V152">
        <f>HYPERLINK("https://klasma.github.io/Logging_2482/klagomål/A 24885-2022 FSC-klagomål.docx", "A 24885-2022")</f>
        <v/>
      </c>
      <c r="W152">
        <f>HYPERLINK("https://klasma.github.io/Logging_2482/klagomålsmail/A 24885-2022 FSC-klagomål mail.docx", "A 24885-2022")</f>
        <v/>
      </c>
      <c r="X152">
        <f>HYPERLINK("https://klasma.github.io/Logging_2482/tillsyn/A 24885-2022 tillsynsbegäran.docx", "A 24885-2022")</f>
        <v/>
      </c>
      <c r="Y152">
        <f>HYPERLINK("https://klasma.github.io/Logging_2482/tillsynsmail/A 24885-2022 tillsynsbegäran mail.docx", "A 24885-2022")</f>
        <v/>
      </c>
    </row>
    <row r="153" ht="15" customHeight="1">
      <c r="A153" t="inlineStr">
        <is>
          <t>A 32964-2021</t>
        </is>
      </c>
      <c r="B153" s="1" t="n">
        <v>44376</v>
      </c>
      <c r="C153" s="1" t="n">
        <v>46078</v>
      </c>
      <c r="D153" t="inlineStr">
        <is>
          <t>VÄSTERBOTTENS LÄN</t>
        </is>
      </c>
      <c r="E153" t="inlineStr">
        <is>
          <t>SKELLEFTEÅ</t>
        </is>
      </c>
      <c r="G153" t="n">
        <v>16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Kådvaxskinn</t>
        </is>
      </c>
      <c r="S153">
        <f>HYPERLINK("https://klasma.github.io/Logging_2482/artfynd/A 32964-2021 artfynd.xlsx", "A 32964-2021")</f>
        <v/>
      </c>
      <c r="T153">
        <f>HYPERLINK("https://klasma.github.io/Logging_2482/kartor/A 32964-2021 karta.png", "A 32964-2021")</f>
        <v/>
      </c>
      <c r="V153">
        <f>HYPERLINK("https://klasma.github.io/Logging_2482/klagomål/A 32964-2021 FSC-klagomål.docx", "A 32964-2021")</f>
        <v/>
      </c>
      <c r="W153">
        <f>HYPERLINK("https://klasma.github.io/Logging_2482/klagomålsmail/A 32964-2021 FSC-klagomål mail.docx", "A 32964-2021")</f>
        <v/>
      </c>
      <c r="X153">
        <f>HYPERLINK("https://klasma.github.io/Logging_2482/tillsyn/A 32964-2021 tillsynsbegäran.docx", "A 32964-2021")</f>
        <v/>
      </c>
      <c r="Y153">
        <f>HYPERLINK("https://klasma.github.io/Logging_2482/tillsynsmail/A 32964-2021 tillsynsbegäran mail.docx", "A 32964-2021")</f>
        <v/>
      </c>
    </row>
    <row r="154" ht="15" customHeight="1">
      <c r="A154" t="inlineStr">
        <is>
          <t>A 8302-2025</t>
        </is>
      </c>
      <c r="B154" s="1" t="n">
        <v>45708</v>
      </c>
      <c r="C154" s="1" t="n">
        <v>46078</v>
      </c>
      <c r="D154" t="inlineStr">
        <is>
          <t>VÄSTERBOTTENS LÄN</t>
        </is>
      </c>
      <c r="E154" t="inlineStr">
        <is>
          <t>SKELLEFTEÅ</t>
        </is>
      </c>
      <c r="G154" t="n">
        <v>9.800000000000001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Mattlummer</t>
        </is>
      </c>
      <c r="S154">
        <f>HYPERLINK("https://klasma.github.io/Logging_2482/artfynd/A 8302-2025 artfynd.xlsx", "A 8302-2025")</f>
        <v/>
      </c>
      <c r="T154">
        <f>HYPERLINK("https://klasma.github.io/Logging_2482/kartor/A 8302-2025 karta.png", "A 8302-2025")</f>
        <v/>
      </c>
      <c r="V154">
        <f>HYPERLINK("https://klasma.github.io/Logging_2482/klagomål/A 8302-2025 FSC-klagomål.docx", "A 8302-2025")</f>
        <v/>
      </c>
      <c r="W154">
        <f>HYPERLINK("https://klasma.github.io/Logging_2482/klagomålsmail/A 8302-2025 FSC-klagomål mail.docx", "A 8302-2025")</f>
        <v/>
      </c>
      <c r="X154">
        <f>HYPERLINK("https://klasma.github.io/Logging_2482/tillsyn/A 8302-2025 tillsynsbegäran.docx", "A 8302-2025")</f>
        <v/>
      </c>
      <c r="Y154">
        <f>HYPERLINK("https://klasma.github.io/Logging_2482/tillsynsmail/A 8302-2025 tillsynsbegäran mail.docx", "A 8302-2025")</f>
        <v/>
      </c>
    </row>
    <row r="155" ht="15" customHeight="1">
      <c r="A155" t="inlineStr">
        <is>
          <t>A 51288-2025</t>
        </is>
      </c>
      <c r="B155" s="1" t="n">
        <v>45950.34547453704</v>
      </c>
      <c r="C155" s="1" t="n">
        <v>46078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SCA</t>
        </is>
      </c>
      <c r="G155" t="n">
        <v>6.5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Blå taggsvamp</t>
        </is>
      </c>
      <c r="S155">
        <f>HYPERLINK("https://klasma.github.io/Logging_2482/artfynd/A 51288-2025 artfynd.xlsx", "A 51288-2025")</f>
        <v/>
      </c>
      <c r="T155">
        <f>HYPERLINK("https://klasma.github.io/Logging_2482/kartor/A 51288-2025 karta.png", "A 51288-2025")</f>
        <v/>
      </c>
      <c r="V155">
        <f>HYPERLINK("https://klasma.github.io/Logging_2482/klagomål/A 51288-2025 FSC-klagomål.docx", "A 51288-2025")</f>
        <v/>
      </c>
      <c r="W155">
        <f>HYPERLINK("https://klasma.github.io/Logging_2482/klagomålsmail/A 51288-2025 FSC-klagomål mail.docx", "A 51288-2025")</f>
        <v/>
      </c>
      <c r="X155">
        <f>HYPERLINK("https://klasma.github.io/Logging_2482/tillsyn/A 51288-2025 tillsynsbegäran.docx", "A 51288-2025")</f>
        <v/>
      </c>
      <c r="Y155">
        <f>HYPERLINK("https://klasma.github.io/Logging_2482/tillsynsmail/A 51288-2025 tillsynsbegäran mail.docx", "A 51288-2025")</f>
        <v/>
      </c>
    </row>
    <row r="156" ht="15" customHeight="1">
      <c r="A156" t="inlineStr">
        <is>
          <t>A 1694-2025</t>
        </is>
      </c>
      <c r="B156" s="1" t="n">
        <v>45670</v>
      </c>
      <c r="C156" s="1" t="n">
        <v>46078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1694-2025 artfynd.xlsx", "A 1694-2025")</f>
        <v/>
      </c>
      <c r="T156">
        <f>HYPERLINK("https://klasma.github.io/Logging_2482/kartor/A 1694-2025 karta.png", "A 1694-2025")</f>
        <v/>
      </c>
      <c r="V156">
        <f>HYPERLINK("https://klasma.github.io/Logging_2482/klagomål/A 1694-2025 FSC-klagomål.docx", "A 1694-2025")</f>
        <v/>
      </c>
      <c r="W156">
        <f>HYPERLINK("https://klasma.github.io/Logging_2482/klagomålsmail/A 1694-2025 FSC-klagomål mail.docx", "A 1694-2025")</f>
        <v/>
      </c>
      <c r="X156">
        <f>HYPERLINK("https://klasma.github.io/Logging_2482/tillsyn/A 1694-2025 tillsynsbegäran.docx", "A 1694-2025")</f>
        <v/>
      </c>
      <c r="Y156">
        <f>HYPERLINK("https://klasma.github.io/Logging_2482/tillsynsmail/A 1694-2025 tillsynsbegäran mail.docx", "A 1694-2025")</f>
        <v/>
      </c>
      <c r="Z156">
        <f>HYPERLINK("https://klasma.github.io/Logging_2482/fåglar/A 1694-2025 prioriterade fågelarter.docx", "A 1694-2025")</f>
        <v/>
      </c>
    </row>
    <row r="157" ht="15" customHeight="1">
      <c r="A157" t="inlineStr">
        <is>
          <t>A 59709-2024</t>
        </is>
      </c>
      <c r="B157" s="1" t="n">
        <v>45639.44667824074</v>
      </c>
      <c r="C157" s="1" t="n">
        <v>46078</v>
      </c>
      <c r="D157" t="inlineStr">
        <is>
          <t>VÄSTERBOTTENS LÄN</t>
        </is>
      </c>
      <c r="E157" t="inlineStr">
        <is>
          <t>SKELLEFTEÅ</t>
        </is>
      </c>
      <c r="G157" t="n">
        <v>2.7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59709-2024 artfynd.xlsx", "A 59709-2024")</f>
        <v/>
      </c>
      <c r="T157">
        <f>HYPERLINK("https://klasma.github.io/Logging_2482/kartor/A 59709-2024 karta.png", "A 59709-2024")</f>
        <v/>
      </c>
      <c r="V157">
        <f>HYPERLINK("https://klasma.github.io/Logging_2482/klagomål/A 59709-2024 FSC-klagomål.docx", "A 59709-2024")</f>
        <v/>
      </c>
      <c r="W157">
        <f>HYPERLINK("https://klasma.github.io/Logging_2482/klagomålsmail/A 59709-2024 FSC-klagomål mail.docx", "A 59709-2024")</f>
        <v/>
      </c>
      <c r="X157">
        <f>HYPERLINK("https://klasma.github.io/Logging_2482/tillsyn/A 59709-2024 tillsynsbegäran.docx", "A 59709-2024")</f>
        <v/>
      </c>
      <c r="Y157">
        <f>HYPERLINK("https://klasma.github.io/Logging_2482/tillsynsmail/A 59709-2024 tillsynsbegäran mail.docx", "A 59709-2024")</f>
        <v/>
      </c>
      <c r="Z157">
        <f>HYPERLINK("https://klasma.github.io/Logging_2482/fåglar/A 59709-2024 prioriterade fågelarter.docx", "A 59709-2024")</f>
        <v/>
      </c>
    </row>
    <row r="158" ht="15" customHeight="1">
      <c r="A158" t="inlineStr">
        <is>
          <t>A 52299-2025</t>
        </is>
      </c>
      <c r="B158" s="1" t="n">
        <v>45953.61414351852</v>
      </c>
      <c r="C158" s="1" t="n">
        <v>46078</v>
      </c>
      <c r="D158" t="inlineStr">
        <is>
          <t>VÄSTERBOTTENS LÄN</t>
        </is>
      </c>
      <c r="E158" t="inlineStr">
        <is>
          <t>SKELLEFTEÅ</t>
        </is>
      </c>
      <c r="G158" t="n">
        <v>1.4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Månlåsbräken</t>
        </is>
      </c>
      <c r="S158">
        <f>HYPERLINK("https://klasma.github.io/Logging_2482/artfynd/A 52299-2025 artfynd.xlsx", "A 52299-2025")</f>
        <v/>
      </c>
      <c r="T158">
        <f>HYPERLINK("https://klasma.github.io/Logging_2482/kartor/A 52299-2025 karta.png", "A 52299-2025")</f>
        <v/>
      </c>
      <c r="V158">
        <f>HYPERLINK("https://klasma.github.io/Logging_2482/klagomål/A 52299-2025 FSC-klagomål.docx", "A 52299-2025")</f>
        <v/>
      </c>
      <c r="W158">
        <f>HYPERLINK("https://klasma.github.io/Logging_2482/klagomålsmail/A 52299-2025 FSC-klagomål mail.docx", "A 52299-2025")</f>
        <v/>
      </c>
      <c r="X158">
        <f>HYPERLINK("https://klasma.github.io/Logging_2482/tillsyn/A 52299-2025 tillsynsbegäran.docx", "A 52299-2025")</f>
        <v/>
      </c>
      <c r="Y158">
        <f>HYPERLINK("https://klasma.github.io/Logging_2482/tillsynsmail/A 52299-2025 tillsynsbegäran mail.docx", "A 52299-2025")</f>
        <v/>
      </c>
    </row>
    <row r="159" ht="15" customHeight="1">
      <c r="A159" t="inlineStr">
        <is>
          <t>A 2308-2025</t>
        </is>
      </c>
      <c r="B159" s="1" t="n">
        <v>45673.60113425926</v>
      </c>
      <c r="C159" s="1" t="n">
        <v>46078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HYPERLINK("https://klasma.github.io/Logging_2482/artfynd/A 2308-2025 artfynd.xlsx", "A 2308-2025")</f>
        <v/>
      </c>
      <c r="T159">
        <f>HYPERLINK("https://klasma.github.io/Logging_2482/kartor/A 2308-2025 karta.png", "A 2308-2025")</f>
        <v/>
      </c>
      <c r="V159">
        <f>HYPERLINK("https://klasma.github.io/Logging_2482/klagomål/A 2308-2025 FSC-klagomål.docx", "A 2308-2025")</f>
        <v/>
      </c>
      <c r="W159">
        <f>HYPERLINK("https://klasma.github.io/Logging_2482/klagomålsmail/A 2308-2025 FSC-klagomål mail.docx", "A 2308-2025")</f>
        <v/>
      </c>
      <c r="X159">
        <f>HYPERLINK("https://klasma.github.io/Logging_2482/tillsyn/A 2308-2025 tillsynsbegäran.docx", "A 2308-2025")</f>
        <v/>
      </c>
      <c r="Y159">
        <f>HYPERLINK("https://klasma.github.io/Logging_2482/tillsynsmail/A 2308-2025 tillsynsbegäran mail.docx", "A 2308-2025")</f>
        <v/>
      </c>
    </row>
    <row r="160" ht="15" customHeight="1">
      <c r="A160" t="inlineStr">
        <is>
          <t>A 57568-2024</t>
        </is>
      </c>
      <c r="B160" s="1" t="n">
        <v>45630.46457175926</v>
      </c>
      <c r="C160" s="1" t="n">
        <v>46078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7.3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Stjärntagging</t>
        </is>
      </c>
      <c r="S160">
        <f>HYPERLINK("https://klasma.github.io/Logging_2482/artfynd/A 57568-2024 artfynd.xlsx", "A 57568-2024")</f>
        <v/>
      </c>
      <c r="T160">
        <f>HYPERLINK("https://klasma.github.io/Logging_2482/kartor/A 57568-2024 karta.png", "A 57568-2024")</f>
        <v/>
      </c>
      <c r="V160">
        <f>HYPERLINK("https://klasma.github.io/Logging_2482/klagomål/A 57568-2024 FSC-klagomål.docx", "A 57568-2024")</f>
        <v/>
      </c>
      <c r="W160">
        <f>HYPERLINK("https://klasma.github.io/Logging_2482/klagomålsmail/A 57568-2024 FSC-klagomål mail.docx", "A 57568-2024")</f>
        <v/>
      </c>
      <c r="X160">
        <f>HYPERLINK("https://klasma.github.io/Logging_2482/tillsyn/A 57568-2024 tillsynsbegäran.docx", "A 57568-2024")</f>
        <v/>
      </c>
      <c r="Y160">
        <f>HYPERLINK("https://klasma.github.io/Logging_2482/tillsynsmail/A 57568-2024 tillsynsbegäran mail.docx", "A 57568-2024")</f>
        <v/>
      </c>
    </row>
    <row r="161" ht="15" customHeight="1">
      <c r="A161" t="inlineStr">
        <is>
          <t>A 35910-2025</t>
        </is>
      </c>
      <c r="B161" s="1" t="n">
        <v>45862.5197800926</v>
      </c>
      <c r="C161" s="1" t="n">
        <v>46078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Holmen skog AB</t>
        </is>
      </c>
      <c r="G161" t="n">
        <v>5.6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Stuplav</t>
        </is>
      </c>
      <c r="S161">
        <f>HYPERLINK("https://klasma.github.io/Logging_2482/artfynd/A 35910-2025 artfynd.xlsx", "A 35910-2025")</f>
        <v/>
      </c>
      <c r="T161">
        <f>HYPERLINK("https://klasma.github.io/Logging_2482/kartor/A 35910-2025 karta.png", "A 35910-2025")</f>
        <v/>
      </c>
      <c r="U161">
        <f>HYPERLINK("https://klasma.github.io/Logging_2482/knärot/A 35910-2025 karta knärot.png", "A 35910-2025")</f>
        <v/>
      </c>
      <c r="V161">
        <f>HYPERLINK("https://klasma.github.io/Logging_2482/klagomål/A 35910-2025 FSC-klagomål.docx", "A 35910-2025")</f>
        <v/>
      </c>
      <c r="W161">
        <f>HYPERLINK("https://klasma.github.io/Logging_2482/klagomålsmail/A 35910-2025 FSC-klagomål mail.docx", "A 35910-2025")</f>
        <v/>
      </c>
      <c r="X161">
        <f>HYPERLINK("https://klasma.github.io/Logging_2482/tillsyn/A 35910-2025 tillsynsbegäran.docx", "A 35910-2025")</f>
        <v/>
      </c>
      <c r="Y161">
        <f>HYPERLINK("https://klasma.github.io/Logging_2482/tillsynsmail/A 35910-2025 tillsynsbegäran mail.docx", "A 35910-2025")</f>
        <v/>
      </c>
    </row>
    <row r="162" ht="15" customHeight="1">
      <c r="A162" t="inlineStr">
        <is>
          <t>A 60586-2022</t>
        </is>
      </c>
      <c r="B162" s="1" t="n">
        <v>44911</v>
      </c>
      <c r="C162" s="1" t="n">
        <v>46078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Sveaskog</t>
        </is>
      </c>
      <c r="G162" t="n">
        <v>10.8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HYPERLINK("https://klasma.github.io/Logging_2482/artfynd/A 60586-2022 artfynd.xlsx", "A 60586-2022")</f>
        <v/>
      </c>
      <c r="T162">
        <f>HYPERLINK("https://klasma.github.io/Logging_2482/kartor/A 60586-2022 karta.png", "A 60586-2022")</f>
        <v/>
      </c>
      <c r="V162">
        <f>HYPERLINK("https://klasma.github.io/Logging_2482/klagomål/A 60586-2022 FSC-klagomål.docx", "A 60586-2022")</f>
        <v/>
      </c>
      <c r="W162">
        <f>HYPERLINK("https://klasma.github.io/Logging_2482/klagomålsmail/A 60586-2022 FSC-klagomål mail.docx", "A 60586-2022")</f>
        <v/>
      </c>
      <c r="X162">
        <f>HYPERLINK("https://klasma.github.io/Logging_2482/tillsyn/A 60586-2022 tillsynsbegäran.docx", "A 60586-2022")</f>
        <v/>
      </c>
      <c r="Y162">
        <f>HYPERLINK("https://klasma.github.io/Logging_2482/tillsynsmail/A 60586-2022 tillsynsbegäran mail.docx", "A 60586-2022")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46078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37254-2025</t>
        </is>
      </c>
      <c r="B164" s="1" t="n">
        <v>45875</v>
      </c>
      <c r="C164" s="1" t="n">
        <v>46078</v>
      </c>
      <c r="D164" t="inlineStr">
        <is>
          <t>VÄSTERBOTTENS LÄN</t>
        </is>
      </c>
      <c r="E164" t="inlineStr">
        <is>
          <t>SKELLEFTEÅ</t>
        </is>
      </c>
      <c r="G164" t="n">
        <v>11.4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Äggvaxskivling</t>
        </is>
      </c>
      <c r="S164">
        <f>HYPERLINK("https://klasma.github.io/Logging_2482/artfynd/A 37254-2025 artfynd.xlsx", "A 37254-2025")</f>
        <v/>
      </c>
      <c r="T164">
        <f>HYPERLINK("https://klasma.github.io/Logging_2482/kartor/A 37254-2025 karta.png", "A 37254-2025")</f>
        <v/>
      </c>
      <c r="V164">
        <f>HYPERLINK("https://klasma.github.io/Logging_2482/klagomål/A 37254-2025 FSC-klagomål.docx", "A 37254-2025")</f>
        <v/>
      </c>
      <c r="W164">
        <f>HYPERLINK("https://klasma.github.io/Logging_2482/klagomålsmail/A 37254-2025 FSC-klagomål mail.docx", "A 37254-2025")</f>
        <v/>
      </c>
      <c r="X164">
        <f>HYPERLINK("https://klasma.github.io/Logging_2482/tillsyn/A 37254-2025 tillsynsbegäran.docx", "A 37254-2025")</f>
        <v/>
      </c>
      <c r="Y164">
        <f>HYPERLINK("https://klasma.github.io/Logging_2482/tillsynsmail/A 37254-2025 tillsynsbegäran mail.docx", "A 37254-2025")</f>
        <v/>
      </c>
    </row>
    <row r="165" ht="15" customHeight="1">
      <c r="A165" t="inlineStr">
        <is>
          <t>A 37815-2025</t>
        </is>
      </c>
      <c r="B165" s="1" t="n">
        <v>45881.38259259259</v>
      </c>
      <c r="C165" s="1" t="n">
        <v>46078</v>
      </c>
      <c r="D165" t="inlineStr">
        <is>
          <t>VÄSTERBOTTENS LÄN</t>
        </is>
      </c>
      <c r="E165" t="inlineStr">
        <is>
          <t>SKELLEFTEÅ</t>
        </is>
      </c>
      <c r="G165" t="n">
        <v>3.7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37815-2025 artfynd.xlsx", "A 37815-2025")</f>
        <v/>
      </c>
      <c r="T165">
        <f>HYPERLINK("https://klasma.github.io/Logging_2482/kartor/A 37815-2025 karta.png", "A 37815-2025")</f>
        <v/>
      </c>
      <c r="V165">
        <f>HYPERLINK("https://klasma.github.io/Logging_2482/klagomål/A 37815-2025 FSC-klagomål.docx", "A 37815-2025")</f>
        <v/>
      </c>
      <c r="W165">
        <f>HYPERLINK("https://klasma.github.io/Logging_2482/klagomålsmail/A 37815-2025 FSC-klagomål mail.docx", "A 37815-2025")</f>
        <v/>
      </c>
      <c r="X165">
        <f>HYPERLINK("https://klasma.github.io/Logging_2482/tillsyn/A 37815-2025 tillsynsbegäran.docx", "A 37815-2025")</f>
        <v/>
      </c>
      <c r="Y165">
        <f>HYPERLINK("https://klasma.github.io/Logging_2482/tillsynsmail/A 37815-2025 tillsynsbegäran mail.docx", "A 37815-2025")</f>
        <v/>
      </c>
      <c r="Z165">
        <f>HYPERLINK("https://klasma.github.io/Logging_2482/fåglar/A 37815-2025 prioriterade fågelarter.docx", "A 37815-2025")</f>
        <v/>
      </c>
    </row>
    <row r="166" ht="15" customHeight="1">
      <c r="A166" t="inlineStr">
        <is>
          <t>A 64409-2021</t>
        </is>
      </c>
      <c r="B166" s="1" t="n">
        <v>44510</v>
      </c>
      <c r="C166" s="1" t="n">
        <v>46078</v>
      </c>
      <c r="D166" t="inlineStr">
        <is>
          <t>VÄSTERBOTTENS LÄN</t>
        </is>
      </c>
      <c r="E166" t="inlineStr">
        <is>
          <t>SKELLEFTEÅ</t>
        </is>
      </c>
      <c r="G166" t="n">
        <v>1.3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Igelkott</t>
        </is>
      </c>
      <c r="S166">
        <f>HYPERLINK("https://klasma.github.io/Logging_2482/artfynd/A 64409-2021 artfynd.xlsx", "A 64409-2021")</f>
        <v/>
      </c>
      <c r="T166">
        <f>HYPERLINK("https://klasma.github.io/Logging_2482/kartor/A 64409-2021 karta.png", "A 64409-2021")</f>
        <v/>
      </c>
      <c r="V166">
        <f>HYPERLINK("https://klasma.github.io/Logging_2482/klagomål/A 64409-2021 FSC-klagomål.docx", "A 64409-2021")</f>
        <v/>
      </c>
      <c r="W166">
        <f>HYPERLINK("https://klasma.github.io/Logging_2482/klagomålsmail/A 64409-2021 FSC-klagomål mail.docx", "A 64409-2021")</f>
        <v/>
      </c>
      <c r="X166">
        <f>HYPERLINK("https://klasma.github.io/Logging_2482/tillsyn/A 64409-2021 tillsynsbegäran.docx", "A 64409-2021")</f>
        <v/>
      </c>
      <c r="Y166">
        <f>HYPERLINK("https://klasma.github.io/Logging_2482/tillsynsmail/A 64409-2021 tillsynsbegäran mail.docx", "A 64409-2021")</f>
        <v/>
      </c>
    </row>
    <row r="167" ht="15" customHeight="1">
      <c r="A167" t="inlineStr">
        <is>
          <t>A 56072-2025</t>
        </is>
      </c>
      <c r="B167" s="1" t="n">
        <v>45973.6524074074</v>
      </c>
      <c r="C167" s="1" t="n">
        <v>46078</v>
      </c>
      <c r="D167" t="inlineStr">
        <is>
          <t>VÄSTERBOTTENS LÄN</t>
        </is>
      </c>
      <c r="E167" t="inlineStr">
        <is>
          <t>SKELLEFTEÅ</t>
        </is>
      </c>
      <c r="G167" t="n">
        <v>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HYPERLINK("https://klasma.github.io/Logging_2482/artfynd/A 56072-2025 artfynd.xlsx", "A 56072-2025")</f>
        <v/>
      </c>
      <c r="T167">
        <f>HYPERLINK("https://klasma.github.io/Logging_2482/kartor/A 56072-2025 karta.png", "A 56072-2025")</f>
        <v/>
      </c>
      <c r="V167">
        <f>HYPERLINK("https://klasma.github.io/Logging_2482/klagomål/A 56072-2025 FSC-klagomål.docx", "A 56072-2025")</f>
        <v/>
      </c>
      <c r="W167">
        <f>HYPERLINK("https://klasma.github.io/Logging_2482/klagomålsmail/A 56072-2025 FSC-klagomål mail.docx", "A 56072-2025")</f>
        <v/>
      </c>
      <c r="X167">
        <f>HYPERLINK("https://klasma.github.io/Logging_2482/tillsyn/A 56072-2025 tillsynsbegäran.docx", "A 56072-2025")</f>
        <v/>
      </c>
      <c r="Y167">
        <f>HYPERLINK("https://klasma.github.io/Logging_2482/tillsynsmail/A 56072-2025 tillsynsbegäran mail.docx", "A 56072-2025")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46078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277-2025</t>
        </is>
      </c>
      <c r="B169" s="1" t="n">
        <v>45660.49072916667</v>
      </c>
      <c r="C169" s="1" t="n">
        <v>46078</v>
      </c>
      <c r="D169" t="inlineStr">
        <is>
          <t>VÄSTERBOTTENS LÄN</t>
        </is>
      </c>
      <c r="E169" t="inlineStr">
        <is>
          <t>SKELLEFTEÅ</t>
        </is>
      </c>
      <c r="G169" t="n">
        <v>17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277-2025 artfynd.xlsx", "A 277-2025")</f>
        <v/>
      </c>
      <c r="T169">
        <f>HYPERLINK("https://klasma.github.io/Logging_2482/kartor/A 277-2025 karta.png", "A 277-2025")</f>
        <v/>
      </c>
      <c r="V169">
        <f>HYPERLINK("https://klasma.github.io/Logging_2482/klagomål/A 277-2025 FSC-klagomål.docx", "A 277-2025")</f>
        <v/>
      </c>
      <c r="W169">
        <f>HYPERLINK("https://klasma.github.io/Logging_2482/klagomålsmail/A 277-2025 FSC-klagomål mail.docx", "A 277-2025")</f>
        <v/>
      </c>
      <c r="X169">
        <f>HYPERLINK("https://klasma.github.io/Logging_2482/tillsyn/A 277-2025 tillsynsbegäran.docx", "A 277-2025")</f>
        <v/>
      </c>
      <c r="Y169">
        <f>HYPERLINK("https://klasma.github.io/Logging_2482/tillsynsmail/A 277-2025 tillsynsbegäran mail.docx", "A 277-2025")</f>
        <v/>
      </c>
      <c r="Z169">
        <f>HYPERLINK("https://klasma.github.io/Logging_2482/fåglar/A 277-2025 prioriterade fågelarter.docx", "A 277-2025")</f>
        <v/>
      </c>
    </row>
    <row r="170" ht="15" customHeight="1">
      <c r="A170" t="inlineStr">
        <is>
          <t>A 57992-2025</t>
        </is>
      </c>
      <c r="B170" s="1" t="n">
        <v>45982.42826388889</v>
      </c>
      <c r="C170" s="1" t="n">
        <v>46078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Sveaskog</t>
        </is>
      </c>
      <c r="G170" t="n">
        <v>13.6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Tjäder</t>
        </is>
      </c>
      <c r="S170">
        <f>HYPERLINK("https://klasma.github.io/Logging_2482/artfynd/A 57992-2025 artfynd.xlsx", "A 57992-2025")</f>
        <v/>
      </c>
      <c r="T170">
        <f>HYPERLINK("https://klasma.github.io/Logging_2482/kartor/A 57992-2025 karta.png", "A 57992-2025")</f>
        <v/>
      </c>
      <c r="V170">
        <f>HYPERLINK("https://klasma.github.io/Logging_2482/klagomål/A 57992-2025 FSC-klagomål.docx", "A 57992-2025")</f>
        <v/>
      </c>
      <c r="W170">
        <f>HYPERLINK("https://klasma.github.io/Logging_2482/klagomålsmail/A 57992-2025 FSC-klagomål mail.docx", "A 57992-2025")</f>
        <v/>
      </c>
      <c r="X170">
        <f>HYPERLINK("https://klasma.github.io/Logging_2482/tillsyn/A 57992-2025 tillsynsbegäran.docx", "A 57992-2025")</f>
        <v/>
      </c>
      <c r="Y170">
        <f>HYPERLINK("https://klasma.github.io/Logging_2482/tillsynsmail/A 57992-2025 tillsynsbegäran mail.docx", "A 57992-2025")</f>
        <v/>
      </c>
      <c r="Z170">
        <f>HYPERLINK("https://klasma.github.io/Logging_2482/fåglar/A 57992-2025 prioriterade fågelarter.docx", "A 57992-2025")</f>
        <v/>
      </c>
    </row>
    <row r="171" ht="15" customHeight="1">
      <c r="A171" t="inlineStr">
        <is>
          <t>A 8820-2025</t>
        </is>
      </c>
      <c r="B171" s="1" t="n">
        <v>45712</v>
      </c>
      <c r="C171" s="1" t="n">
        <v>46078</v>
      </c>
      <c r="D171" t="inlineStr">
        <is>
          <t>VÄSTERBOTTENS LÄN</t>
        </is>
      </c>
      <c r="E171" t="inlineStr">
        <is>
          <t>SKELLEFTEÅ</t>
        </is>
      </c>
      <c r="G171" t="n">
        <v>2.5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HYPERLINK("https://klasma.github.io/Logging_2482/artfynd/A 8820-2025 artfynd.xlsx", "A 8820-2025")</f>
        <v/>
      </c>
      <c r="T171">
        <f>HYPERLINK("https://klasma.github.io/Logging_2482/kartor/A 8820-2025 karta.png", "A 8820-2025")</f>
        <v/>
      </c>
      <c r="U171">
        <f>HYPERLINK("https://klasma.github.io/Logging_2482/knärot/A 8820-2025 karta knärot.png", "A 8820-2025")</f>
        <v/>
      </c>
      <c r="V171">
        <f>HYPERLINK("https://klasma.github.io/Logging_2482/klagomål/A 8820-2025 FSC-klagomål.docx", "A 8820-2025")</f>
        <v/>
      </c>
      <c r="W171">
        <f>HYPERLINK("https://klasma.github.io/Logging_2482/klagomålsmail/A 8820-2025 FSC-klagomål mail.docx", "A 8820-2025")</f>
        <v/>
      </c>
      <c r="X171">
        <f>HYPERLINK("https://klasma.github.io/Logging_2482/tillsyn/A 8820-2025 tillsynsbegäran.docx", "A 8820-2025")</f>
        <v/>
      </c>
      <c r="Y171">
        <f>HYPERLINK("https://klasma.github.io/Logging_2482/tillsynsmail/A 8820-2025 tillsynsbegäran mail.docx", "A 8820-2025")</f>
        <v/>
      </c>
    </row>
    <row r="172" ht="15" customHeight="1">
      <c r="A172" t="inlineStr">
        <is>
          <t>A 737-2025</t>
        </is>
      </c>
      <c r="B172" s="1" t="n">
        <v>45665</v>
      </c>
      <c r="C172" s="1" t="n">
        <v>46078</v>
      </c>
      <c r="D172" t="inlineStr">
        <is>
          <t>VÄSTERBOTTENS LÄN</t>
        </is>
      </c>
      <c r="E172" t="inlineStr">
        <is>
          <t>SKELLEFTEÅ</t>
        </is>
      </c>
      <c r="G172" t="n">
        <v>14.8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Goliatmusseron</t>
        </is>
      </c>
      <c r="S172">
        <f>HYPERLINK("https://klasma.github.io/Logging_2482/artfynd/A 737-2025 artfynd.xlsx", "A 737-2025")</f>
        <v/>
      </c>
      <c r="T172">
        <f>HYPERLINK("https://klasma.github.io/Logging_2482/kartor/A 737-2025 karta.png", "A 737-2025")</f>
        <v/>
      </c>
      <c r="V172">
        <f>HYPERLINK("https://klasma.github.io/Logging_2482/klagomål/A 737-2025 FSC-klagomål.docx", "A 737-2025")</f>
        <v/>
      </c>
      <c r="W172">
        <f>HYPERLINK("https://klasma.github.io/Logging_2482/klagomålsmail/A 737-2025 FSC-klagomål mail.docx", "A 737-2025")</f>
        <v/>
      </c>
      <c r="X172">
        <f>HYPERLINK("https://klasma.github.io/Logging_2482/tillsyn/A 737-2025 tillsynsbegäran.docx", "A 737-2025")</f>
        <v/>
      </c>
      <c r="Y172">
        <f>HYPERLINK("https://klasma.github.io/Logging_2482/tillsynsmail/A 737-2025 tillsynsbegäran mail.docx", "A 737-2025")</f>
        <v/>
      </c>
    </row>
    <row r="173" ht="15" customHeight="1">
      <c r="A173" t="inlineStr">
        <is>
          <t>A 59097-2025</t>
        </is>
      </c>
      <c r="B173" s="1" t="n">
        <v>45988.45326388889</v>
      </c>
      <c r="C173" s="1" t="n">
        <v>46078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11.6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HYPERLINK("https://klasma.github.io/Logging_2482/artfynd/A 59097-2025 artfynd.xlsx", "A 59097-2025")</f>
        <v/>
      </c>
      <c r="T173">
        <f>HYPERLINK("https://klasma.github.io/Logging_2482/kartor/A 59097-2025 karta.png", "A 59097-2025")</f>
        <v/>
      </c>
      <c r="V173">
        <f>HYPERLINK("https://klasma.github.io/Logging_2482/klagomål/A 59097-2025 FSC-klagomål.docx", "A 59097-2025")</f>
        <v/>
      </c>
      <c r="W173">
        <f>HYPERLINK("https://klasma.github.io/Logging_2482/klagomålsmail/A 59097-2025 FSC-klagomål mail.docx", "A 59097-2025")</f>
        <v/>
      </c>
      <c r="X173">
        <f>HYPERLINK("https://klasma.github.io/Logging_2482/tillsyn/A 59097-2025 tillsynsbegäran.docx", "A 59097-2025")</f>
        <v/>
      </c>
      <c r="Y173">
        <f>HYPERLINK("https://klasma.github.io/Logging_2482/tillsynsmail/A 59097-2025 tillsynsbegäran mail.docx", "A 59097-2025")</f>
        <v/>
      </c>
    </row>
    <row r="174" ht="15" customHeight="1">
      <c r="A174" t="inlineStr">
        <is>
          <t>A 60010-2025</t>
        </is>
      </c>
      <c r="B174" s="1" t="n">
        <v>45993.59423611111</v>
      </c>
      <c r="C174" s="1" t="n">
        <v>46078</v>
      </c>
      <c r="D174" t="inlineStr">
        <is>
          <t>VÄSTERBOTTENS LÄN</t>
        </is>
      </c>
      <c r="E174" t="inlineStr">
        <is>
          <t>SKELLEFTEÅ</t>
        </is>
      </c>
      <c r="G174" t="n">
        <v>25.1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HYPERLINK("https://klasma.github.io/Logging_2482/artfynd/A 60010-2025 artfynd.xlsx", "A 60010-2025")</f>
        <v/>
      </c>
      <c r="T174">
        <f>HYPERLINK("https://klasma.github.io/Logging_2482/kartor/A 60010-2025 karta.png", "A 60010-2025")</f>
        <v/>
      </c>
      <c r="V174">
        <f>HYPERLINK("https://klasma.github.io/Logging_2482/klagomål/A 60010-2025 FSC-klagomål.docx", "A 60010-2025")</f>
        <v/>
      </c>
      <c r="W174">
        <f>HYPERLINK("https://klasma.github.io/Logging_2482/klagomålsmail/A 60010-2025 FSC-klagomål mail.docx", "A 60010-2025")</f>
        <v/>
      </c>
      <c r="X174">
        <f>HYPERLINK("https://klasma.github.io/Logging_2482/tillsyn/A 60010-2025 tillsynsbegäran.docx", "A 60010-2025")</f>
        <v/>
      </c>
      <c r="Y174">
        <f>HYPERLINK("https://klasma.github.io/Logging_2482/tillsynsmail/A 60010-2025 tillsynsbegäran mail.docx", "A 60010-2025")</f>
        <v/>
      </c>
      <c r="Z174">
        <f>HYPERLINK("https://klasma.github.io/Logging_2482/fåglar/A 60010-2025 prioriterade fågelarter.docx", "A 60010-2025")</f>
        <v/>
      </c>
    </row>
    <row r="175" ht="15" customHeight="1">
      <c r="A175" t="inlineStr">
        <is>
          <t>A 58829-2024</t>
        </is>
      </c>
      <c r="B175" s="1" t="n">
        <v>45636</v>
      </c>
      <c r="C175" s="1" t="n">
        <v>46078</v>
      </c>
      <c r="D175" t="inlineStr">
        <is>
          <t>VÄSTERBOTTENS LÄN</t>
        </is>
      </c>
      <c r="E175" t="inlineStr">
        <is>
          <t>SKELLEFTEÅ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HYPERLINK("https://klasma.github.io/Logging_2482/artfynd/A 58829-2024 artfynd.xlsx", "A 58829-2024")</f>
        <v/>
      </c>
      <c r="T175">
        <f>HYPERLINK("https://klasma.github.io/Logging_2482/kartor/A 58829-2024 karta.png", "A 58829-2024")</f>
        <v/>
      </c>
      <c r="V175">
        <f>HYPERLINK("https://klasma.github.io/Logging_2482/klagomål/A 58829-2024 FSC-klagomål.docx", "A 58829-2024")</f>
        <v/>
      </c>
      <c r="W175">
        <f>HYPERLINK("https://klasma.github.io/Logging_2482/klagomålsmail/A 58829-2024 FSC-klagomål mail.docx", "A 58829-2024")</f>
        <v/>
      </c>
      <c r="X175">
        <f>HYPERLINK("https://klasma.github.io/Logging_2482/tillsyn/A 58829-2024 tillsynsbegäran.docx", "A 58829-2024")</f>
        <v/>
      </c>
      <c r="Y175">
        <f>HYPERLINK("https://klasma.github.io/Logging_2482/tillsynsmail/A 58829-2024 tillsynsbegäran mail.docx", "A 58829-2024")</f>
        <v/>
      </c>
    </row>
    <row r="176" ht="15" customHeight="1">
      <c r="A176" t="inlineStr">
        <is>
          <t>A 60929-2025</t>
        </is>
      </c>
      <c r="B176" s="1" t="n">
        <v>45999.63458333333</v>
      </c>
      <c r="C176" s="1" t="n">
        <v>46078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Kommuner</t>
        </is>
      </c>
      <c r="G176" t="n">
        <v>8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HYPERLINK("https://klasma.github.io/Logging_2482/artfynd/A 60929-2025 artfynd.xlsx", "A 60929-2025")</f>
        <v/>
      </c>
      <c r="T176">
        <f>HYPERLINK("https://klasma.github.io/Logging_2482/kartor/A 60929-2025 karta.png", "A 60929-2025")</f>
        <v/>
      </c>
      <c r="V176">
        <f>HYPERLINK("https://klasma.github.io/Logging_2482/klagomål/A 60929-2025 FSC-klagomål.docx", "A 60929-2025")</f>
        <v/>
      </c>
      <c r="W176">
        <f>HYPERLINK("https://klasma.github.io/Logging_2482/klagomålsmail/A 60929-2025 FSC-klagomål mail.docx", "A 60929-2025")</f>
        <v/>
      </c>
      <c r="X176">
        <f>HYPERLINK("https://klasma.github.io/Logging_2482/tillsyn/A 60929-2025 tillsynsbegäran.docx", "A 60929-2025")</f>
        <v/>
      </c>
      <c r="Y176">
        <f>HYPERLINK("https://klasma.github.io/Logging_2482/tillsynsmail/A 60929-2025 tillsynsbegäran mail.docx", "A 60929-2025")</f>
        <v/>
      </c>
      <c r="Z176">
        <f>HYPERLINK("https://klasma.github.io/Logging_2482/fåglar/A 60929-2025 prioriterade fågelarter.docx", "A 60929-2025")</f>
        <v/>
      </c>
    </row>
    <row r="177" ht="15" customHeight="1">
      <c r="A177" t="inlineStr">
        <is>
          <t>A 2844-2026</t>
        </is>
      </c>
      <c r="B177" s="1" t="n">
        <v>46036</v>
      </c>
      <c r="C177" s="1" t="n">
        <v>46078</v>
      </c>
      <c r="D177" t="inlineStr">
        <is>
          <t>VÄSTERBOTTENS LÄN</t>
        </is>
      </c>
      <c r="E177" t="inlineStr">
        <is>
          <t>SKELLEFTEÅ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Ögonpyrola</t>
        </is>
      </c>
      <c r="S177">
        <f>HYPERLINK("https://klasma.github.io/Logging_2482/artfynd/A 2844-2026 artfynd.xlsx", "A 2844-2026")</f>
        <v/>
      </c>
      <c r="T177">
        <f>HYPERLINK("https://klasma.github.io/Logging_2482/kartor/A 2844-2026 karta.png", "A 2844-2026")</f>
        <v/>
      </c>
      <c r="V177">
        <f>HYPERLINK("https://klasma.github.io/Logging_2482/klagomål/A 2844-2026 FSC-klagomål.docx", "A 2844-2026")</f>
        <v/>
      </c>
      <c r="W177">
        <f>HYPERLINK("https://klasma.github.io/Logging_2482/klagomålsmail/A 2844-2026 FSC-klagomål mail.docx", "A 2844-2026")</f>
        <v/>
      </c>
      <c r="X177">
        <f>HYPERLINK("https://klasma.github.io/Logging_2482/tillsyn/A 2844-2026 tillsynsbegäran.docx", "A 2844-2026")</f>
        <v/>
      </c>
      <c r="Y177">
        <f>HYPERLINK("https://klasma.github.io/Logging_2482/tillsynsmail/A 2844-2026 tillsynsbegäran mail.docx", "A 2844-2026")</f>
        <v/>
      </c>
    </row>
    <row r="178" ht="15" customHeight="1">
      <c r="A178" t="inlineStr">
        <is>
          <t>A 62373-2025</t>
        </is>
      </c>
      <c r="B178" s="1" t="n">
        <v>46007.34458333333</v>
      </c>
      <c r="C178" s="1" t="n">
        <v>46078</v>
      </c>
      <c r="D178" t="inlineStr">
        <is>
          <t>VÄSTERBOTTENS LÄN</t>
        </is>
      </c>
      <c r="E178" t="inlineStr">
        <is>
          <t>SKELLEFTEÅ</t>
        </is>
      </c>
      <c r="G178" t="n">
        <v>7.3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Motaggsvamp</t>
        </is>
      </c>
      <c r="S178">
        <f>HYPERLINK("https://klasma.github.io/Logging_2482/artfynd/A 62373-2025 artfynd.xlsx", "A 62373-2025")</f>
        <v/>
      </c>
      <c r="T178">
        <f>HYPERLINK("https://klasma.github.io/Logging_2482/kartor/A 62373-2025 karta.png", "A 62373-2025")</f>
        <v/>
      </c>
      <c r="V178">
        <f>HYPERLINK("https://klasma.github.io/Logging_2482/klagomål/A 62373-2025 FSC-klagomål.docx", "A 62373-2025")</f>
        <v/>
      </c>
      <c r="W178">
        <f>HYPERLINK("https://klasma.github.io/Logging_2482/klagomålsmail/A 62373-2025 FSC-klagomål mail.docx", "A 62373-2025")</f>
        <v/>
      </c>
      <c r="X178">
        <f>HYPERLINK("https://klasma.github.io/Logging_2482/tillsyn/A 62373-2025 tillsynsbegäran.docx", "A 62373-2025")</f>
        <v/>
      </c>
      <c r="Y178">
        <f>HYPERLINK("https://klasma.github.io/Logging_2482/tillsynsmail/A 62373-2025 tillsynsbegäran mail.docx", "A 62373-2025")</f>
        <v/>
      </c>
    </row>
    <row r="179" ht="15" customHeight="1">
      <c r="A179" t="inlineStr">
        <is>
          <t>A 7181-2026</t>
        </is>
      </c>
      <c r="B179" s="1" t="n">
        <v>46058.48370370371</v>
      </c>
      <c r="C179" s="1" t="n">
        <v>46078</v>
      </c>
      <c r="D179" t="inlineStr">
        <is>
          <t>VÄSTERBOTTENS LÄN</t>
        </is>
      </c>
      <c r="E179" t="inlineStr">
        <is>
          <t>SKELLEFTEÅ</t>
        </is>
      </c>
      <c r="G179" t="n">
        <v>5.6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HYPERLINK("https://klasma.github.io/Logging_2482/artfynd/A 7181-2026 artfynd.xlsx", "A 7181-2026")</f>
        <v/>
      </c>
      <c r="T179">
        <f>HYPERLINK("https://klasma.github.io/Logging_2482/kartor/A 7181-2026 karta.png", "A 7181-2026")</f>
        <v/>
      </c>
      <c r="V179">
        <f>HYPERLINK("https://klasma.github.io/Logging_2482/klagomål/A 7181-2026 FSC-klagomål.docx", "A 7181-2026")</f>
        <v/>
      </c>
      <c r="W179">
        <f>HYPERLINK("https://klasma.github.io/Logging_2482/klagomålsmail/A 7181-2026 FSC-klagomål mail.docx", "A 7181-2026")</f>
        <v/>
      </c>
      <c r="X179">
        <f>HYPERLINK("https://klasma.github.io/Logging_2482/tillsyn/A 7181-2026 tillsynsbegäran.docx", "A 7181-2026")</f>
        <v/>
      </c>
      <c r="Y179">
        <f>HYPERLINK("https://klasma.github.io/Logging_2482/tillsynsmail/A 7181-2026 tillsynsbegäran mail.docx", "A 7181-2026")</f>
        <v/>
      </c>
    </row>
    <row r="180" ht="15" customHeight="1">
      <c r="A180" t="inlineStr">
        <is>
          <t>A 32724-2024</t>
        </is>
      </c>
      <c r="B180" s="1" t="n">
        <v>45516.40765046296</v>
      </c>
      <c r="C180" s="1" t="n">
        <v>46078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HYPERLINK("https://klasma.github.io/Logging_2482/artfynd/A 32724-2024 artfynd.xlsx", "A 32724-2024")</f>
        <v/>
      </c>
      <c r="T180">
        <f>HYPERLINK("https://klasma.github.io/Logging_2482/kartor/A 32724-2024 karta.png", "A 32724-2024")</f>
        <v/>
      </c>
      <c r="V180">
        <f>HYPERLINK("https://klasma.github.io/Logging_2482/klagomål/A 32724-2024 FSC-klagomål.docx", "A 32724-2024")</f>
        <v/>
      </c>
      <c r="W180">
        <f>HYPERLINK("https://klasma.github.io/Logging_2482/klagomålsmail/A 32724-2024 FSC-klagomål mail.docx", "A 32724-2024")</f>
        <v/>
      </c>
      <c r="X180">
        <f>HYPERLINK("https://klasma.github.io/Logging_2482/tillsyn/A 32724-2024 tillsynsbegäran.docx", "A 32724-2024")</f>
        <v/>
      </c>
      <c r="Y180">
        <f>HYPERLINK("https://klasma.github.io/Logging_2482/tillsynsmail/A 32724-2024 tillsynsbegäran mail.docx", "A 32724-2024")</f>
        <v/>
      </c>
    </row>
    <row r="181" ht="15" customHeight="1">
      <c r="A181" t="inlineStr">
        <is>
          <t>A 73985-2021</t>
        </is>
      </c>
      <c r="B181" s="1" t="n">
        <v>44555</v>
      </c>
      <c r="C181" s="1" t="n">
        <v>46078</v>
      </c>
      <c r="D181" t="inlineStr">
        <is>
          <t>VÄSTERBOTTENS LÄN</t>
        </is>
      </c>
      <c r="E181" t="inlineStr">
        <is>
          <t>SKELLEFTEÅ</t>
        </is>
      </c>
      <c r="G181" t="n">
        <v>1.8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73985-2021 artfynd.xlsx", "A 73985-2021")</f>
        <v/>
      </c>
      <c r="T181">
        <f>HYPERLINK("https://klasma.github.io/Logging_2482/kartor/A 73985-2021 karta.png", "A 73985-2021")</f>
        <v/>
      </c>
      <c r="V181">
        <f>HYPERLINK("https://klasma.github.io/Logging_2482/klagomål/A 73985-2021 FSC-klagomål.docx", "A 73985-2021")</f>
        <v/>
      </c>
      <c r="W181">
        <f>HYPERLINK("https://klasma.github.io/Logging_2482/klagomålsmail/A 73985-2021 FSC-klagomål mail.docx", "A 73985-2021")</f>
        <v/>
      </c>
      <c r="X181">
        <f>HYPERLINK("https://klasma.github.io/Logging_2482/tillsyn/A 73985-2021 tillsynsbegäran.docx", "A 73985-2021")</f>
        <v/>
      </c>
      <c r="Y181">
        <f>HYPERLINK("https://klasma.github.io/Logging_2482/tillsynsmail/A 73985-2021 tillsynsbegäran mail.docx", "A 73985-2021")</f>
        <v/>
      </c>
    </row>
    <row r="182" ht="15" customHeight="1">
      <c r="A182" t="inlineStr">
        <is>
          <t>A 1752-2026</t>
        </is>
      </c>
      <c r="B182" s="1" t="n">
        <v>46034.65699074074</v>
      </c>
      <c r="C182" s="1" t="n">
        <v>46078</v>
      </c>
      <c r="D182" t="inlineStr">
        <is>
          <t>VÄSTERBOTTENS LÄN</t>
        </is>
      </c>
      <c r="E182" t="inlineStr">
        <is>
          <t>SKELLEFTEÅ</t>
        </is>
      </c>
      <c r="G182" t="n">
        <v>13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HYPERLINK("https://klasma.github.io/Logging_2482/artfynd/A 1752-2026 artfynd.xlsx", "A 1752-2026")</f>
        <v/>
      </c>
      <c r="T182">
        <f>HYPERLINK("https://klasma.github.io/Logging_2482/kartor/A 1752-2026 karta.png", "A 1752-2026")</f>
        <v/>
      </c>
      <c r="V182">
        <f>HYPERLINK("https://klasma.github.io/Logging_2482/klagomål/A 1752-2026 FSC-klagomål.docx", "A 1752-2026")</f>
        <v/>
      </c>
      <c r="W182">
        <f>HYPERLINK("https://klasma.github.io/Logging_2482/klagomålsmail/A 1752-2026 FSC-klagomål mail.docx", "A 1752-2026")</f>
        <v/>
      </c>
      <c r="X182">
        <f>HYPERLINK("https://klasma.github.io/Logging_2482/tillsyn/A 1752-2026 tillsynsbegäran.docx", "A 1752-2026")</f>
        <v/>
      </c>
      <c r="Y182">
        <f>HYPERLINK("https://klasma.github.io/Logging_2482/tillsynsmail/A 1752-2026 tillsynsbegäran mail.docx", "A 1752-2026")</f>
        <v/>
      </c>
    </row>
    <row r="183" ht="15" customHeight="1">
      <c r="A183" t="inlineStr">
        <is>
          <t>A 54058-2022</t>
        </is>
      </c>
      <c r="B183" s="1" t="n">
        <v>44881</v>
      </c>
      <c r="C183" s="1" t="n">
        <v>46078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Sveaskog</t>
        </is>
      </c>
      <c r="G183" t="n">
        <v>1.2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Luddlav</t>
        </is>
      </c>
      <c r="S183">
        <f>HYPERLINK("https://klasma.github.io/Logging_2482/artfynd/A 54058-2022 artfynd.xlsx", "A 54058-2022")</f>
        <v/>
      </c>
      <c r="T183">
        <f>HYPERLINK("https://klasma.github.io/Logging_2482/kartor/A 54058-2022 karta.png", "A 54058-2022")</f>
        <v/>
      </c>
      <c r="V183">
        <f>HYPERLINK("https://klasma.github.io/Logging_2482/klagomål/A 54058-2022 FSC-klagomål.docx", "A 54058-2022")</f>
        <v/>
      </c>
      <c r="W183">
        <f>HYPERLINK("https://klasma.github.io/Logging_2482/klagomålsmail/A 54058-2022 FSC-klagomål mail.docx", "A 54058-2022")</f>
        <v/>
      </c>
      <c r="X183">
        <f>HYPERLINK("https://klasma.github.io/Logging_2482/tillsyn/A 54058-2022 tillsynsbegäran.docx", "A 54058-2022")</f>
        <v/>
      </c>
      <c r="Y183">
        <f>HYPERLINK("https://klasma.github.io/Logging_2482/tillsynsmail/A 54058-2022 tillsynsbegäran mail.docx", "A 54058-2022")</f>
        <v/>
      </c>
    </row>
    <row r="184" ht="15" customHeight="1">
      <c r="A184" t="inlineStr">
        <is>
          <t>A 41055-2023</t>
        </is>
      </c>
      <c r="B184" s="1" t="n">
        <v>45173</v>
      </c>
      <c r="C184" s="1" t="n">
        <v>46078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Flodpärlmussla</t>
        </is>
      </c>
      <c r="S184">
        <f>HYPERLINK("https://klasma.github.io/Logging_2482/artfynd/A 41055-2023 artfynd.xlsx", "A 41055-2023")</f>
        <v/>
      </c>
      <c r="T184">
        <f>HYPERLINK("https://klasma.github.io/Logging_2482/kartor/A 41055-2023 karta.png", "A 41055-2023")</f>
        <v/>
      </c>
      <c r="V184">
        <f>HYPERLINK("https://klasma.github.io/Logging_2482/klagomål/A 41055-2023 FSC-klagomål.docx", "A 41055-2023")</f>
        <v/>
      </c>
      <c r="W184">
        <f>HYPERLINK("https://klasma.github.io/Logging_2482/klagomålsmail/A 41055-2023 FSC-klagomål mail.docx", "A 41055-2023")</f>
        <v/>
      </c>
      <c r="X184">
        <f>HYPERLINK("https://klasma.github.io/Logging_2482/tillsyn/A 41055-2023 tillsynsbegäran.docx", "A 41055-2023")</f>
        <v/>
      </c>
      <c r="Y184">
        <f>HYPERLINK("https://klasma.github.io/Logging_2482/tillsynsmail/A 41055-2023 tillsynsbegäran mail.docx", "A 41055-2023")</f>
        <v/>
      </c>
    </row>
    <row r="185" ht="15" customHeight="1">
      <c r="A185" t="inlineStr">
        <is>
          <t>A 60231-2022</t>
        </is>
      </c>
      <c r="B185" s="1" t="n">
        <v>44910</v>
      </c>
      <c r="C185" s="1" t="n">
        <v>46078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6.4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HYPERLINK("https://klasma.github.io/Logging_2482/artfynd/A 60231-2022 artfynd.xlsx", "A 60231-2022")</f>
        <v/>
      </c>
      <c r="T185">
        <f>HYPERLINK("https://klasma.github.io/Logging_2482/kartor/A 60231-2022 karta.png", "A 60231-2022")</f>
        <v/>
      </c>
      <c r="V185">
        <f>HYPERLINK("https://klasma.github.io/Logging_2482/klagomål/A 60231-2022 FSC-klagomål.docx", "A 60231-2022")</f>
        <v/>
      </c>
      <c r="W185">
        <f>HYPERLINK("https://klasma.github.io/Logging_2482/klagomålsmail/A 60231-2022 FSC-klagomål mail.docx", "A 60231-2022")</f>
        <v/>
      </c>
      <c r="X185">
        <f>HYPERLINK("https://klasma.github.io/Logging_2482/tillsyn/A 60231-2022 tillsynsbegäran.docx", "A 60231-2022")</f>
        <v/>
      </c>
      <c r="Y185">
        <f>HYPERLINK("https://klasma.github.io/Logging_2482/tillsynsmail/A 60231-2022 tillsynsbegäran mail.docx", "A 60231-2022")</f>
        <v/>
      </c>
    </row>
    <row r="186" ht="15" customHeight="1">
      <c r="A186" t="inlineStr">
        <is>
          <t>A 45376-2024</t>
        </is>
      </c>
      <c r="B186" s="1" t="n">
        <v>45576.51907407407</v>
      </c>
      <c r="C186" s="1" t="n">
        <v>46078</v>
      </c>
      <c r="D186" t="inlineStr">
        <is>
          <t>VÄSTERBOTTENS LÄN</t>
        </is>
      </c>
      <c r="E186" t="inlineStr">
        <is>
          <t>SKELLEFTEÅ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45376-2024 artfynd.xlsx", "A 45376-2024")</f>
        <v/>
      </c>
      <c r="T186">
        <f>HYPERLINK("https://klasma.github.io/Logging_2482/kartor/A 45376-2024 karta.png", "A 45376-2024")</f>
        <v/>
      </c>
      <c r="V186">
        <f>HYPERLINK("https://klasma.github.io/Logging_2482/klagomål/A 45376-2024 FSC-klagomål.docx", "A 45376-2024")</f>
        <v/>
      </c>
      <c r="W186">
        <f>HYPERLINK("https://klasma.github.io/Logging_2482/klagomålsmail/A 45376-2024 FSC-klagomål mail.docx", "A 45376-2024")</f>
        <v/>
      </c>
      <c r="X186">
        <f>HYPERLINK("https://klasma.github.io/Logging_2482/tillsyn/A 45376-2024 tillsynsbegäran.docx", "A 45376-2024")</f>
        <v/>
      </c>
      <c r="Y186">
        <f>HYPERLINK("https://klasma.github.io/Logging_2482/tillsynsmail/A 45376-2024 tillsynsbegäran mail.docx", "A 45376-2024")</f>
        <v/>
      </c>
    </row>
    <row r="187" ht="15" customHeight="1">
      <c r="A187" t="inlineStr">
        <is>
          <t>A 2436-2025</t>
        </is>
      </c>
      <c r="B187" s="1" t="n">
        <v>45673</v>
      </c>
      <c r="C187" s="1" t="n">
        <v>46078</v>
      </c>
      <c r="D187" t="inlineStr">
        <is>
          <t>VÄSTERBOTTENS LÄN</t>
        </is>
      </c>
      <c r="E187" t="inlineStr">
        <is>
          <t>SKELLEFTEÅ</t>
        </is>
      </c>
      <c r="G187" t="n">
        <v>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HYPERLINK("https://klasma.github.io/Logging_2482/artfynd/A 2436-2025 artfynd.xlsx", "A 2436-2025")</f>
        <v/>
      </c>
      <c r="T187">
        <f>HYPERLINK("https://klasma.github.io/Logging_2482/kartor/A 2436-2025 karta.png", "A 2436-2025")</f>
        <v/>
      </c>
      <c r="V187">
        <f>HYPERLINK("https://klasma.github.io/Logging_2482/klagomål/A 2436-2025 FSC-klagomål.docx", "A 2436-2025")</f>
        <v/>
      </c>
      <c r="W187">
        <f>HYPERLINK("https://klasma.github.io/Logging_2482/klagomålsmail/A 2436-2025 FSC-klagomål mail.docx", "A 2436-2025")</f>
        <v/>
      </c>
      <c r="X187">
        <f>HYPERLINK("https://klasma.github.io/Logging_2482/tillsyn/A 2436-2025 tillsynsbegäran.docx", "A 2436-2025")</f>
        <v/>
      </c>
      <c r="Y187">
        <f>HYPERLINK("https://klasma.github.io/Logging_2482/tillsynsmail/A 2436-2025 tillsynsbegäran mail.docx", "A 2436-2025")</f>
        <v/>
      </c>
      <c r="Z187">
        <f>HYPERLINK("https://klasma.github.io/Logging_2482/fåglar/A 2436-2025 prioriterade fågelarter.docx", "A 2436-2025")</f>
        <v/>
      </c>
    </row>
    <row r="188" ht="15" customHeight="1">
      <c r="A188" t="inlineStr">
        <is>
          <t>A 32566-2023</t>
        </is>
      </c>
      <c r="B188" s="1" t="n">
        <v>45121</v>
      </c>
      <c r="C188" s="1" t="n">
        <v>46078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13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HYPERLINK("https://klasma.github.io/Logging_2482/artfynd/A 32566-2023 artfynd.xlsx", "A 32566-2023")</f>
        <v/>
      </c>
      <c r="T188">
        <f>HYPERLINK("https://klasma.github.io/Logging_2482/kartor/A 32566-2023 karta.png", "A 32566-2023")</f>
        <v/>
      </c>
      <c r="V188">
        <f>HYPERLINK("https://klasma.github.io/Logging_2482/klagomål/A 32566-2023 FSC-klagomål.docx", "A 32566-2023")</f>
        <v/>
      </c>
      <c r="W188">
        <f>HYPERLINK("https://klasma.github.io/Logging_2482/klagomålsmail/A 32566-2023 FSC-klagomål mail.docx", "A 32566-2023")</f>
        <v/>
      </c>
      <c r="X188">
        <f>HYPERLINK("https://klasma.github.io/Logging_2482/tillsyn/A 32566-2023 tillsynsbegäran.docx", "A 32566-2023")</f>
        <v/>
      </c>
      <c r="Y188">
        <f>HYPERLINK("https://klasma.github.io/Logging_2482/tillsynsmail/A 32566-2023 tillsynsbegäran mail.docx", "A 32566-2023")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46078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46078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31185-2021</t>
        </is>
      </c>
      <c r="B191" s="1" t="n">
        <v>44367</v>
      </c>
      <c r="C191" s="1" t="n">
        <v>46078</v>
      </c>
      <c r="D191" t="inlineStr">
        <is>
          <t>VÄSTERBOTTENS LÄN</t>
        </is>
      </c>
      <c r="E191" t="inlineStr">
        <is>
          <t>SKELLEFTEÅ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46078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46078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46078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46078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40345-2022</t>
        </is>
      </c>
      <c r="B196" s="1" t="n">
        <v>44823</v>
      </c>
      <c r="C196" s="1" t="n">
        <v>46078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21539-2022</t>
        </is>
      </c>
      <c r="B197" s="1" t="n">
        <v>44706</v>
      </c>
      <c r="C197" s="1" t="n">
        <v>46078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46078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46078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46078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46078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64399-2021</t>
        </is>
      </c>
      <c r="B202" s="1" t="n">
        <v>44511</v>
      </c>
      <c r="C202" s="1" t="n">
        <v>46078</v>
      </c>
      <c r="D202" t="inlineStr">
        <is>
          <t>VÄSTERBOTTENS LÄN</t>
        </is>
      </c>
      <c r="E202" t="inlineStr">
        <is>
          <t>SKELLEFTEÅ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28959-2021</t>
        </is>
      </c>
      <c r="B203" s="1" t="n">
        <v>44358.37585648148</v>
      </c>
      <c r="C203" s="1" t="n">
        <v>46078</v>
      </c>
      <c r="D203" t="inlineStr">
        <is>
          <t>VÄSTERBOTTENS LÄN</t>
        </is>
      </c>
      <c r="E203" t="inlineStr">
        <is>
          <t>SKELLEFTEÅ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32439-2021</t>
        </is>
      </c>
      <c r="B204" s="1" t="n">
        <v>44371</v>
      </c>
      <c r="C204" s="1" t="n">
        <v>46078</v>
      </c>
      <c r="D204" t="inlineStr">
        <is>
          <t>VÄSTERBOTTENS LÄN</t>
        </is>
      </c>
      <c r="E204" t="inlineStr">
        <is>
          <t>SKELLEFTEÅ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46006-2021</t>
        </is>
      </c>
      <c r="B205" s="1" t="n">
        <v>44441</v>
      </c>
      <c r="C205" s="1" t="n">
        <v>46078</v>
      </c>
      <c r="D205" t="inlineStr">
        <is>
          <t>VÄSTERBOTTENS LÄN</t>
        </is>
      </c>
      <c r="E205" t="inlineStr">
        <is>
          <t>SKELLEFTEÅ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55168-2021</t>
        </is>
      </c>
      <c r="B206" s="1" t="n">
        <v>44475.23858796297</v>
      </c>
      <c r="C206" s="1" t="n">
        <v>46078</v>
      </c>
      <c r="D206" t="inlineStr">
        <is>
          <t>VÄSTERBOTTENS LÄN</t>
        </is>
      </c>
      <c r="E206" t="inlineStr">
        <is>
          <t>SKELLEFTEÅ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11226-2022</t>
        </is>
      </c>
      <c r="B207" s="1" t="n">
        <v>44624</v>
      </c>
      <c r="C207" s="1" t="n">
        <v>46078</v>
      </c>
      <c r="D207" t="inlineStr">
        <is>
          <t>VÄSTERBOTTENS LÄN</t>
        </is>
      </c>
      <c r="E207" t="inlineStr">
        <is>
          <t>SKELLEFTEÅ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11468-2022</t>
        </is>
      </c>
      <c r="B208" s="1" t="n">
        <v>44630.82231481482</v>
      </c>
      <c r="C208" s="1" t="n">
        <v>46078</v>
      </c>
      <c r="D208" t="inlineStr">
        <is>
          <t>VÄSTERBOTTENS LÄN</t>
        </is>
      </c>
      <c r="E208" t="inlineStr">
        <is>
          <t>SKELLEFTEÅ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40314-2022</t>
        </is>
      </c>
      <c r="B209" s="1" t="n">
        <v>44823.28108796296</v>
      </c>
      <c r="C209" s="1" t="n">
        <v>46078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46078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12529-2022</t>
        </is>
      </c>
      <c r="B211" s="1" t="n">
        <v>44638</v>
      </c>
      <c r="C211" s="1" t="n">
        <v>46078</v>
      </c>
      <c r="D211" t="inlineStr">
        <is>
          <t>VÄSTERBOTTENS LÄN</t>
        </is>
      </c>
      <c r="E211" t="inlineStr">
        <is>
          <t>SKELLEFTEÅ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33236-2021</t>
        </is>
      </c>
      <c r="B212" s="1" t="n">
        <v>44376</v>
      </c>
      <c r="C212" s="1" t="n">
        <v>46078</v>
      </c>
      <c r="D212" t="inlineStr">
        <is>
          <t>VÄSTERBOTTENS LÄN</t>
        </is>
      </c>
      <c r="E212" t="inlineStr">
        <is>
          <t>SKELLEFTEÅ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18046-2022</t>
        </is>
      </c>
      <c r="B213" s="1" t="n">
        <v>44684</v>
      </c>
      <c r="C213" s="1" t="n">
        <v>46078</v>
      </c>
      <c r="D213" t="inlineStr">
        <is>
          <t>VÄSTERBOTTENS LÄN</t>
        </is>
      </c>
      <c r="E213" t="inlineStr">
        <is>
          <t>SKELLEFTEÅ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70229-2021</t>
        </is>
      </c>
      <c r="B214" s="1" t="n">
        <v>44533</v>
      </c>
      <c r="C214" s="1" t="n">
        <v>46078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46078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30389-2022</t>
        </is>
      </c>
      <c r="B216" s="1" t="n">
        <v>44760</v>
      </c>
      <c r="C216" s="1" t="n">
        <v>46078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26798-2022</t>
        </is>
      </c>
      <c r="B217" s="1" t="n">
        <v>44740</v>
      </c>
      <c r="C217" s="1" t="n">
        <v>46078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52482-2022</t>
        </is>
      </c>
      <c r="B218" s="1" t="n">
        <v>44869</v>
      </c>
      <c r="C218" s="1" t="n">
        <v>46078</v>
      </c>
      <c r="D218" t="inlineStr">
        <is>
          <t>VÄSTERBOTTENS LÄN</t>
        </is>
      </c>
      <c r="E218" t="inlineStr">
        <is>
          <t>SKELLEFTEÅ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46005-2021</t>
        </is>
      </c>
      <c r="B219" s="1" t="n">
        <v>44441.85534722222</v>
      </c>
      <c r="C219" s="1" t="n">
        <v>46078</v>
      </c>
      <c r="D219" t="inlineStr">
        <is>
          <t>VÄSTERBOTTENS LÄN</t>
        </is>
      </c>
      <c r="E219" t="inlineStr">
        <is>
          <t>SKELLEFTEÅ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31955-2022</t>
        </is>
      </c>
      <c r="B220" s="1" t="n">
        <v>44777.92472222223</v>
      </c>
      <c r="C220" s="1" t="n">
        <v>46078</v>
      </c>
      <c r="D220" t="inlineStr">
        <is>
          <t>VÄSTERBOTTENS LÄN</t>
        </is>
      </c>
      <c r="E220" t="inlineStr">
        <is>
          <t>SKELLEFTEÅ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71934-2021</t>
        </is>
      </c>
      <c r="B221" s="1" t="n">
        <v>44543.94390046296</v>
      </c>
      <c r="C221" s="1" t="n">
        <v>46078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31181-2021</t>
        </is>
      </c>
      <c r="B222" s="1" t="n">
        <v>44368</v>
      </c>
      <c r="C222" s="1" t="n">
        <v>46078</v>
      </c>
      <c r="D222" t="inlineStr">
        <is>
          <t>VÄSTERBOTTENS LÄN</t>
        </is>
      </c>
      <c r="E222" t="inlineStr">
        <is>
          <t>SKELLEFTEÅ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36588-2021</t>
        </is>
      </c>
      <c r="B223" s="1" t="n">
        <v>44391</v>
      </c>
      <c r="C223" s="1" t="n">
        <v>46078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39986-2022</t>
        </is>
      </c>
      <c r="B224" s="1" t="n">
        <v>44820.34625</v>
      </c>
      <c r="C224" s="1" t="n">
        <v>46078</v>
      </c>
      <c r="D224" t="inlineStr">
        <is>
          <t>VÄSTERBOTTENS LÄN</t>
        </is>
      </c>
      <c r="E224" t="inlineStr">
        <is>
          <t>SKELLEFTEÅ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39998-2022</t>
        </is>
      </c>
      <c r="B225" s="1" t="n">
        <v>44820.35803240741</v>
      </c>
      <c r="C225" s="1" t="n">
        <v>46078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40034-2022</t>
        </is>
      </c>
      <c r="B226" s="1" t="n">
        <v>44820.42978009259</v>
      </c>
      <c r="C226" s="1" t="n">
        <v>46078</v>
      </c>
      <c r="D226" t="inlineStr">
        <is>
          <t>VÄSTERBOTTENS LÄN</t>
        </is>
      </c>
      <c r="E226" t="inlineStr">
        <is>
          <t>SKELLEFTEÅ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43078-2022</t>
        </is>
      </c>
      <c r="B227" s="1" t="n">
        <v>44833.64483796297</v>
      </c>
      <c r="C227" s="1" t="n">
        <v>46078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46078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46078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46078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44621-2022</t>
        </is>
      </c>
      <c r="B231" s="1" t="n">
        <v>44838</v>
      </c>
      <c r="C231" s="1" t="n">
        <v>46078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15441-2022</t>
        </is>
      </c>
      <c r="B232" s="1" t="n">
        <v>44659</v>
      </c>
      <c r="C232" s="1" t="n">
        <v>46078</v>
      </c>
      <c r="D232" t="inlineStr">
        <is>
          <t>VÄSTERBOTTENS LÄN</t>
        </is>
      </c>
      <c r="E232" t="inlineStr">
        <is>
          <t>SKELLEFTEÅ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46628-2021</t>
        </is>
      </c>
      <c r="B233" s="1" t="n">
        <v>44445</v>
      </c>
      <c r="C233" s="1" t="n">
        <v>46078</v>
      </c>
      <c r="D233" t="inlineStr">
        <is>
          <t>VÄSTERBOTTENS LÄN</t>
        </is>
      </c>
      <c r="E233" t="inlineStr">
        <is>
          <t>SKELLEFTEÅ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64087-2021</t>
        </is>
      </c>
      <c r="B234" s="1" t="n">
        <v>44509</v>
      </c>
      <c r="C234" s="1" t="n">
        <v>46078</v>
      </c>
      <c r="D234" t="inlineStr">
        <is>
          <t>VÄSTERBOTTENS LÄN</t>
        </is>
      </c>
      <c r="E234" t="inlineStr">
        <is>
          <t>SKELLEFTEÅ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59372-2021</t>
        </is>
      </c>
      <c r="B235" s="1" t="n">
        <v>44491</v>
      </c>
      <c r="C235" s="1" t="n">
        <v>46078</v>
      </c>
      <c r="D235" t="inlineStr">
        <is>
          <t>VÄSTERBOTTENS LÄN</t>
        </is>
      </c>
      <c r="E235" t="inlineStr">
        <is>
          <t>SKELLEFTEÅ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23042-2022</t>
        </is>
      </c>
      <c r="B236" s="1" t="n">
        <v>44719</v>
      </c>
      <c r="C236" s="1" t="n">
        <v>46078</v>
      </c>
      <c r="D236" t="inlineStr">
        <is>
          <t>VÄSTERBOTTENS LÄN</t>
        </is>
      </c>
      <c r="E236" t="inlineStr">
        <is>
          <t>SKELLEFTEÅ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49876-2022</t>
        </is>
      </c>
      <c r="B237" s="1" t="n">
        <v>44863.95594907407</v>
      </c>
      <c r="C237" s="1" t="n">
        <v>46078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SCA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52086-2021</t>
        </is>
      </c>
      <c r="B238" s="1" t="n">
        <v>44463</v>
      </c>
      <c r="C238" s="1" t="n">
        <v>46078</v>
      </c>
      <c r="D238" t="inlineStr">
        <is>
          <t>VÄSTERBOTTENS LÄN</t>
        </is>
      </c>
      <c r="E238" t="inlineStr">
        <is>
          <t>SKELLEFTEÅ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32434-2022</t>
        </is>
      </c>
      <c r="B239" s="1" t="n">
        <v>44782</v>
      </c>
      <c r="C239" s="1" t="n">
        <v>46078</v>
      </c>
      <c r="D239" t="inlineStr">
        <is>
          <t>VÄSTERBOTTENS LÄN</t>
        </is>
      </c>
      <c r="E239" t="inlineStr">
        <is>
          <t>SKELLEFTEÅ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20046-2021</t>
        </is>
      </c>
      <c r="B240" s="1" t="n">
        <v>44313</v>
      </c>
      <c r="C240" s="1" t="n">
        <v>46078</v>
      </c>
      <c r="D240" t="inlineStr">
        <is>
          <t>VÄSTERBOTTENS LÄN</t>
        </is>
      </c>
      <c r="E240" t="inlineStr">
        <is>
          <t>SKELLEFTEÅ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33373-2021</t>
        </is>
      </c>
      <c r="B241" s="1" t="n">
        <v>44377.5328125</v>
      </c>
      <c r="C241" s="1" t="n">
        <v>46078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14851-2021</t>
        </is>
      </c>
      <c r="B242" s="1" t="n">
        <v>44280.93606481481</v>
      </c>
      <c r="C242" s="1" t="n">
        <v>46078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SCA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31186-2021</t>
        </is>
      </c>
      <c r="B243" s="1" t="n">
        <v>44368</v>
      </c>
      <c r="C243" s="1" t="n">
        <v>46078</v>
      </c>
      <c r="D243" t="inlineStr">
        <is>
          <t>VÄSTERBOTTENS LÄN</t>
        </is>
      </c>
      <c r="E243" t="inlineStr">
        <is>
          <t>SKELLEFTEÅ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27444-2021</t>
        </is>
      </c>
      <c r="B244" s="1" t="n">
        <v>44351</v>
      </c>
      <c r="C244" s="1" t="n">
        <v>46078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46078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8456-2022</t>
        </is>
      </c>
      <c r="B246" s="1" t="n">
        <v>44612.92121527778</v>
      </c>
      <c r="C246" s="1" t="n">
        <v>46078</v>
      </c>
      <c r="D246" t="inlineStr">
        <is>
          <t>VÄSTERBOTTENS LÄN</t>
        </is>
      </c>
      <c r="E246" t="inlineStr">
        <is>
          <t>SKELLEFTEÅ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46078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45890-2022</t>
        </is>
      </c>
      <c r="B248" s="1" t="n">
        <v>44844</v>
      </c>
      <c r="C248" s="1" t="n">
        <v>46078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46078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46078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46078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46078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46078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46078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42348-2022</t>
        </is>
      </c>
      <c r="B255" s="1" t="n">
        <v>44827</v>
      </c>
      <c r="C255" s="1" t="n">
        <v>46078</v>
      </c>
      <c r="D255" t="inlineStr">
        <is>
          <t>VÄSTERBOTTENS LÄN</t>
        </is>
      </c>
      <c r="E255" t="inlineStr">
        <is>
          <t>SKELLEFTEÅ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63502-2021</t>
        </is>
      </c>
      <c r="B256" s="1" t="n">
        <v>44508</v>
      </c>
      <c r="C256" s="1" t="n">
        <v>46078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25513-2021</t>
        </is>
      </c>
      <c r="B257" s="1" t="n">
        <v>44342.94737268519</v>
      </c>
      <c r="C257" s="1" t="n">
        <v>46078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43069-2022</t>
        </is>
      </c>
      <c r="B258" s="1" t="n">
        <v>44833.63614583333</v>
      </c>
      <c r="C258" s="1" t="n">
        <v>46078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Sveaskog</t>
        </is>
      </c>
      <c r="G258" t="n">
        <v>19.6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46078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34547-2022</t>
        </is>
      </c>
      <c r="B260" s="1" t="n">
        <v>44793.9403587963</v>
      </c>
      <c r="C260" s="1" t="n">
        <v>46078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46078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46078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18183-2021</t>
        </is>
      </c>
      <c r="B263" s="1" t="n">
        <v>44302</v>
      </c>
      <c r="C263" s="1" t="n">
        <v>46078</v>
      </c>
      <c r="D263" t="inlineStr">
        <is>
          <t>VÄSTERBOTTENS LÄN</t>
        </is>
      </c>
      <c r="E263" t="inlineStr">
        <is>
          <t>SKELLEFTEÅ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46078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46078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52589-2022</t>
        </is>
      </c>
      <c r="B266" s="1" t="n">
        <v>44874.63079861111</v>
      </c>
      <c r="C266" s="1" t="n">
        <v>46078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46078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26599-2021</t>
        </is>
      </c>
      <c r="B268" s="1" t="n">
        <v>44348</v>
      </c>
      <c r="C268" s="1" t="n">
        <v>46078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46078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46078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59171-2021</t>
        </is>
      </c>
      <c r="B271" s="1" t="n">
        <v>44489</v>
      </c>
      <c r="C271" s="1" t="n">
        <v>46078</v>
      </c>
      <c r="D271" t="inlineStr">
        <is>
          <t>VÄSTERBOTTENS LÄN</t>
        </is>
      </c>
      <c r="E271" t="inlineStr">
        <is>
          <t>SKELLEFTEÅ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34633-2021</t>
        </is>
      </c>
      <c r="B272" s="1" t="n">
        <v>44382</v>
      </c>
      <c r="C272" s="1" t="n">
        <v>46078</v>
      </c>
      <c r="D272" t="inlineStr">
        <is>
          <t>VÄSTERBOTTENS LÄN</t>
        </is>
      </c>
      <c r="E272" t="inlineStr">
        <is>
          <t>SKELLEFTEÅ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30449-2021</t>
        </is>
      </c>
      <c r="B273" s="1" t="n">
        <v>44364</v>
      </c>
      <c r="C273" s="1" t="n">
        <v>46078</v>
      </c>
      <c r="D273" t="inlineStr">
        <is>
          <t>VÄSTERBOTTENS LÄN</t>
        </is>
      </c>
      <c r="E273" t="inlineStr">
        <is>
          <t>SKELLEFTEÅ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37937-2021</t>
        </is>
      </c>
      <c r="B274" s="1" t="n">
        <v>44403</v>
      </c>
      <c r="C274" s="1" t="n">
        <v>46078</v>
      </c>
      <c r="D274" t="inlineStr">
        <is>
          <t>VÄSTERBOTTENS LÄN</t>
        </is>
      </c>
      <c r="E274" t="inlineStr">
        <is>
          <t>SKELLEFTEÅ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36564-2021</t>
        </is>
      </c>
      <c r="B275" s="1" t="n">
        <v>44391</v>
      </c>
      <c r="C275" s="1" t="n">
        <v>46078</v>
      </c>
      <c r="D275" t="inlineStr">
        <is>
          <t>VÄSTERBOTTENS LÄN</t>
        </is>
      </c>
      <c r="E275" t="inlineStr">
        <is>
          <t>SKELLEFTEÅ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46078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46078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46078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46078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59748-2021</t>
        </is>
      </c>
      <c r="B280" s="1" t="n">
        <v>44494.44873842593</v>
      </c>
      <c r="C280" s="1" t="n">
        <v>46078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46078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46078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46078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46078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39623-2021</t>
        </is>
      </c>
      <c r="B285" s="1" t="n">
        <v>44413</v>
      </c>
      <c r="C285" s="1" t="n">
        <v>46078</v>
      </c>
      <c r="D285" t="inlineStr">
        <is>
          <t>VÄSTERBOTTENS LÄN</t>
        </is>
      </c>
      <c r="E285" t="inlineStr">
        <is>
          <t>SKELLEFTEÅ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46078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46078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46078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46078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49906-2022</t>
        </is>
      </c>
      <c r="B290" s="1" t="n">
        <v>44864</v>
      </c>
      <c r="C290" s="1" t="n">
        <v>46078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38873-2022</t>
        </is>
      </c>
      <c r="B291" s="1" t="n">
        <v>44816</v>
      </c>
      <c r="C291" s="1" t="n">
        <v>46078</v>
      </c>
      <c r="D291" t="inlineStr">
        <is>
          <t>VÄSTERBOTTENS LÄN</t>
        </is>
      </c>
      <c r="E291" t="inlineStr">
        <is>
          <t>SKELLEFTEÅ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38876-2022</t>
        </is>
      </c>
      <c r="B292" s="1" t="n">
        <v>44816</v>
      </c>
      <c r="C292" s="1" t="n">
        <v>46078</v>
      </c>
      <c r="D292" t="inlineStr">
        <is>
          <t>VÄSTERBOTTENS LÄN</t>
        </is>
      </c>
      <c r="E292" t="inlineStr">
        <is>
          <t>SKELLEFTEÅ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37823-2022</t>
        </is>
      </c>
      <c r="B293" s="1" t="n">
        <v>44810.92642361111</v>
      </c>
      <c r="C293" s="1" t="n">
        <v>46078</v>
      </c>
      <c r="D293" t="inlineStr">
        <is>
          <t>VÄSTERBOTTENS LÄN</t>
        </is>
      </c>
      <c r="E293" t="inlineStr">
        <is>
          <t>SKELLEFTEÅ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44722-2022</t>
        </is>
      </c>
      <c r="B294" s="1" t="n">
        <v>44840.90104166666</v>
      </c>
      <c r="C294" s="1" t="n">
        <v>46078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46078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46078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58808-2021</t>
        </is>
      </c>
      <c r="B297" s="1" t="n">
        <v>44489</v>
      </c>
      <c r="C297" s="1" t="n">
        <v>46078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Sveaskog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46078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22828-2022</t>
        </is>
      </c>
      <c r="B299" s="1" t="n">
        <v>44714</v>
      </c>
      <c r="C299" s="1" t="n">
        <v>46078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23513-2022</t>
        </is>
      </c>
      <c r="B300" s="1" t="n">
        <v>44721.39010416667</v>
      </c>
      <c r="C300" s="1" t="n">
        <v>46078</v>
      </c>
      <c r="D300" t="inlineStr">
        <is>
          <t>VÄSTERBOTTENS LÄN</t>
        </is>
      </c>
      <c r="E300" t="inlineStr">
        <is>
          <t>SKELLEFTEÅ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45554-2022</t>
        </is>
      </c>
      <c r="B301" s="1" t="n">
        <v>44845</v>
      </c>
      <c r="C301" s="1" t="n">
        <v>46078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39985-2022</t>
        </is>
      </c>
      <c r="B302" s="1" t="n">
        <v>44820.34109953704</v>
      </c>
      <c r="C302" s="1" t="n">
        <v>46078</v>
      </c>
      <c r="D302" t="inlineStr">
        <is>
          <t>VÄSTERBOTTENS LÄN</t>
        </is>
      </c>
      <c r="E302" t="inlineStr">
        <is>
          <t>SKELLEFTEÅ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37498-2021</t>
        </is>
      </c>
      <c r="B303" s="1" t="n">
        <v>44399</v>
      </c>
      <c r="C303" s="1" t="n">
        <v>46078</v>
      </c>
      <c r="D303" t="inlineStr">
        <is>
          <t>VÄSTERBOTTENS LÄN</t>
        </is>
      </c>
      <c r="E303" t="inlineStr">
        <is>
          <t>SKELLEFTEÅ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10471-2021</t>
        </is>
      </c>
      <c r="B304" s="1" t="n">
        <v>44257</v>
      </c>
      <c r="C304" s="1" t="n">
        <v>46078</v>
      </c>
      <c r="D304" t="inlineStr">
        <is>
          <t>VÄSTERBOTTENS LÄN</t>
        </is>
      </c>
      <c r="E304" t="inlineStr">
        <is>
          <t>SKELLEFTEÅ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25674-2022</t>
        </is>
      </c>
      <c r="B305" s="1" t="n">
        <v>44732</v>
      </c>
      <c r="C305" s="1" t="n">
        <v>46078</v>
      </c>
      <c r="D305" t="inlineStr">
        <is>
          <t>VÄSTERBOTTENS LÄN</t>
        </is>
      </c>
      <c r="E305" t="inlineStr">
        <is>
          <t>SKELLEFTEÅ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1834-2022</t>
        </is>
      </c>
      <c r="B306" s="1" t="n">
        <v>44574.67953703704</v>
      </c>
      <c r="C306" s="1" t="n">
        <v>46078</v>
      </c>
      <c r="D306" t="inlineStr">
        <is>
          <t>VÄSTERBOTTENS LÄN</t>
        </is>
      </c>
      <c r="E306" t="inlineStr">
        <is>
          <t>SKELLEFTEÅ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2607-2022</t>
        </is>
      </c>
      <c r="B307" s="1" t="n">
        <v>44580</v>
      </c>
      <c r="C307" s="1" t="n">
        <v>46078</v>
      </c>
      <c r="D307" t="inlineStr">
        <is>
          <t>VÄSTERBOTTENS LÄN</t>
        </is>
      </c>
      <c r="E307" t="inlineStr">
        <is>
          <t>SKELLEFTEÅ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49757-2022</t>
        </is>
      </c>
      <c r="B308" s="1" t="n">
        <v>44862.59038194444</v>
      </c>
      <c r="C308" s="1" t="n">
        <v>46078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55814-2021</t>
        </is>
      </c>
      <c r="B309" s="1" t="n">
        <v>44476.59821759259</v>
      </c>
      <c r="C309" s="1" t="n">
        <v>46078</v>
      </c>
      <c r="D309" t="inlineStr">
        <is>
          <t>VÄSTERBOTTENS LÄN</t>
        </is>
      </c>
      <c r="E309" t="inlineStr">
        <is>
          <t>SKELLEFTEÅ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59659-2021</t>
        </is>
      </c>
      <c r="B310" s="1" t="n">
        <v>44491</v>
      </c>
      <c r="C310" s="1" t="n">
        <v>46078</v>
      </c>
      <c r="D310" t="inlineStr">
        <is>
          <t>VÄSTERBOTTENS LÄN</t>
        </is>
      </c>
      <c r="E310" t="inlineStr">
        <is>
          <t>SKELLEFTEÅ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29276-2021</t>
        </is>
      </c>
      <c r="B311" s="1" t="n">
        <v>44361</v>
      </c>
      <c r="C311" s="1" t="n">
        <v>46078</v>
      </c>
      <c r="D311" t="inlineStr">
        <is>
          <t>VÄSTERBOTTENS LÄN</t>
        </is>
      </c>
      <c r="E311" t="inlineStr">
        <is>
          <t>SKELLEFTEÅ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73956-2021</t>
        </is>
      </c>
      <c r="B312" s="1" t="n">
        <v>44553</v>
      </c>
      <c r="C312" s="1" t="n">
        <v>46078</v>
      </c>
      <c r="D312" t="inlineStr">
        <is>
          <t>VÄSTERBOTTENS LÄN</t>
        </is>
      </c>
      <c r="E312" t="inlineStr">
        <is>
          <t>SKELLEFTEÅ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35888-2022</t>
        </is>
      </c>
      <c r="B313" s="1" t="n">
        <v>44803</v>
      </c>
      <c r="C313" s="1" t="n">
        <v>46078</v>
      </c>
      <c r="D313" t="inlineStr">
        <is>
          <t>VÄSTERBOTTENS LÄN</t>
        </is>
      </c>
      <c r="E313" t="inlineStr">
        <is>
          <t>SKELLEFTEÅ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62486-2021</t>
        </is>
      </c>
      <c r="B314" s="1" t="n">
        <v>44503</v>
      </c>
      <c r="C314" s="1" t="n">
        <v>46078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22568-2021</t>
        </is>
      </c>
      <c r="B315" s="1" t="n">
        <v>44322</v>
      </c>
      <c r="C315" s="1" t="n">
        <v>46078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46078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39732-2022</t>
        </is>
      </c>
      <c r="B317" s="1" t="n">
        <v>44819.34829861111</v>
      </c>
      <c r="C317" s="1" t="n">
        <v>46078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17197-2022</t>
        </is>
      </c>
      <c r="B318" s="1" t="n">
        <v>44677.75340277778</v>
      </c>
      <c r="C318" s="1" t="n">
        <v>46078</v>
      </c>
      <c r="D318" t="inlineStr">
        <is>
          <t>VÄSTERBOTTENS LÄN</t>
        </is>
      </c>
      <c r="E318" t="inlineStr">
        <is>
          <t>SKELLEFTEÅ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45985-2022</t>
        </is>
      </c>
      <c r="B319" s="1" t="n">
        <v>44844</v>
      </c>
      <c r="C319" s="1" t="n">
        <v>46078</v>
      </c>
      <c r="D319" t="inlineStr">
        <is>
          <t>VÄSTERBOTTENS LÄN</t>
        </is>
      </c>
      <c r="E319" t="inlineStr">
        <is>
          <t>SKELLEFTEÅ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40219-2022</t>
        </is>
      </c>
      <c r="B320" s="1" t="n">
        <v>44820</v>
      </c>
      <c r="C320" s="1" t="n">
        <v>46078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Sveaskog</t>
        </is>
      </c>
      <c r="G320" t="n">
        <v>12.7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32436-2022</t>
        </is>
      </c>
      <c r="B321" s="1" t="n">
        <v>44782</v>
      </c>
      <c r="C321" s="1" t="n">
        <v>46078</v>
      </c>
      <c r="D321" t="inlineStr">
        <is>
          <t>VÄSTERBOTTENS LÄN</t>
        </is>
      </c>
      <c r="E321" t="inlineStr">
        <is>
          <t>SKELLEFTEÅ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39019-2022</t>
        </is>
      </c>
      <c r="B322" s="1" t="n">
        <v>44817</v>
      </c>
      <c r="C322" s="1" t="n">
        <v>46078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27637-2022</t>
        </is>
      </c>
      <c r="B323" s="1" t="n">
        <v>44743</v>
      </c>
      <c r="C323" s="1" t="n">
        <v>46078</v>
      </c>
      <c r="D323" t="inlineStr">
        <is>
          <t>VÄSTERBOTTENS LÄN</t>
        </is>
      </c>
      <c r="E323" t="inlineStr">
        <is>
          <t>SKELLEFTEÅ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66250-2021</t>
        </is>
      </c>
      <c r="B324" s="1" t="n">
        <v>44518.42975694445</v>
      </c>
      <c r="C324" s="1" t="n">
        <v>46078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29092-2022</t>
        </is>
      </c>
      <c r="B325" s="1" t="n">
        <v>44750</v>
      </c>
      <c r="C325" s="1" t="n">
        <v>46078</v>
      </c>
      <c r="D325" t="inlineStr">
        <is>
          <t>VÄSTERBOTTENS LÄN</t>
        </is>
      </c>
      <c r="E325" t="inlineStr">
        <is>
          <t>SKELLEFTEÅ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48082-2022</t>
        </is>
      </c>
      <c r="B326" s="1" t="n">
        <v>44855.94578703704</v>
      </c>
      <c r="C326" s="1" t="n">
        <v>46078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SCA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51982-2022</t>
        </is>
      </c>
      <c r="B327" s="1" t="n">
        <v>44872.82622685185</v>
      </c>
      <c r="C327" s="1" t="n">
        <v>46078</v>
      </c>
      <c r="D327" t="inlineStr">
        <is>
          <t>VÄSTERBOTTENS LÄN</t>
        </is>
      </c>
      <c r="E327" t="inlineStr">
        <is>
          <t>SKELLEFTEÅ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43917-2022</t>
        </is>
      </c>
      <c r="B328" s="1" t="n">
        <v>44838.51583333333</v>
      </c>
      <c r="C328" s="1" t="n">
        <v>46078</v>
      </c>
      <c r="D328" t="inlineStr">
        <is>
          <t>VÄSTERBOTTENS LÄN</t>
        </is>
      </c>
      <c r="E328" t="inlineStr">
        <is>
          <t>SKELLEFTEÅ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17251-2022</t>
        </is>
      </c>
      <c r="B329" s="1" t="n">
        <v>44678</v>
      </c>
      <c r="C329" s="1" t="n">
        <v>46078</v>
      </c>
      <c r="D329" t="inlineStr">
        <is>
          <t>VÄSTERBOTTENS LÄN</t>
        </is>
      </c>
      <c r="E329" t="inlineStr">
        <is>
          <t>SKELLEFTEÅ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6666-2022</t>
        </is>
      </c>
      <c r="B330" s="1" t="n">
        <v>44602.37965277778</v>
      </c>
      <c r="C330" s="1" t="n">
        <v>46078</v>
      </c>
      <c r="D330" t="inlineStr">
        <is>
          <t>VÄSTERBOTTENS LÄN</t>
        </is>
      </c>
      <c r="E330" t="inlineStr">
        <is>
          <t>SKELLEFTEÅ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3362-2022</t>
        </is>
      </c>
      <c r="B331" s="1" t="n">
        <v>44585</v>
      </c>
      <c r="C331" s="1" t="n">
        <v>46078</v>
      </c>
      <c r="D331" t="inlineStr">
        <is>
          <t>VÄSTERBOTTENS LÄN</t>
        </is>
      </c>
      <c r="E331" t="inlineStr">
        <is>
          <t>SKELLEFTEÅ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70703-2021</t>
        </is>
      </c>
      <c r="B332" s="1" t="n">
        <v>44536</v>
      </c>
      <c r="C332" s="1" t="n">
        <v>46078</v>
      </c>
      <c r="D332" t="inlineStr">
        <is>
          <t>VÄSTERBOTTENS LÄN</t>
        </is>
      </c>
      <c r="E332" t="inlineStr">
        <is>
          <t>SKELLEFTEÅ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24242-2022</t>
        </is>
      </c>
      <c r="B333" s="1" t="n">
        <v>44725.66059027778</v>
      </c>
      <c r="C333" s="1" t="n">
        <v>46078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Övriga Aktiebolag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51919-2022</t>
        </is>
      </c>
      <c r="B334" s="1" t="n">
        <v>44872.63363425926</v>
      </c>
      <c r="C334" s="1" t="n">
        <v>46078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22661-2022</t>
        </is>
      </c>
      <c r="B335" s="1" t="n">
        <v>44714</v>
      </c>
      <c r="C335" s="1" t="n">
        <v>46078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31197-2021</t>
        </is>
      </c>
      <c r="B336" s="1" t="n">
        <v>44368</v>
      </c>
      <c r="C336" s="1" t="n">
        <v>46078</v>
      </c>
      <c r="D336" t="inlineStr">
        <is>
          <t>VÄSTERBOTTENS LÄN</t>
        </is>
      </c>
      <c r="E336" t="inlineStr">
        <is>
          <t>SKELLEFTEÅ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32438-2021</t>
        </is>
      </c>
      <c r="B337" s="1" t="n">
        <v>44371</v>
      </c>
      <c r="C337" s="1" t="n">
        <v>46078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21843-2022</t>
        </is>
      </c>
      <c r="B338" s="1" t="n">
        <v>44711</v>
      </c>
      <c r="C338" s="1" t="n">
        <v>46078</v>
      </c>
      <c r="D338" t="inlineStr">
        <is>
          <t>VÄSTERBOTTENS LÄN</t>
        </is>
      </c>
      <c r="E338" t="inlineStr">
        <is>
          <t>SKELLEFTEÅ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50055-2022</t>
        </is>
      </c>
      <c r="B339" s="1" t="n">
        <v>44865.47516203704</v>
      </c>
      <c r="C339" s="1" t="n">
        <v>46078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73614-2021</t>
        </is>
      </c>
      <c r="B340" s="1" t="n">
        <v>44551</v>
      </c>
      <c r="C340" s="1" t="n">
        <v>46078</v>
      </c>
      <c r="D340" t="inlineStr">
        <is>
          <t>VÄSTERBOTTENS LÄN</t>
        </is>
      </c>
      <c r="E340" t="inlineStr">
        <is>
          <t>SKELLEFTEÅ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65455-2021</t>
        </is>
      </c>
      <c r="B341" s="1" t="n">
        <v>44516.28991898148</v>
      </c>
      <c r="C341" s="1" t="n">
        <v>46078</v>
      </c>
      <c r="D341" t="inlineStr">
        <is>
          <t>VÄSTERBOTTENS LÄN</t>
        </is>
      </c>
      <c r="E341" t="inlineStr">
        <is>
          <t>SKELLEFTEÅ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30754-2021</t>
        </is>
      </c>
      <c r="B342" s="1" t="n">
        <v>44365.46270833333</v>
      </c>
      <c r="C342" s="1" t="n">
        <v>46078</v>
      </c>
      <c r="D342" t="inlineStr">
        <is>
          <t>VÄSTERBOTTENS LÄN</t>
        </is>
      </c>
      <c r="E342" t="inlineStr">
        <is>
          <t>SKELLEFTEÅ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40851-2022</t>
        </is>
      </c>
      <c r="B343" s="1" t="n">
        <v>44825.26050925926</v>
      </c>
      <c r="C343" s="1" t="n">
        <v>46078</v>
      </c>
      <c r="D343" t="inlineStr">
        <is>
          <t>VÄSTERBOTTENS LÄN</t>
        </is>
      </c>
      <c r="E343" t="inlineStr">
        <is>
          <t>SKELLEFTEÅ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11102-2021</t>
        </is>
      </c>
      <c r="B344" s="1" t="n">
        <v>44259</v>
      </c>
      <c r="C344" s="1" t="n">
        <v>46078</v>
      </c>
      <c r="D344" t="inlineStr">
        <is>
          <t>VÄSTERBOTTENS LÄN</t>
        </is>
      </c>
      <c r="E344" t="inlineStr">
        <is>
          <t>SKELLEFTEÅ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42609-2021</t>
        </is>
      </c>
      <c r="B345" s="1" t="n">
        <v>44428.39925925926</v>
      </c>
      <c r="C345" s="1" t="n">
        <v>46078</v>
      </c>
      <c r="D345" t="inlineStr">
        <is>
          <t>VÄSTERBOTTENS LÄN</t>
        </is>
      </c>
      <c r="E345" t="inlineStr">
        <is>
          <t>SKELLEFTEÅ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19679-2021</t>
        </is>
      </c>
      <c r="B346" s="1" t="n">
        <v>44312</v>
      </c>
      <c r="C346" s="1" t="n">
        <v>46078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58847-2021</t>
        </is>
      </c>
      <c r="B347" s="1" t="n">
        <v>44489.62116898148</v>
      </c>
      <c r="C347" s="1" t="n">
        <v>46078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71445-2021</t>
        </is>
      </c>
      <c r="B348" s="1" t="n">
        <v>44540.45789351852</v>
      </c>
      <c r="C348" s="1" t="n">
        <v>46078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71434-2021</t>
        </is>
      </c>
      <c r="B349" s="1" t="n">
        <v>44540.44325231481</v>
      </c>
      <c r="C349" s="1" t="n">
        <v>46078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31251-2021</t>
        </is>
      </c>
      <c r="B350" s="1" t="n">
        <v>44368</v>
      </c>
      <c r="C350" s="1" t="n">
        <v>46078</v>
      </c>
      <c r="D350" t="inlineStr">
        <is>
          <t>VÄSTERBOTTENS LÄN</t>
        </is>
      </c>
      <c r="E350" t="inlineStr">
        <is>
          <t>SKELLEFTEÅ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11087-2021</t>
        </is>
      </c>
      <c r="B351" s="1" t="n">
        <v>44259</v>
      </c>
      <c r="C351" s="1" t="n">
        <v>46078</v>
      </c>
      <c r="D351" t="inlineStr">
        <is>
          <t>VÄSTERBOTTENS LÄN</t>
        </is>
      </c>
      <c r="E351" t="inlineStr">
        <is>
          <t>SKELLEFTEÅ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23885-2021</t>
        </is>
      </c>
      <c r="B352" s="1" t="n">
        <v>44335</v>
      </c>
      <c r="C352" s="1" t="n">
        <v>46078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23801-2021</t>
        </is>
      </c>
      <c r="B353" s="1" t="n">
        <v>44334</v>
      </c>
      <c r="C353" s="1" t="n">
        <v>46078</v>
      </c>
      <c r="D353" t="inlineStr">
        <is>
          <t>VÄSTERBOTTENS LÄN</t>
        </is>
      </c>
      <c r="E353" t="inlineStr">
        <is>
          <t>SKELLEFTEÅ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19538-2021</t>
        </is>
      </c>
      <c r="B354" s="1" t="n">
        <v>44309</v>
      </c>
      <c r="C354" s="1" t="n">
        <v>46078</v>
      </c>
      <c r="D354" t="inlineStr">
        <is>
          <t>VÄSTERBOTTENS LÄN</t>
        </is>
      </c>
      <c r="E354" t="inlineStr">
        <is>
          <t>SKELLEFTEÅ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26130-2021</t>
        </is>
      </c>
      <c r="B355" s="1" t="n">
        <v>44345.93436342593</v>
      </c>
      <c r="C355" s="1" t="n">
        <v>46078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39192-2021</t>
        </is>
      </c>
      <c r="B356" s="1" t="n">
        <v>44413.34373842592</v>
      </c>
      <c r="C356" s="1" t="n">
        <v>46078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13693-2022</t>
        </is>
      </c>
      <c r="B357" s="1" t="n">
        <v>44648</v>
      </c>
      <c r="C357" s="1" t="n">
        <v>46078</v>
      </c>
      <c r="D357" t="inlineStr">
        <is>
          <t>VÄSTERBOTTENS LÄN</t>
        </is>
      </c>
      <c r="E357" t="inlineStr">
        <is>
          <t>SKELLEFTEÅ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52080-2021</t>
        </is>
      </c>
      <c r="B358" s="1" t="n">
        <v>44463</v>
      </c>
      <c r="C358" s="1" t="n">
        <v>46078</v>
      </c>
      <c r="D358" t="inlineStr">
        <is>
          <t>VÄSTERBOTTENS LÄN</t>
        </is>
      </c>
      <c r="E358" t="inlineStr">
        <is>
          <t>SKELLEFTEÅ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31954-2022</t>
        </is>
      </c>
      <c r="B359" s="1" t="n">
        <v>44777.92450231482</v>
      </c>
      <c r="C359" s="1" t="n">
        <v>46078</v>
      </c>
      <c r="D359" t="inlineStr">
        <is>
          <t>VÄSTERBOTTENS LÄN</t>
        </is>
      </c>
      <c r="E359" t="inlineStr">
        <is>
          <t>SKELLEFTEÅ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4844-2022</t>
        </is>
      </c>
      <c r="B360" s="1" t="n">
        <v>44592</v>
      </c>
      <c r="C360" s="1" t="n">
        <v>46078</v>
      </c>
      <c r="D360" t="inlineStr">
        <is>
          <t>VÄSTERBOTTENS LÄN</t>
        </is>
      </c>
      <c r="E360" t="inlineStr">
        <is>
          <t>SKELLEFTEÅ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35608-2022</t>
        </is>
      </c>
      <c r="B361" s="1" t="n">
        <v>44799</v>
      </c>
      <c r="C361" s="1" t="n">
        <v>46078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55568-2021</t>
        </is>
      </c>
      <c r="B362" s="1" t="n">
        <v>44475.72190972222</v>
      </c>
      <c r="C362" s="1" t="n">
        <v>46078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37938-2021</t>
        </is>
      </c>
      <c r="B363" s="1" t="n">
        <v>44403</v>
      </c>
      <c r="C363" s="1" t="n">
        <v>46078</v>
      </c>
      <c r="D363" t="inlineStr">
        <is>
          <t>VÄSTERBOTTENS LÄN</t>
        </is>
      </c>
      <c r="E363" t="inlineStr">
        <is>
          <t>SKELLEFTEÅ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35442-2021</t>
        </is>
      </c>
      <c r="B364" s="1" t="n">
        <v>44384</v>
      </c>
      <c r="C364" s="1" t="n">
        <v>46078</v>
      </c>
      <c r="D364" t="inlineStr">
        <is>
          <t>VÄSTERBOTTENS LÄN</t>
        </is>
      </c>
      <c r="E364" t="inlineStr">
        <is>
          <t>SKELLEFTEÅ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22364-2022</t>
        </is>
      </c>
      <c r="B365" s="1" t="n">
        <v>44713</v>
      </c>
      <c r="C365" s="1" t="n">
        <v>46078</v>
      </c>
      <c r="D365" t="inlineStr">
        <is>
          <t>VÄSTERBOTTENS LÄN</t>
        </is>
      </c>
      <c r="E365" t="inlineStr">
        <is>
          <t>SKELLEFTEÅ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3266-2022</t>
        </is>
      </c>
      <c r="B366" s="1" t="n">
        <v>44583.87421296296</v>
      </c>
      <c r="C366" s="1" t="n">
        <v>46078</v>
      </c>
      <c r="D366" t="inlineStr">
        <is>
          <t>VÄSTERBOTTENS LÄN</t>
        </is>
      </c>
      <c r="E366" t="inlineStr">
        <is>
          <t>SKELLEFTEÅ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57370-2021</t>
        </is>
      </c>
      <c r="B367" s="1" t="n">
        <v>44483</v>
      </c>
      <c r="C367" s="1" t="n">
        <v>46078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14627-2022</t>
        </is>
      </c>
      <c r="B368" s="1" t="n">
        <v>44655.64009259259</v>
      </c>
      <c r="C368" s="1" t="n">
        <v>46078</v>
      </c>
      <c r="D368" t="inlineStr">
        <is>
          <t>VÄSTERBOTTENS LÄN</t>
        </is>
      </c>
      <c r="E368" t="inlineStr">
        <is>
          <t>SKELLEFTEÅ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70168-2021</t>
        </is>
      </c>
      <c r="B369" s="1" t="n">
        <v>44533.82237268519</v>
      </c>
      <c r="C369" s="1" t="n">
        <v>46078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69996-2021</t>
        </is>
      </c>
      <c r="B370" s="1" t="n">
        <v>44533</v>
      </c>
      <c r="C370" s="1" t="n">
        <v>46078</v>
      </c>
      <c r="D370" t="inlineStr">
        <is>
          <t>VÄSTERBOTTENS LÄN</t>
        </is>
      </c>
      <c r="E370" t="inlineStr">
        <is>
          <t>SKELLEFTEÅ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14759-2022</t>
        </is>
      </c>
      <c r="B371" s="1" t="n">
        <v>44656</v>
      </c>
      <c r="C371" s="1" t="n">
        <v>46078</v>
      </c>
      <c r="D371" t="inlineStr">
        <is>
          <t>VÄSTERBOTTENS LÄN</t>
        </is>
      </c>
      <c r="E371" t="inlineStr">
        <is>
          <t>SKELLEFTEÅ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5972-2022</t>
        </is>
      </c>
      <c r="B372" s="1" t="n">
        <v>44599.3759375</v>
      </c>
      <c r="C372" s="1" t="n">
        <v>46078</v>
      </c>
      <c r="D372" t="inlineStr">
        <is>
          <t>VÄSTERBOTTENS LÄN</t>
        </is>
      </c>
      <c r="E372" t="inlineStr">
        <is>
          <t>SKELLEFTEÅ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17257-2022</t>
        </is>
      </c>
      <c r="B373" s="1" t="n">
        <v>44678.3941550926</v>
      </c>
      <c r="C373" s="1" t="n">
        <v>46078</v>
      </c>
      <c r="D373" t="inlineStr">
        <is>
          <t>VÄSTERBOTTENS LÄN</t>
        </is>
      </c>
      <c r="E373" t="inlineStr">
        <is>
          <t>SKELLEFTEÅ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20610-2022</t>
        </is>
      </c>
      <c r="B374" s="1" t="n">
        <v>44700</v>
      </c>
      <c r="C374" s="1" t="n">
        <v>46078</v>
      </c>
      <c r="D374" t="inlineStr">
        <is>
          <t>VÄSTERBOTTENS LÄN</t>
        </is>
      </c>
      <c r="E374" t="inlineStr">
        <is>
          <t>SKELLEFTEÅ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14952-2022</t>
        </is>
      </c>
      <c r="B375" s="1" t="n">
        <v>44657</v>
      </c>
      <c r="C375" s="1" t="n">
        <v>46078</v>
      </c>
      <c r="D375" t="inlineStr">
        <is>
          <t>VÄSTERBOTTENS LÄN</t>
        </is>
      </c>
      <c r="E375" t="inlineStr">
        <is>
          <t>SKELLEFTEÅ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51789-2021</t>
        </is>
      </c>
      <c r="B376" s="1" t="n">
        <v>44461</v>
      </c>
      <c r="C376" s="1" t="n">
        <v>46078</v>
      </c>
      <c r="D376" t="inlineStr">
        <is>
          <t>VÄSTERBOTTENS LÄN</t>
        </is>
      </c>
      <c r="E376" t="inlineStr">
        <is>
          <t>SKELLEFTEÅ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35435-2021</t>
        </is>
      </c>
      <c r="B377" s="1" t="n">
        <v>44385</v>
      </c>
      <c r="C377" s="1" t="n">
        <v>46078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28822-2021</t>
        </is>
      </c>
      <c r="B378" s="1" t="n">
        <v>44357.62862268519</v>
      </c>
      <c r="C378" s="1" t="n">
        <v>46078</v>
      </c>
      <c r="D378" t="inlineStr">
        <is>
          <t>VÄSTERBOTTENS LÄN</t>
        </is>
      </c>
      <c r="E378" t="inlineStr">
        <is>
          <t>SKELLEFTEÅ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42026-2021</t>
        </is>
      </c>
      <c r="B379" s="1" t="n">
        <v>44426.5275925926</v>
      </c>
      <c r="C379" s="1" t="n">
        <v>46078</v>
      </c>
      <c r="D379" t="inlineStr">
        <is>
          <t>VÄSTERBOTTENS LÄN</t>
        </is>
      </c>
      <c r="E379" t="inlineStr">
        <is>
          <t>SKELLEFTEÅ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63171-2021</t>
        </is>
      </c>
      <c r="B380" s="1" t="n">
        <v>44506</v>
      </c>
      <c r="C380" s="1" t="n">
        <v>46078</v>
      </c>
      <c r="D380" t="inlineStr">
        <is>
          <t>VÄSTERBOTTENS LÄN</t>
        </is>
      </c>
      <c r="E380" t="inlineStr">
        <is>
          <t>SKELLEFTEÅ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42099-2022</t>
        </is>
      </c>
      <c r="B381" s="1" t="n">
        <v>44827</v>
      </c>
      <c r="C381" s="1" t="n">
        <v>46078</v>
      </c>
      <c r="D381" t="inlineStr">
        <is>
          <t>VÄSTERBOTTENS LÄN</t>
        </is>
      </c>
      <c r="E381" t="inlineStr">
        <is>
          <t>SKELLEFTEÅ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40013-2022</t>
        </is>
      </c>
      <c r="B382" s="1" t="n">
        <v>44820.3971875</v>
      </c>
      <c r="C382" s="1" t="n">
        <v>46078</v>
      </c>
      <c r="D382" t="inlineStr">
        <is>
          <t>VÄSTERBOTTENS LÄN</t>
        </is>
      </c>
      <c r="E382" t="inlineStr">
        <is>
          <t>SKELLEFTEÅ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36539-2022</t>
        </is>
      </c>
      <c r="B383" s="1" t="n">
        <v>44804</v>
      </c>
      <c r="C383" s="1" t="n">
        <v>46078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Kommuner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13330-2024</t>
        </is>
      </c>
      <c r="B384" s="1" t="n">
        <v>45386.89378472222</v>
      </c>
      <c r="C384" s="1" t="n">
        <v>46078</v>
      </c>
      <c r="D384" t="inlineStr">
        <is>
          <t>VÄSTERBOTTENS LÄN</t>
        </is>
      </c>
      <c r="E384" t="inlineStr">
        <is>
          <t>SKELLEFTEÅ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6723-2024</t>
        </is>
      </c>
      <c r="B385" s="1" t="n">
        <v>45342.37591435185</v>
      </c>
      <c r="C385" s="1" t="n">
        <v>46078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54821-2023</t>
        </is>
      </c>
      <c r="B386" s="1" t="n">
        <v>45236</v>
      </c>
      <c r="C386" s="1" t="n">
        <v>46078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Kommuner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15899-2023</t>
        </is>
      </c>
      <c r="B387" s="1" t="n">
        <v>45021</v>
      </c>
      <c r="C387" s="1" t="n">
        <v>46078</v>
      </c>
      <c r="D387" t="inlineStr">
        <is>
          <t>VÄSTERBOTTENS LÄN</t>
        </is>
      </c>
      <c r="E387" t="inlineStr">
        <is>
          <t>SKELLEFTEÅ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40798-2024</t>
        </is>
      </c>
      <c r="B388" s="1" t="n">
        <v>45558.52645833333</v>
      </c>
      <c r="C388" s="1" t="n">
        <v>46078</v>
      </c>
      <c r="D388" t="inlineStr">
        <is>
          <t>VÄSTERBOTTENS LÄN</t>
        </is>
      </c>
      <c r="E388" t="inlineStr">
        <is>
          <t>SKELLEFTEÅ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16977-2024</t>
        </is>
      </c>
      <c r="B389" s="1" t="n">
        <v>45412.02377314815</v>
      </c>
      <c r="C389" s="1" t="n">
        <v>46078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SCA</t>
        </is>
      </c>
      <c r="G389" t="n">
        <v>16.8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54024-2023</t>
        </is>
      </c>
      <c r="B390" s="1" t="n">
        <v>45231</v>
      </c>
      <c r="C390" s="1" t="n">
        <v>46078</v>
      </c>
      <c r="D390" t="inlineStr">
        <is>
          <t>VÄSTERBOTTENS LÄN</t>
        </is>
      </c>
      <c r="E390" t="inlineStr">
        <is>
          <t>SKELLEFTEÅ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67893-2021</t>
        </is>
      </c>
      <c r="B391" s="1" t="n">
        <v>44525</v>
      </c>
      <c r="C391" s="1" t="n">
        <v>46078</v>
      </c>
      <c r="D391" t="inlineStr">
        <is>
          <t>VÄSTERBOTTENS LÄN</t>
        </is>
      </c>
      <c r="E391" t="inlineStr">
        <is>
          <t>SKELLEFTEÅ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14846-2025</t>
        </is>
      </c>
      <c r="B392" s="1" t="n">
        <v>45743.38820601852</v>
      </c>
      <c r="C392" s="1" t="n">
        <v>46078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4645-2025</t>
        </is>
      </c>
      <c r="B393" s="1" t="n">
        <v>45687</v>
      </c>
      <c r="C393" s="1" t="n">
        <v>46078</v>
      </c>
      <c r="D393" t="inlineStr">
        <is>
          <t>VÄSTERBOTTENS LÄN</t>
        </is>
      </c>
      <c r="E393" t="inlineStr">
        <is>
          <t>SKELLEFTEÅ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3616-2022</t>
        </is>
      </c>
      <c r="B394" s="1" t="n">
        <v>44586</v>
      </c>
      <c r="C394" s="1" t="n">
        <v>46078</v>
      </c>
      <c r="D394" t="inlineStr">
        <is>
          <t>VÄSTERBOTTENS LÄN</t>
        </is>
      </c>
      <c r="E394" t="inlineStr">
        <is>
          <t>SKELLEFTEÅ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26690-2023</t>
        </is>
      </c>
      <c r="B395" s="1" t="n">
        <v>45093</v>
      </c>
      <c r="C395" s="1" t="n">
        <v>46078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Kyrkan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16261-2025</t>
        </is>
      </c>
      <c r="B396" s="1" t="n">
        <v>45750.74388888889</v>
      </c>
      <c r="C396" s="1" t="n">
        <v>46078</v>
      </c>
      <c r="D396" t="inlineStr">
        <is>
          <t>VÄSTERBOTTENS LÄN</t>
        </is>
      </c>
      <c r="E396" t="inlineStr">
        <is>
          <t>SKELLEFTEÅ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29125-2024</t>
        </is>
      </c>
      <c r="B397" s="1" t="n">
        <v>45481</v>
      </c>
      <c r="C397" s="1" t="n">
        <v>46078</v>
      </c>
      <c r="D397" t="inlineStr">
        <is>
          <t>VÄSTERBOTTENS LÄN</t>
        </is>
      </c>
      <c r="E397" t="inlineStr">
        <is>
          <t>SKELLEFTEÅ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53725-2024</t>
        </is>
      </c>
      <c r="B398" s="1" t="n">
        <v>45615.45043981481</v>
      </c>
      <c r="C398" s="1" t="n">
        <v>46078</v>
      </c>
      <c r="D398" t="inlineStr">
        <is>
          <t>VÄSTERBOTTENS LÄN</t>
        </is>
      </c>
      <c r="E398" t="inlineStr">
        <is>
          <t>SKELLEFTEÅ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44025-2023</t>
        </is>
      </c>
      <c r="B399" s="1" t="n">
        <v>45182</v>
      </c>
      <c r="C399" s="1" t="n">
        <v>46078</v>
      </c>
      <c r="D399" t="inlineStr">
        <is>
          <t>VÄSTERBOTTENS LÄN</t>
        </is>
      </c>
      <c r="E399" t="inlineStr">
        <is>
          <t>SKELLEFTEÅ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60356-2022</t>
        </is>
      </c>
      <c r="B400" s="1" t="n">
        <v>44904</v>
      </c>
      <c r="C400" s="1" t="n">
        <v>46078</v>
      </c>
      <c r="D400" t="inlineStr">
        <is>
          <t>VÄSTERBOTTENS LÄN</t>
        </is>
      </c>
      <c r="E400" t="inlineStr">
        <is>
          <t>SKELLEFTEÅ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20084-2025</t>
        </is>
      </c>
      <c r="B401" s="1" t="n">
        <v>45772.45416666667</v>
      </c>
      <c r="C401" s="1" t="n">
        <v>46078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53117-2024</t>
        </is>
      </c>
      <c r="B402" s="1" t="n">
        <v>45611.58105324074</v>
      </c>
      <c r="C402" s="1" t="n">
        <v>46078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Kommuner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21238-2023</t>
        </is>
      </c>
      <c r="B403" s="1" t="n">
        <v>45058</v>
      </c>
      <c r="C403" s="1" t="n">
        <v>46078</v>
      </c>
      <c r="D403" t="inlineStr">
        <is>
          <t>VÄSTERBOTTENS LÄN</t>
        </is>
      </c>
      <c r="E403" t="inlineStr">
        <is>
          <t>SKELLEFTEÅ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52497-2022</t>
        </is>
      </c>
      <c r="B404" s="1" t="n">
        <v>44869</v>
      </c>
      <c r="C404" s="1" t="n">
        <v>46078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62708-2023</t>
        </is>
      </c>
      <c r="B405" s="1" t="n">
        <v>45271.55337962963</v>
      </c>
      <c r="C405" s="1" t="n">
        <v>46078</v>
      </c>
      <c r="D405" t="inlineStr">
        <is>
          <t>VÄSTERBOTTENS LÄN</t>
        </is>
      </c>
      <c r="E405" t="inlineStr">
        <is>
          <t>SKELLEFTEÅ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15806-2023</t>
        </is>
      </c>
      <c r="B406" s="1" t="n">
        <v>45021</v>
      </c>
      <c r="C406" s="1" t="n">
        <v>46078</v>
      </c>
      <c r="D406" t="inlineStr">
        <is>
          <t>VÄSTERBOTTENS LÄN</t>
        </is>
      </c>
      <c r="E406" t="inlineStr">
        <is>
          <t>SKELLEFTEÅ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52869-2022</t>
        </is>
      </c>
      <c r="B407" s="1" t="n">
        <v>44875</v>
      </c>
      <c r="C407" s="1" t="n">
        <v>46078</v>
      </c>
      <c r="D407" t="inlineStr">
        <is>
          <t>VÄSTERBOTTENS LÄN</t>
        </is>
      </c>
      <c r="E407" t="inlineStr">
        <is>
          <t>SKELLEFTEÅ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5603-2024</t>
        </is>
      </c>
      <c r="B408" s="1" t="n">
        <v>45334</v>
      </c>
      <c r="C408" s="1" t="n">
        <v>46078</v>
      </c>
      <c r="D408" t="inlineStr">
        <is>
          <t>VÄSTERBOTTENS LÄN</t>
        </is>
      </c>
      <c r="E408" t="inlineStr">
        <is>
          <t>SKELLEFTEÅ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30786-2023</t>
        </is>
      </c>
      <c r="B409" s="1" t="n">
        <v>45112</v>
      </c>
      <c r="C409" s="1" t="n">
        <v>46078</v>
      </c>
      <c r="D409" t="inlineStr">
        <is>
          <t>VÄSTERBOTTENS LÄN</t>
        </is>
      </c>
      <c r="E409" t="inlineStr">
        <is>
          <t>SKELLEFTEÅ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57278-2024</t>
        </is>
      </c>
      <c r="B410" s="1" t="n">
        <v>45629</v>
      </c>
      <c r="C410" s="1" t="n">
        <v>46078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55032-2021</t>
        </is>
      </c>
      <c r="B411" s="1" t="n">
        <v>44474.5962037037</v>
      </c>
      <c r="C411" s="1" t="n">
        <v>46078</v>
      </c>
      <c r="D411" t="inlineStr">
        <is>
          <t>VÄSTERBOTTENS LÄN</t>
        </is>
      </c>
      <c r="E411" t="inlineStr">
        <is>
          <t>SKELLEFTEÅ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10570-2023</t>
        </is>
      </c>
      <c r="B412" s="1" t="n">
        <v>44981</v>
      </c>
      <c r="C412" s="1" t="n">
        <v>46078</v>
      </c>
      <c r="D412" t="inlineStr">
        <is>
          <t>VÄSTERBOTTENS LÄN</t>
        </is>
      </c>
      <c r="E412" t="inlineStr">
        <is>
          <t>SKELLEFTEÅ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31975-2024</t>
        </is>
      </c>
      <c r="B413" s="1" t="n">
        <v>45510.56052083334</v>
      </c>
      <c r="C413" s="1" t="n">
        <v>46078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18497-2025</t>
        </is>
      </c>
      <c r="B414" s="1" t="n">
        <v>45763.35385416666</v>
      </c>
      <c r="C414" s="1" t="n">
        <v>46078</v>
      </c>
      <c r="D414" t="inlineStr">
        <is>
          <t>VÄSTERBOTTENS LÄN</t>
        </is>
      </c>
      <c r="E414" t="inlineStr">
        <is>
          <t>SKELLEFTEÅ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8669-2025</t>
        </is>
      </c>
      <c r="B415" s="1" t="n">
        <v>45712.41598379629</v>
      </c>
      <c r="C415" s="1" t="n">
        <v>46078</v>
      </c>
      <c r="D415" t="inlineStr">
        <is>
          <t>VÄSTERBOTTENS LÄN</t>
        </is>
      </c>
      <c r="E415" t="inlineStr">
        <is>
          <t>SKELLEFTEÅ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24195-2024</t>
        </is>
      </c>
      <c r="B416" s="1" t="n">
        <v>45456</v>
      </c>
      <c r="C416" s="1" t="n">
        <v>46078</v>
      </c>
      <c r="D416" t="inlineStr">
        <is>
          <t>VÄSTERBOTTENS LÄN</t>
        </is>
      </c>
      <c r="E416" t="inlineStr">
        <is>
          <t>SKELLEFTEÅ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57057-2022</t>
        </is>
      </c>
      <c r="B417" s="1" t="n">
        <v>44895</v>
      </c>
      <c r="C417" s="1" t="n">
        <v>46078</v>
      </c>
      <c r="D417" t="inlineStr">
        <is>
          <t>VÄSTERBOTTENS LÄN</t>
        </is>
      </c>
      <c r="E417" t="inlineStr">
        <is>
          <t>SKELLEFTEÅ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18240-2025</t>
        </is>
      </c>
      <c r="B418" s="1" t="n">
        <v>45762.29850694445</v>
      </c>
      <c r="C418" s="1" t="n">
        <v>46078</v>
      </c>
      <c r="D418" t="inlineStr">
        <is>
          <t>VÄSTERBOTTENS LÄN</t>
        </is>
      </c>
      <c r="E418" t="inlineStr">
        <is>
          <t>SKELLEFTEÅ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51418-2023</t>
        </is>
      </c>
      <c r="B419" s="1" t="n">
        <v>45219</v>
      </c>
      <c r="C419" s="1" t="n">
        <v>46078</v>
      </c>
      <c r="D419" t="inlineStr">
        <is>
          <t>VÄSTERBOTTENS LÄN</t>
        </is>
      </c>
      <c r="E419" t="inlineStr">
        <is>
          <t>SKELLEFTEÅ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8919-2024</t>
        </is>
      </c>
      <c r="B420" s="1" t="n">
        <v>45357</v>
      </c>
      <c r="C420" s="1" t="n">
        <v>46078</v>
      </c>
      <c r="D420" t="inlineStr">
        <is>
          <t>VÄSTERBOTTENS LÄN</t>
        </is>
      </c>
      <c r="E420" t="inlineStr">
        <is>
          <t>SKELLEFTEÅ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53753-2022</t>
        </is>
      </c>
      <c r="B421" s="1" t="n">
        <v>44872</v>
      </c>
      <c r="C421" s="1" t="n">
        <v>46078</v>
      </c>
      <c r="D421" t="inlineStr">
        <is>
          <t>VÄSTERBOTTENS LÄN</t>
        </is>
      </c>
      <c r="E421" t="inlineStr">
        <is>
          <t>SKELLEFTEÅ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15717-2023</t>
        </is>
      </c>
      <c r="B422" s="1" t="n">
        <v>45020</v>
      </c>
      <c r="C422" s="1" t="n">
        <v>46078</v>
      </c>
      <c r="D422" t="inlineStr">
        <is>
          <t>VÄSTERBOTTENS LÄN</t>
        </is>
      </c>
      <c r="E422" t="inlineStr">
        <is>
          <t>SKELLEFTEÅ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61700-2022</t>
        </is>
      </c>
      <c r="B423" s="1" t="n">
        <v>44911</v>
      </c>
      <c r="C423" s="1" t="n">
        <v>46078</v>
      </c>
      <c r="D423" t="inlineStr">
        <is>
          <t>VÄSTERBOTTENS LÄN</t>
        </is>
      </c>
      <c r="E423" t="inlineStr">
        <is>
          <t>SKELLEFTEÅ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57908-2022</t>
        </is>
      </c>
      <c r="B424" s="1" t="n">
        <v>44900.35597222222</v>
      </c>
      <c r="C424" s="1" t="n">
        <v>46078</v>
      </c>
      <c r="D424" t="inlineStr">
        <is>
          <t>VÄSTERBOTTENS LÄN</t>
        </is>
      </c>
      <c r="E424" t="inlineStr">
        <is>
          <t>SKELLEFTEÅ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4509-2025</t>
        </is>
      </c>
      <c r="B425" s="1" t="n">
        <v>45686</v>
      </c>
      <c r="C425" s="1" t="n">
        <v>46078</v>
      </c>
      <c r="D425" t="inlineStr">
        <is>
          <t>VÄSTERBOTTENS LÄN</t>
        </is>
      </c>
      <c r="E425" t="inlineStr">
        <is>
          <t>SKELLEFTEÅ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9466-2024</t>
        </is>
      </c>
      <c r="B426" s="1" t="n">
        <v>45359</v>
      </c>
      <c r="C426" s="1" t="n">
        <v>46078</v>
      </c>
      <c r="D426" t="inlineStr">
        <is>
          <t>VÄSTERBOTTENS LÄN</t>
        </is>
      </c>
      <c r="E426" t="inlineStr">
        <is>
          <t>SKELLEFTEÅ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14088-2022</t>
        </is>
      </c>
      <c r="B427" s="1" t="n">
        <v>44650</v>
      </c>
      <c r="C427" s="1" t="n">
        <v>46078</v>
      </c>
      <c r="D427" t="inlineStr">
        <is>
          <t>VÄSTERBOTTENS LÄN</t>
        </is>
      </c>
      <c r="E427" t="inlineStr">
        <is>
          <t>SKELLEFTEÅ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43204-2024</t>
        </is>
      </c>
      <c r="B428" s="1" t="n">
        <v>45567</v>
      </c>
      <c r="C428" s="1" t="n">
        <v>46078</v>
      </c>
      <c r="D428" t="inlineStr">
        <is>
          <t>VÄSTERBOTTENS LÄN</t>
        </is>
      </c>
      <c r="E428" t="inlineStr">
        <is>
          <t>SKELLEFTEÅ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53420-2024</t>
        </is>
      </c>
      <c r="B429" s="1" t="n">
        <v>45614.51158564815</v>
      </c>
      <c r="C429" s="1" t="n">
        <v>46078</v>
      </c>
      <c r="D429" t="inlineStr">
        <is>
          <t>VÄSTERBOTTENS LÄN</t>
        </is>
      </c>
      <c r="E429" t="inlineStr">
        <is>
          <t>SKELLEFTEÅ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38690-2025</t>
        </is>
      </c>
      <c r="B430" s="1" t="n">
        <v>45884.67143518518</v>
      </c>
      <c r="C430" s="1" t="n">
        <v>46078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Holmen skog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15138-2025</t>
        </is>
      </c>
      <c r="B431" s="1" t="n">
        <v>45744.38621527778</v>
      </c>
      <c r="C431" s="1" t="n">
        <v>46078</v>
      </c>
      <c r="D431" t="inlineStr">
        <is>
          <t>VÄSTERBOTTENS LÄN</t>
        </is>
      </c>
      <c r="E431" t="inlineStr">
        <is>
          <t>SKELLEFTEÅ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13126-2025</t>
        </is>
      </c>
      <c r="B432" s="1" t="n">
        <v>45734.86883101852</v>
      </c>
      <c r="C432" s="1" t="n">
        <v>46078</v>
      </c>
      <c r="D432" t="inlineStr">
        <is>
          <t>VÄSTERBOTTENS LÄN</t>
        </is>
      </c>
      <c r="E432" t="inlineStr">
        <is>
          <t>SKELLEFTEÅ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59242-2023</t>
        </is>
      </c>
      <c r="B433" s="1" t="n">
        <v>45252</v>
      </c>
      <c r="C433" s="1" t="n">
        <v>46078</v>
      </c>
      <c r="D433" t="inlineStr">
        <is>
          <t>VÄSTERBOTTENS LÄN</t>
        </is>
      </c>
      <c r="E433" t="inlineStr">
        <is>
          <t>SKELLEFTEÅ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38586-2025</t>
        </is>
      </c>
      <c r="B434" s="1" t="n">
        <v>45884.47202546296</v>
      </c>
      <c r="C434" s="1" t="n">
        <v>46078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50276-2024</t>
        </is>
      </c>
      <c r="B435" s="1" t="n">
        <v>45600.60181712963</v>
      </c>
      <c r="C435" s="1" t="n">
        <v>46078</v>
      </c>
      <c r="D435" t="inlineStr">
        <is>
          <t>VÄSTERBOTTENS LÄN</t>
        </is>
      </c>
      <c r="E435" t="inlineStr">
        <is>
          <t>SKELLEFTEÅ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38957-2024</t>
        </is>
      </c>
      <c r="B436" s="1" t="n">
        <v>45548.35662037037</v>
      </c>
      <c r="C436" s="1" t="n">
        <v>46078</v>
      </c>
      <c r="D436" t="inlineStr">
        <is>
          <t>VÄSTERBOTTENS LÄN</t>
        </is>
      </c>
      <c r="E436" t="inlineStr">
        <is>
          <t>SKELLEFTEÅ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51332-2024</t>
        </is>
      </c>
      <c r="B437" s="1" t="n">
        <v>45604.34377314815</v>
      </c>
      <c r="C437" s="1" t="n">
        <v>46078</v>
      </c>
      <c r="D437" t="inlineStr">
        <is>
          <t>VÄSTERBOTTENS LÄN</t>
        </is>
      </c>
      <c r="E437" t="inlineStr">
        <is>
          <t>SKELLEFTEÅ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38539-2025</t>
        </is>
      </c>
      <c r="B438" s="1" t="n">
        <v>45884.42550925926</v>
      </c>
      <c r="C438" s="1" t="n">
        <v>46078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43701-2024</t>
        </is>
      </c>
      <c r="B439" s="1" t="n">
        <v>45569</v>
      </c>
      <c r="C439" s="1" t="n">
        <v>46078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Kommuner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42798-2022</t>
        </is>
      </c>
      <c r="B440" s="1" t="n">
        <v>44832</v>
      </c>
      <c r="C440" s="1" t="n">
        <v>46078</v>
      </c>
      <c r="D440" t="inlineStr">
        <is>
          <t>VÄSTERBOTTENS LÄN</t>
        </is>
      </c>
      <c r="E440" t="inlineStr">
        <is>
          <t>SKELLEFTEÅ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47827-2025</t>
        </is>
      </c>
      <c r="B441" s="1" t="n">
        <v>45932.34491898148</v>
      </c>
      <c r="C441" s="1" t="n">
        <v>46078</v>
      </c>
      <c r="D441" t="inlineStr">
        <is>
          <t>VÄSTERBOTTENS LÄN</t>
        </is>
      </c>
      <c r="E441" t="inlineStr">
        <is>
          <t>SKELLEFTEÅ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48207-2025</t>
        </is>
      </c>
      <c r="B442" s="1" t="n">
        <v>45933.48862268519</v>
      </c>
      <c r="C442" s="1" t="n">
        <v>46078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Holmen skog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73833-2021</t>
        </is>
      </c>
      <c r="B443" s="1" t="n">
        <v>44552.92071759259</v>
      </c>
      <c r="C443" s="1" t="n">
        <v>46078</v>
      </c>
      <c r="D443" t="inlineStr">
        <is>
          <t>VÄSTERBOTTENS LÄN</t>
        </is>
      </c>
      <c r="E443" t="inlineStr">
        <is>
          <t>SKELLEFTEÅ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48021-2025</t>
        </is>
      </c>
      <c r="B444" s="1" t="n">
        <v>45932.64856481482</v>
      </c>
      <c r="C444" s="1" t="n">
        <v>46078</v>
      </c>
      <c r="D444" t="inlineStr">
        <is>
          <t>VÄSTERBOTTENS LÄN</t>
        </is>
      </c>
      <c r="E444" t="inlineStr">
        <is>
          <t>SKELLEFTEÅ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3611-2025</t>
        </is>
      </c>
      <c r="B445" s="1" t="n">
        <v>45681.36076388889</v>
      </c>
      <c r="C445" s="1" t="n">
        <v>46078</v>
      </c>
      <c r="D445" t="inlineStr">
        <is>
          <t>VÄSTERBOTTENS LÄN</t>
        </is>
      </c>
      <c r="E445" t="inlineStr">
        <is>
          <t>SKELLEFTEÅ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47155-2023</t>
        </is>
      </c>
      <c r="B446" s="1" t="n">
        <v>45201.92517361111</v>
      </c>
      <c r="C446" s="1" t="n">
        <v>46078</v>
      </c>
      <c r="D446" t="inlineStr">
        <is>
          <t>VÄSTERBOTTENS LÄN</t>
        </is>
      </c>
      <c r="E446" t="inlineStr">
        <is>
          <t>SKELLEFTEÅ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48003-2025</t>
        </is>
      </c>
      <c r="B447" s="1" t="n">
        <v>45932.63306712963</v>
      </c>
      <c r="C447" s="1" t="n">
        <v>46078</v>
      </c>
      <c r="D447" t="inlineStr">
        <is>
          <t>VÄSTERBOTTENS LÄN</t>
        </is>
      </c>
      <c r="E447" t="inlineStr">
        <is>
          <t>SKELLEFTEÅ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573-2025</t>
        </is>
      </c>
      <c r="B448" s="1" t="n">
        <v>45660</v>
      </c>
      <c r="C448" s="1" t="n">
        <v>46078</v>
      </c>
      <c r="D448" t="inlineStr">
        <is>
          <t>VÄSTERBOTTENS LÄN</t>
        </is>
      </c>
      <c r="E448" t="inlineStr">
        <is>
          <t>SKELLEFTEÅ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580-2025</t>
        </is>
      </c>
      <c r="B449" s="1" t="n">
        <v>45660</v>
      </c>
      <c r="C449" s="1" t="n">
        <v>46078</v>
      </c>
      <c r="D449" t="inlineStr">
        <is>
          <t>VÄSTERBOTTENS LÄN</t>
        </is>
      </c>
      <c r="E449" t="inlineStr">
        <is>
          <t>SKELLEFTEÅ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8928-2024</t>
        </is>
      </c>
      <c r="B450" s="1" t="n">
        <v>45357.39643518518</v>
      </c>
      <c r="C450" s="1" t="n">
        <v>46078</v>
      </c>
      <c r="D450" t="inlineStr">
        <is>
          <t>VÄSTERBOTTENS LÄN</t>
        </is>
      </c>
      <c r="E450" t="inlineStr">
        <is>
          <t>SKELLEFTEÅ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964-2025</t>
        </is>
      </c>
      <c r="B451" s="1" t="n">
        <v>45666.38408564815</v>
      </c>
      <c r="C451" s="1" t="n">
        <v>46078</v>
      </c>
      <c r="D451" t="inlineStr">
        <is>
          <t>VÄSTERBOTTENS LÄN</t>
        </is>
      </c>
      <c r="E451" t="inlineStr">
        <is>
          <t>SKELLEFTEÅ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38694-2025</t>
        </is>
      </c>
      <c r="B452" s="1" t="n">
        <v>45884.71439814815</v>
      </c>
      <c r="C452" s="1" t="n">
        <v>46078</v>
      </c>
      <c r="D452" t="inlineStr">
        <is>
          <t>VÄSTERBOTTENS LÄN</t>
        </is>
      </c>
      <c r="E452" t="inlineStr">
        <is>
          <t>SKELLEFTEÅ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61188-2023</t>
        </is>
      </c>
      <c r="B453" s="1" t="n">
        <v>45264</v>
      </c>
      <c r="C453" s="1" t="n">
        <v>46078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59788-2023</t>
        </is>
      </c>
      <c r="B454" s="1" t="n">
        <v>45257.44923611111</v>
      </c>
      <c r="C454" s="1" t="n">
        <v>46078</v>
      </c>
      <c r="D454" t="inlineStr">
        <is>
          <t>VÄSTERBOTTENS LÄN</t>
        </is>
      </c>
      <c r="E454" t="inlineStr">
        <is>
          <t>SKELLEFTEÅ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9183-2025</t>
        </is>
      </c>
      <c r="B455" s="1" t="n">
        <v>45714</v>
      </c>
      <c r="C455" s="1" t="n">
        <v>46078</v>
      </c>
      <c r="D455" t="inlineStr">
        <is>
          <t>VÄSTERBOTTENS LÄN</t>
        </is>
      </c>
      <c r="E455" t="inlineStr">
        <is>
          <t>SKELLEFTEÅ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48092-2025</t>
        </is>
      </c>
      <c r="B456" s="1" t="n">
        <v>45933.2931712963</v>
      </c>
      <c r="C456" s="1" t="n">
        <v>46078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35213-2024</t>
        </is>
      </c>
      <c r="B457" s="1" t="n">
        <v>45530</v>
      </c>
      <c r="C457" s="1" t="n">
        <v>46078</v>
      </c>
      <c r="D457" t="inlineStr">
        <is>
          <t>VÄSTERBOTTENS LÄN</t>
        </is>
      </c>
      <c r="E457" t="inlineStr">
        <is>
          <t>SKELLEFTEÅ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19730-2025</t>
        </is>
      </c>
      <c r="B458" s="1" t="n">
        <v>45771.36560185185</v>
      </c>
      <c r="C458" s="1" t="n">
        <v>46078</v>
      </c>
      <c r="D458" t="inlineStr">
        <is>
          <t>VÄSTERBOTTENS LÄN</t>
        </is>
      </c>
      <c r="E458" t="inlineStr">
        <is>
          <t>SKELLEFTEÅ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560-2025</t>
        </is>
      </c>
      <c r="B459" s="1" t="n">
        <v>45660</v>
      </c>
      <c r="C459" s="1" t="n">
        <v>46078</v>
      </c>
      <c r="D459" t="inlineStr">
        <is>
          <t>VÄSTERBOTTENS LÄN</t>
        </is>
      </c>
      <c r="E459" t="inlineStr">
        <is>
          <t>SKELLEFTEÅ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47864-2025</t>
        </is>
      </c>
      <c r="B460" s="1" t="n">
        <v>45932</v>
      </c>
      <c r="C460" s="1" t="n">
        <v>46078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Kyrkan</t>
        </is>
      </c>
      <c r="G460" t="n">
        <v>10.8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48033-2025</t>
        </is>
      </c>
      <c r="B461" s="1" t="n">
        <v>45932.65663194445</v>
      </c>
      <c r="C461" s="1" t="n">
        <v>46078</v>
      </c>
      <c r="D461" t="inlineStr">
        <is>
          <t>VÄSTERBOTTENS LÄN</t>
        </is>
      </c>
      <c r="E461" t="inlineStr">
        <is>
          <t>SKELLEFTEÅ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46048-2024</t>
        </is>
      </c>
      <c r="B462" s="1" t="n">
        <v>45580.85511574074</v>
      </c>
      <c r="C462" s="1" t="n">
        <v>46078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39371-2024</t>
        </is>
      </c>
      <c r="B463" s="1" t="n">
        <v>45551</v>
      </c>
      <c r="C463" s="1" t="n">
        <v>46078</v>
      </c>
      <c r="D463" t="inlineStr">
        <is>
          <t>VÄSTERBOTTENS LÄN</t>
        </is>
      </c>
      <c r="E463" t="inlineStr">
        <is>
          <t>SKELLEFTEÅ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19729-2025</t>
        </is>
      </c>
      <c r="B464" s="1" t="n">
        <v>45771.36559027778</v>
      </c>
      <c r="C464" s="1" t="n">
        <v>46078</v>
      </c>
      <c r="D464" t="inlineStr">
        <is>
          <t>VÄSTERBOTTENS LÄN</t>
        </is>
      </c>
      <c r="E464" t="inlineStr">
        <is>
          <t>SKELLEFTEÅ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40072-2024</t>
        </is>
      </c>
      <c r="B465" s="1" t="n">
        <v>45554.32503472222</v>
      </c>
      <c r="C465" s="1" t="n">
        <v>46078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20865-2025</t>
        </is>
      </c>
      <c r="B466" s="1" t="n">
        <v>45777.34438657408</v>
      </c>
      <c r="C466" s="1" t="n">
        <v>46078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SCA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59736-2021</t>
        </is>
      </c>
      <c r="B467" s="1" t="n">
        <v>44494.44145833333</v>
      </c>
      <c r="C467" s="1" t="n">
        <v>46078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Sveaskog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36882-2025</t>
        </is>
      </c>
      <c r="B468" s="1" t="n">
        <v>45874</v>
      </c>
      <c r="C468" s="1" t="n">
        <v>46078</v>
      </c>
      <c r="D468" t="inlineStr">
        <is>
          <t>VÄSTERBOTTENS LÄN</t>
        </is>
      </c>
      <c r="E468" t="inlineStr">
        <is>
          <t>SKELLEFTEÅ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31966-2024</t>
        </is>
      </c>
      <c r="B469" s="1" t="n">
        <v>45510.53748842593</v>
      </c>
      <c r="C469" s="1" t="n">
        <v>46078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43435-2023</t>
        </is>
      </c>
      <c r="B470" s="1" t="n">
        <v>45184.32165509259</v>
      </c>
      <c r="C470" s="1" t="n">
        <v>46078</v>
      </c>
      <c r="D470" t="inlineStr">
        <is>
          <t>VÄSTERBOTTENS LÄN</t>
        </is>
      </c>
      <c r="E470" t="inlineStr">
        <is>
          <t>SKELLEFTEÅ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61033-2023</t>
        </is>
      </c>
      <c r="B471" s="1" t="n">
        <v>45261</v>
      </c>
      <c r="C471" s="1" t="n">
        <v>46078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16.4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28778-2025</t>
        </is>
      </c>
      <c r="B472" s="1" t="n">
        <v>45820.44819444444</v>
      </c>
      <c r="C472" s="1" t="n">
        <v>46078</v>
      </c>
      <c r="D472" t="inlineStr">
        <is>
          <t>VÄSTERBOTTENS LÄN</t>
        </is>
      </c>
      <c r="E472" t="inlineStr">
        <is>
          <t>SKELLEFTEÅ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58750-2023</t>
        </is>
      </c>
      <c r="B473" s="1" t="n">
        <v>45251.92957175926</v>
      </c>
      <c r="C473" s="1" t="n">
        <v>46078</v>
      </c>
      <c r="D473" t="inlineStr">
        <is>
          <t>VÄSTERBOTTENS LÄN</t>
        </is>
      </c>
      <c r="E473" t="inlineStr">
        <is>
          <t>SKELLEFTEÅ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60982-2024</t>
        </is>
      </c>
      <c r="B474" s="1" t="n">
        <v>45645</v>
      </c>
      <c r="C474" s="1" t="n">
        <v>46078</v>
      </c>
      <c r="D474" t="inlineStr">
        <is>
          <t>VÄSTERBOTTENS LÄN</t>
        </is>
      </c>
      <c r="E474" t="inlineStr">
        <is>
          <t>SKELLEFTEÅ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55409-2023</t>
        </is>
      </c>
      <c r="B475" s="1" t="n">
        <v>45231</v>
      </c>
      <c r="C475" s="1" t="n">
        <v>46078</v>
      </c>
      <c r="D475" t="inlineStr">
        <is>
          <t>VÄSTERBOTTENS LÄN</t>
        </is>
      </c>
      <c r="E475" t="inlineStr">
        <is>
          <t>SKELLEFTEÅ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47950-2025</t>
        </is>
      </c>
      <c r="B476" s="1" t="n">
        <v>45932.57682870371</v>
      </c>
      <c r="C476" s="1" t="n">
        <v>46078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48098-2025</t>
        </is>
      </c>
      <c r="B477" s="1" t="n">
        <v>45933.32584490741</v>
      </c>
      <c r="C477" s="1" t="n">
        <v>46078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48216-2025</t>
        </is>
      </c>
      <c r="B478" s="1" t="n">
        <v>45933.49614583333</v>
      </c>
      <c r="C478" s="1" t="n">
        <v>46078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21190-2025</t>
        </is>
      </c>
      <c r="B479" s="1" t="n">
        <v>45779.45958333334</v>
      </c>
      <c r="C479" s="1" t="n">
        <v>46078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58751-2023</t>
        </is>
      </c>
      <c r="B480" s="1" t="n">
        <v>45251</v>
      </c>
      <c r="C480" s="1" t="n">
        <v>46078</v>
      </c>
      <c r="D480" t="inlineStr">
        <is>
          <t>VÄSTERBOTTENS LÄN</t>
        </is>
      </c>
      <c r="E480" t="inlineStr">
        <is>
          <t>SKELLEFTEÅ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21222-2025</t>
        </is>
      </c>
      <c r="B481" s="1" t="n">
        <v>45779.5078125</v>
      </c>
      <c r="C481" s="1" t="n">
        <v>46078</v>
      </c>
      <c r="D481" t="inlineStr">
        <is>
          <t>VÄSTERBOTTENS LÄN</t>
        </is>
      </c>
      <c r="E481" t="inlineStr">
        <is>
          <t>SKELLEFTEÅ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48131-2025</t>
        </is>
      </c>
      <c r="B482" s="1" t="n">
        <v>45933.36880787037</v>
      </c>
      <c r="C482" s="1" t="n">
        <v>46078</v>
      </c>
      <c r="D482" t="inlineStr">
        <is>
          <t>VÄSTERBOTTENS LÄN</t>
        </is>
      </c>
      <c r="E482" t="inlineStr">
        <is>
          <t>SKELLEFTEÅ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34035-2023</t>
        </is>
      </c>
      <c r="B483" s="1" t="n">
        <v>45135.41648148148</v>
      </c>
      <c r="C483" s="1" t="n">
        <v>46078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35032-2023</t>
        </is>
      </c>
      <c r="B484" s="1" t="n">
        <v>45145</v>
      </c>
      <c r="C484" s="1" t="n">
        <v>46078</v>
      </c>
      <c r="D484" t="inlineStr">
        <is>
          <t>VÄSTERBOTTENS LÄN</t>
        </is>
      </c>
      <c r="E484" t="inlineStr">
        <is>
          <t>SKELLEFTEÅ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46107-2023</t>
        </is>
      </c>
      <c r="B485" s="1" t="n">
        <v>45190</v>
      </c>
      <c r="C485" s="1" t="n">
        <v>46078</v>
      </c>
      <c r="D485" t="inlineStr">
        <is>
          <t>VÄSTERBOTTENS LÄN</t>
        </is>
      </c>
      <c r="E485" t="inlineStr">
        <is>
          <t>SKELLEFTEÅ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8328-2023</t>
        </is>
      </c>
      <c r="B486" s="1" t="n">
        <v>44974.84518518519</v>
      </c>
      <c r="C486" s="1" t="n">
        <v>46078</v>
      </c>
      <c r="D486" t="inlineStr">
        <is>
          <t>VÄSTERBOTTENS LÄN</t>
        </is>
      </c>
      <c r="E486" t="inlineStr">
        <is>
          <t>SKELLEFTEÅ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21207-2025</t>
        </is>
      </c>
      <c r="B487" s="1" t="n">
        <v>45779.48564814815</v>
      </c>
      <c r="C487" s="1" t="n">
        <v>46078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38661-2025</t>
        </is>
      </c>
      <c r="B488" s="1" t="n">
        <v>45884.61168981482</v>
      </c>
      <c r="C488" s="1" t="n">
        <v>46078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21131-2025</t>
        </is>
      </c>
      <c r="B489" s="1" t="n">
        <v>45778.36864583333</v>
      </c>
      <c r="C489" s="1" t="n">
        <v>46078</v>
      </c>
      <c r="D489" t="inlineStr">
        <is>
          <t>VÄSTERBOTTENS LÄN</t>
        </is>
      </c>
      <c r="E489" t="inlineStr">
        <is>
          <t>SKELLEFTEÅ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47991-2025</t>
        </is>
      </c>
      <c r="B490" s="1" t="n">
        <v>45932.62354166667</v>
      </c>
      <c r="C490" s="1" t="n">
        <v>46078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21420-2025</t>
        </is>
      </c>
      <c r="B491" s="1" t="n">
        <v>45782.5021875</v>
      </c>
      <c r="C491" s="1" t="n">
        <v>46078</v>
      </c>
      <c r="D491" t="inlineStr">
        <is>
          <t>VÄSTERBOTTENS LÄN</t>
        </is>
      </c>
      <c r="E491" t="inlineStr">
        <is>
          <t>SKELLEFTEÅ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49279-2024</t>
        </is>
      </c>
      <c r="B492" s="1" t="n">
        <v>45595.50831018519</v>
      </c>
      <c r="C492" s="1" t="n">
        <v>46078</v>
      </c>
      <c r="D492" t="inlineStr">
        <is>
          <t>VÄSTERBOTTENS LÄN</t>
        </is>
      </c>
      <c r="E492" t="inlineStr">
        <is>
          <t>SKELLEFTEÅ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48226-2025</t>
        </is>
      </c>
      <c r="B493" s="1" t="n">
        <v>45933.51006944444</v>
      </c>
      <c r="C493" s="1" t="n">
        <v>46078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Holmen skog AB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61479-2024</t>
        </is>
      </c>
      <c r="B494" s="1" t="n">
        <v>45646.52488425926</v>
      </c>
      <c r="C494" s="1" t="n">
        <v>46078</v>
      </c>
      <c r="D494" t="inlineStr">
        <is>
          <t>VÄSTERBOTTENS LÄN</t>
        </is>
      </c>
      <c r="E494" t="inlineStr">
        <is>
          <t>SKELLEFTEÅ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21585-2025</t>
        </is>
      </c>
      <c r="B495" s="1" t="n">
        <v>45783</v>
      </c>
      <c r="C495" s="1" t="n">
        <v>46078</v>
      </c>
      <c r="D495" t="inlineStr">
        <is>
          <t>VÄSTERBOTTENS LÄN</t>
        </is>
      </c>
      <c r="E495" t="inlineStr">
        <is>
          <t>SKELLEFTEÅ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49433-2022</t>
        </is>
      </c>
      <c r="B496" s="1" t="n">
        <v>44859</v>
      </c>
      <c r="C496" s="1" t="n">
        <v>46078</v>
      </c>
      <c r="D496" t="inlineStr">
        <is>
          <t>VÄSTERBOTTENS LÄN</t>
        </is>
      </c>
      <c r="E496" t="inlineStr">
        <is>
          <t>SKELLEFTEÅ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47891-2025</t>
        </is>
      </c>
      <c r="B497" s="1" t="n">
        <v>45932.47138888889</v>
      </c>
      <c r="C497" s="1" t="n">
        <v>46078</v>
      </c>
      <c r="D497" t="inlineStr">
        <is>
          <t>VÄSTERBOTTENS LÄN</t>
        </is>
      </c>
      <c r="E497" t="inlineStr">
        <is>
          <t>SKELLEFTEÅ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23168-2024</t>
        </is>
      </c>
      <c r="B498" s="1" t="n">
        <v>45450</v>
      </c>
      <c r="C498" s="1" t="n">
        <v>46078</v>
      </c>
      <c r="D498" t="inlineStr">
        <is>
          <t>VÄSTERBOTTENS LÄN</t>
        </is>
      </c>
      <c r="E498" t="inlineStr">
        <is>
          <t>SKELLEFTEÅ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21381-2025</t>
        </is>
      </c>
      <c r="B499" s="1" t="n">
        <v>45782.45925925926</v>
      </c>
      <c r="C499" s="1" t="n">
        <v>46078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21350-2025</t>
        </is>
      </c>
      <c r="B500" s="1" t="n">
        <v>45782.40702546296</v>
      </c>
      <c r="C500" s="1" t="n">
        <v>46078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47813-2025</t>
        </is>
      </c>
      <c r="B501" s="1" t="n">
        <v>45932</v>
      </c>
      <c r="C501" s="1" t="n">
        <v>46078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Kyrkan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48031-2025</t>
        </is>
      </c>
      <c r="B502" s="1" t="n">
        <v>45932.65422453704</v>
      </c>
      <c r="C502" s="1" t="n">
        <v>46078</v>
      </c>
      <c r="D502" t="inlineStr">
        <is>
          <t>VÄSTERBOTTENS LÄN</t>
        </is>
      </c>
      <c r="E502" t="inlineStr">
        <is>
          <t>SKELLEFTEÅ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21427-2025</t>
        </is>
      </c>
      <c r="B503" s="1" t="n">
        <v>45782.50858796296</v>
      </c>
      <c r="C503" s="1" t="n">
        <v>46078</v>
      </c>
      <c r="D503" t="inlineStr">
        <is>
          <t>VÄSTERBOTTENS LÄN</t>
        </is>
      </c>
      <c r="E503" t="inlineStr">
        <is>
          <t>SKELLEFTEÅ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14653-2024</t>
        </is>
      </c>
      <c r="B504" s="1" t="n">
        <v>45397.4034375</v>
      </c>
      <c r="C504" s="1" t="n">
        <v>46078</v>
      </c>
      <c r="D504" t="inlineStr">
        <is>
          <t>VÄSTERBOTTENS LÄN</t>
        </is>
      </c>
      <c r="E504" t="inlineStr">
        <is>
          <t>SKELLEFTEÅ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1639-2023</t>
        </is>
      </c>
      <c r="B505" s="1" t="n">
        <v>44937</v>
      </c>
      <c r="C505" s="1" t="n">
        <v>46078</v>
      </c>
      <c r="D505" t="inlineStr">
        <is>
          <t>VÄSTERBOTTENS LÄN</t>
        </is>
      </c>
      <c r="E505" t="inlineStr">
        <is>
          <t>SKELLEFTEÅ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14332-2023</t>
        </is>
      </c>
      <c r="B506" s="1" t="n">
        <v>45009</v>
      </c>
      <c r="C506" s="1" t="n">
        <v>46078</v>
      </c>
      <c r="D506" t="inlineStr">
        <is>
          <t>VÄSTERBOTTENS LÄN</t>
        </is>
      </c>
      <c r="E506" t="inlineStr">
        <is>
          <t>SKELLEFTEÅ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21750-2025</t>
        </is>
      </c>
      <c r="B507" s="1" t="n">
        <v>45783.61346064815</v>
      </c>
      <c r="C507" s="1" t="n">
        <v>46078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15593-2023</t>
        </is>
      </c>
      <c r="B508" s="1" t="n">
        <v>45019</v>
      </c>
      <c r="C508" s="1" t="n">
        <v>46078</v>
      </c>
      <c r="D508" t="inlineStr">
        <is>
          <t>VÄSTERBOTTENS LÄN</t>
        </is>
      </c>
      <c r="E508" t="inlineStr">
        <is>
          <t>SKELLEFTEÅ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2579-2024</t>
        </is>
      </c>
      <c r="B509" s="1" t="n">
        <v>45313.64712962963</v>
      </c>
      <c r="C509" s="1" t="n">
        <v>46078</v>
      </c>
      <c r="D509" t="inlineStr">
        <is>
          <t>VÄSTERBOTTENS LÄN</t>
        </is>
      </c>
      <c r="E509" t="inlineStr">
        <is>
          <t>SKELLEFTEÅ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21424-2025</t>
        </is>
      </c>
      <c r="B510" s="1" t="n">
        <v>45782.50584490741</v>
      </c>
      <c r="C510" s="1" t="n">
        <v>46078</v>
      </c>
      <c r="D510" t="inlineStr">
        <is>
          <t>VÄSTERBOTTENS LÄN</t>
        </is>
      </c>
      <c r="E510" t="inlineStr">
        <is>
          <t>SKELLEFTEÅ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21755-2025</t>
        </is>
      </c>
      <c r="B511" s="1" t="n">
        <v>45783.61917824074</v>
      </c>
      <c r="C511" s="1" t="n">
        <v>46078</v>
      </c>
      <c r="D511" t="inlineStr">
        <is>
          <t>VÄSTERBOTTENS LÄN</t>
        </is>
      </c>
      <c r="E511" t="inlineStr">
        <is>
          <t>SKELLEFTEÅ</t>
        </is>
      </c>
      <c r="G511" t="n">
        <v>13.6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21757-2025</t>
        </is>
      </c>
      <c r="B512" s="1" t="n">
        <v>45783</v>
      </c>
      <c r="C512" s="1" t="n">
        <v>46078</v>
      </c>
      <c r="D512" t="inlineStr">
        <is>
          <t>VÄSTERBOTTENS LÄN</t>
        </is>
      </c>
      <c r="E512" t="inlineStr">
        <is>
          <t>SKELLEFTEÅ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42329-2023</t>
        </is>
      </c>
      <c r="B513" s="1" t="n">
        <v>45175</v>
      </c>
      <c r="C513" s="1" t="n">
        <v>46078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38481-2025</t>
        </is>
      </c>
      <c r="B514" s="1" t="n">
        <v>45884.33145833333</v>
      </c>
      <c r="C514" s="1" t="n">
        <v>46078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20245-2025</t>
        </is>
      </c>
      <c r="B515" s="1" t="n">
        <v>45772</v>
      </c>
      <c r="C515" s="1" t="n">
        <v>46078</v>
      </c>
      <c r="D515" t="inlineStr">
        <is>
          <t>VÄSTERBOTTENS LÄN</t>
        </is>
      </c>
      <c r="E515" t="inlineStr">
        <is>
          <t>SKELLEFTEÅ</t>
        </is>
      </c>
      <c r="G515" t="n">
        <v>14.1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48608-2025</t>
        </is>
      </c>
      <c r="B516" s="1" t="n">
        <v>45936.4734837963</v>
      </c>
      <c r="C516" s="1" t="n">
        <v>46078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35809-2022</t>
        </is>
      </c>
      <c r="B517" s="1" t="n">
        <v>44802</v>
      </c>
      <c r="C517" s="1" t="n">
        <v>46078</v>
      </c>
      <c r="D517" t="inlineStr">
        <is>
          <t>VÄSTERBOTTENS LÄN</t>
        </is>
      </c>
      <c r="E517" t="inlineStr">
        <is>
          <t>SKELLEFTEÅ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21587-2025</t>
        </is>
      </c>
      <c r="B518" s="1" t="n">
        <v>45783</v>
      </c>
      <c r="C518" s="1" t="n">
        <v>46078</v>
      </c>
      <c r="D518" t="inlineStr">
        <is>
          <t>VÄSTERBOTTENS LÄN</t>
        </is>
      </c>
      <c r="E518" t="inlineStr">
        <is>
          <t>SKELLEFTEÅ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38906-2025</t>
        </is>
      </c>
      <c r="B519" s="1" t="n">
        <v>45887.60821759259</v>
      </c>
      <c r="C519" s="1" t="n">
        <v>46078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20824-2025</t>
        </is>
      </c>
      <c r="B520" s="1" t="n">
        <v>45776</v>
      </c>
      <c r="C520" s="1" t="n">
        <v>46078</v>
      </c>
      <c r="D520" t="inlineStr">
        <is>
          <t>VÄSTERBOTTENS LÄN</t>
        </is>
      </c>
      <c r="E520" t="inlineStr">
        <is>
          <t>SKELLEFTEÅ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39024-2025</t>
        </is>
      </c>
      <c r="B521" s="1" t="n">
        <v>45888.3791550926</v>
      </c>
      <c r="C521" s="1" t="n">
        <v>46078</v>
      </c>
      <c r="D521" t="inlineStr">
        <is>
          <t>VÄSTERBOTTENS LÄN</t>
        </is>
      </c>
      <c r="E521" t="inlineStr">
        <is>
          <t>SKELLEFTEÅ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29101-2025</t>
        </is>
      </c>
      <c r="B522" s="1" t="n">
        <v>45821.56797453704</v>
      </c>
      <c r="C522" s="1" t="n">
        <v>46078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39445-2025</t>
        </is>
      </c>
      <c r="B523" s="1" t="n">
        <v>45889.7028125</v>
      </c>
      <c r="C523" s="1" t="n">
        <v>46078</v>
      </c>
      <c r="D523" t="inlineStr">
        <is>
          <t>VÄSTERBOTTENS LÄN</t>
        </is>
      </c>
      <c r="E523" t="inlineStr">
        <is>
          <t>SKELLEFTEÅ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39123-2025</t>
        </is>
      </c>
      <c r="B524" s="1" t="n">
        <v>45888.57267361111</v>
      </c>
      <c r="C524" s="1" t="n">
        <v>46078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30437-2023</t>
        </is>
      </c>
      <c r="B525" s="1" t="n">
        <v>45099</v>
      </c>
      <c r="C525" s="1" t="n">
        <v>46078</v>
      </c>
      <c r="D525" t="inlineStr">
        <is>
          <t>VÄSTERBOTTENS LÄN</t>
        </is>
      </c>
      <c r="E525" t="inlineStr">
        <is>
          <t>SKELLEFTEÅ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44480-2024</t>
        </is>
      </c>
      <c r="B526" s="1" t="n">
        <v>45574</v>
      </c>
      <c r="C526" s="1" t="n">
        <v>46078</v>
      </c>
      <c r="D526" t="inlineStr">
        <is>
          <t>VÄSTERBOTTENS LÄN</t>
        </is>
      </c>
      <c r="E526" t="inlineStr">
        <is>
          <t>SKELLEFTEÅ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39447-2025</t>
        </is>
      </c>
      <c r="B527" s="1" t="n">
        <v>45889.70673611111</v>
      </c>
      <c r="C527" s="1" t="n">
        <v>46078</v>
      </c>
      <c r="D527" t="inlineStr">
        <is>
          <t>VÄSTERBOTTENS LÄN</t>
        </is>
      </c>
      <c r="E527" t="inlineStr">
        <is>
          <t>SKELLEFTEÅ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41037-2024</t>
        </is>
      </c>
      <c r="B528" s="1" t="n">
        <v>45559.35982638889</v>
      </c>
      <c r="C528" s="1" t="n">
        <v>46078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Sveaskog</t>
        </is>
      </c>
      <c r="G528" t="n">
        <v>22.5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39379-2025</t>
        </is>
      </c>
      <c r="B529" s="1" t="n">
        <v>45889.59917824074</v>
      </c>
      <c r="C529" s="1" t="n">
        <v>46078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Holmen skog AB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29932-2023</t>
        </is>
      </c>
      <c r="B530" s="1" t="n">
        <v>45107</v>
      </c>
      <c r="C530" s="1" t="n">
        <v>46078</v>
      </c>
      <c r="D530" t="inlineStr">
        <is>
          <t>VÄSTERBOTTENS LÄN</t>
        </is>
      </c>
      <c r="E530" t="inlineStr">
        <is>
          <t>SKELLEFTEÅ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7991-2025</t>
        </is>
      </c>
      <c r="B531" s="1" t="n">
        <v>45707.48981481481</v>
      </c>
      <c r="C531" s="1" t="n">
        <v>46078</v>
      </c>
      <c r="D531" t="inlineStr">
        <is>
          <t>VÄSTERBOTTENS LÄN</t>
        </is>
      </c>
      <c r="E531" t="inlineStr">
        <is>
          <t>SKELLEFTEÅ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39328-2025</t>
        </is>
      </c>
      <c r="B532" s="1" t="n">
        <v>45889</v>
      </c>
      <c r="C532" s="1" t="n">
        <v>46078</v>
      </c>
      <c r="D532" t="inlineStr">
        <is>
          <t>VÄSTERBOTTENS LÄN</t>
        </is>
      </c>
      <c r="E532" t="inlineStr">
        <is>
          <t>SKELLEFTEÅ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21910-2025</t>
        </is>
      </c>
      <c r="B533" s="1" t="n">
        <v>45784.47021990741</v>
      </c>
      <c r="C533" s="1" t="n">
        <v>46078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49844-2024</t>
        </is>
      </c>
      <c r="B534" s="1" t="n">
        <v>45597</v>
      </c>
      <c r="C534" s="1" t="n">
        <v>46078</v>
      </c>
      <c r="D534" t="inlineStr">
        <is>
          <t>VÄSTERBOTTENS LÄN</t>
        </is>
      </c>
      <c r="E534" t="inlineStr">
        <is>
          <t>SKELLEFTEÅ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1113-2025</t>
        </is>
      </c>
      <c r="B535" s="1" t="n">
        <v>45666</v>
      </c>
      <c r="C535" s="1" t="n">
        <v>46078</v>
      </c>
      <c r="D535" t="inlineStr">
        <is>
          <t>VÄSTERBOTTENS LÄN</t>
        </is>
      </c>
      <c r="E535" t="inlineStr">
        <is>
          <t>SKELLEFTEÅ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39166-2025</t>
        </is>
      </c>
      <c r="B536" s="1" t="n">
        <v>45888.63756944444</v>
      </c>
      <c r="C536" s="1" t="n">
        <v>46078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26318-2025</t>
        </is>
      </c>
      <c r="B537" s="1" t="n">
        <v>45805.65717592592</v>
      </c>
      <c r="C537" s="1" t="n">
        <v>46078</v>
      </c>
      <c r="D537" t="inlineStr">
        <is>
          <t>VÄSTERBOTTENS LÄN</t>
        </is>
      </c>
      <c r="E537" t="inlineStr">
        <is>
          <t>SKELLEFTEÅ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39259-2025</t>
        </is>
      </c>
      <c r="B538" s="1" t="n">
        <v>45889.37043981482</v>
      </c>
      <c r="C538" s="1" t="n">
        <v>46078</v>
      </c>
      <c r="D538" t="inlineStr">
        <is>
          <t>VÄSTERBOTTENS LÄN</t>
        </is>
      </c>
      <c r="E538" t="inlineStr">
        <is>
          <t>SKELLEFTEÅ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60558-2022</t>
        </is>
      </c>
      <c r="B539" s="1" t="n">
        <v>44904</v>
      </c>
      <c r="C539" s="1" t="n">
        <v>46078</v>
      </c>
      <c r="D539" t="inlineStr">
        <is>
          <t>VÄSTERBOTTENS LÄN</t>
        </is>
      </c>
      <c r="E539" t="inlineStr">
        <is>
          <t>SKELLEFTEÅ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62023-2024</t>
        </is>
      </c>
      <c r="B540" s="1" t="n">
        <v>45656.06716435185</v>
      </c>
      <c r="C540" s="1" t="n">
        <v>46078</v>
      </c>
      <c r="D540" t="inlineStr">
        <is>
          <t>VÄSTERBOTTENS LÄN</t>
        </is>
      </c>
      <c r="E540" t="inlineStr">
        <is>
          <t>SKELLEFTEÅ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7816-2025</t>
        </is>
      </c>
      <c r="B541" s="1" t="n">
        <v>45706.63597222222</v>
      </c>
      <c r="C541" s="1" t="n">
        <v>46078</v>
      </c>
      <c r="D541" t="inlineStr">
        <is>
          <t>VÄSTERBOTTENS LÄN</t>
        </is>
      </c>
      <c r="E541" t="inlineStr">
        <is>
          <t>SKELLEFTEÅ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15709-2023</t>
        </is>
      </c>
      <c r="B542" s="1" t="n">
        <v>45020</v>
      </c>
      <c r="C542" s="1" t="n">
        <v>46078</v>
      </c>
      <c r="D542" t="inlineStr">
        <is>
          <t>VÄSTERBOTTENS LÄN</t>
        </is>
      </c>
      <c r="E542" t="inlineStr">
        <is>
          <t>SKELLEFTEÅ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27504-2023</t>
        </is>
      </c>
      <c r="B543" s="1" t="n">
        <v>45097</v>
      </c>
      <c r="C543" s="1" t="n">
        <v>46078</v>
      </c>
      <c r="D543" t="inlineStr">
        <is>
          <t>VÄSTERBOTTENS LÄN</t>
        </is>
      </c>
      <c r="E543" t="inlineStr">
        <is>
          <t>SKELLEFTEÅ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21992-2025</t>
        </is>
      </c>
      <c r="B544" s="1" t="n">
        <v>45784.66221064814</v>
      </c>
      <c r="C544" s="1" t="n">
        <v>46078</v>
      </c>
      <c r="D544" t="inlineStr">
        <is>
          <t>VÄSTERBOTTENS LÄN</t>
        </is>
      </c>
      <c r="E544" t="inlineStr">
        <is>
          <t>SKELLEFTEÅ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30791-2025</t>
        </is>
      </c>
      <c r="B545" s="1" t="n">
        <v>45831.63576388889</v>
      </c>
      <c r="C545" s="1" t="n">
        <v>46078</v>
      </c>
      <c r="D545" t="inlineStr">
        <is>
          <t>VÄSTERBOTTENS LÄN</t>
        </is>
      </c>
      <c r="E545" t="inlineStr">
        <is>
          <t>SKELLEFTEÅ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27322-2023</t>
        </is>
      </c>
      <c r="B546" s="1" t="n">
        <v>45096</v>
      </c>
      <c r="C546" s="1" t="n">
        <v>46078</v>
      </c>
      <c r="D546" t="inlineStr">
        <is>
          <t>VÄSTERBOTTENS LÄN</t>
        </is>
      </c>
      <c r="E546" t="inlineStr">
        <is>
          <t>SKELLEFTEÅ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5986-2025</t>
        </is>
      </c>
      <c r="B547" s="1" t="n">
        <v>45695</v>
      </c>
      <c r="C547" s="1" t="n">
        <v>46078</v>
      </c>
      <c r="D547" t="inlineStr">
        <is>
          <t>VÄSTERBOTTENS LÄN</t>
        </is>
      </c>
      <c r="E547" t="inlineStr">
        <is>
          <t>SKELLEFTEÅ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49012-2025</t>
        </is>
      </c>
      <c r="B548" s="1" t="n">
        <v>45936</v>
      </c>
      <c r="C548" s="1" t="n">
        <v>46078</v>
      </c>
      <c r="D548" t="inlineStr">
        <is>
          <t>VÄSTERBOTTENS LÄN</t>
        </is>
      </c>
      <c r="E548" t="inlineStr">
        <is>
          <t>SKELLEFTEÅ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39349-2025</t>
        </is>
      </c>
      <c r="B549" s="1" t="n">
        <v>45889.5431712963</v>
      </c>
      <c r="C549" s="1" t="n">
        <v>46078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Kommuner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27508-2023</t>
        </is>
      </c>
      <c r="B550" s="1" t="n">
        <v>45097</v>
      </c>
      <c r="C550" s="1" t="n">
        <v>46078</v>
      </c>
      <c r="D550" t="inlineStr">
        <is>
          <t>VÄSTERBOTTENS LÄN</t>
        </is>
      </c>
      <c r="E550" t="inlineStr">
        <is>
          <t>SKELLEFTEÅ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22031-2025</t>
        </is>
      </c>
      <c r="B551" s="1" t="n">
        <v>45785.27292824074</v>
      </c>
      <c r="C551" s="1" t="n">
        <v>46078</v>
      </c>
      <c r="D551" t="inlineStr">
        <is>
          <t>VÄSTERBOTTENS LÄN</t>
        </is>
      </c>
      <c r="E551" t="inlineStr">
        <is>
          <t>SKELLEFTEÅ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39254-2025</t>
        </is>
      </c>
      <c r="B552" s="1" t="n">
        <v>45889.36454861111</v>
      </c>
      <c r="C552" s="1" t="n">
        <v>46078</v>
      </c>
      <c r="D552" t="inlineStr">
        <is>
          <t>VÄSTERBOTTENS LÄN</t>
        </is>
      </c>
      <c r="E552" t="inlineStr">
        <is>
          <t>SKELLEFTEÅ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2454-2025</t>
        </is>
      </c>
      <c r="B553" s="1" t="n">
        <v>45673</v>
      </c>
      <c r="C553" s="1" t="n">
        <v>46078</v>
      </c>
      <c r="D553" t="inlineStr">
        <is>
          <t>VÄSTERBOTTENS LÄN</t>
        </is>
      </c>
      <c r="E553" t="inlineStr">
        <is>
          <t>SKELLEFTEÅ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24825-2025</t>
        </is>
      </c>
      <c r="B554" s="1" t="n">
        <v>45799.45575231482</v>
      </c>
      <c r="C554" s="1" t="n">
        <v>46078</v>
      </c>
      <c r="D554" t="inlineStr">
        <is>
          <t>VÄSTERBOTTENS LÄN</t>
        </is>
      </c>
      <c r="E554" t="inlineStr">
        <is>
          <t>SKELLEFTEÅ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39064-2025</t>
        </is>
      </c>
      <c r="B555" s="1" t="n">
        <v>45888.46336805556</v>
      </c>
      <c r="C555" s="1" t="n">
        <v>46078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Holmen skog AB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39105-2025</t>
        </is>
      </c>
      <c r="B556" s="1" t="n">
        <v>45888.52792824074</v>
      </c>
      <c r="C556" s="1" t="n">
        <v>46078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39890-2025</t>
        </is>
      </c>
      <c r="B557" s="1" t="n">
        <v>45891.62754629629</v>
      </c>
      <c r="C557" s="1" t="n">
        <v>46078</v>
      </c>
      <c r="D557" t="inlineStr">
        <is>
          <t>VÄSTERBOTTENS LÄN</t>
        </is>
      </c>
      <c r="E557" t="inlineStr">
        <is>
          <t>SKELLEFTEÅ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39705-2025</t>
        </is>
      </c>
      <c r="B558" s="1" t="n">
        <v>45890.73013888889</v>
      </c>
      <c r="C558" s="1" t="n">
        <v>46078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39589-2025</t>
        </is>
      </c>
      <c r="B559" s="1" t="n">
        <v>45890.5162037037</v>
      </c>
      <c r="C559" s="1" t="n">
        <v>46078</v>
      </c>
      <c r="D559" t="inlineStr">
        <is>
          <t>VÄSTERBOTTENS LÄN</t>
        </is>
      </c>
      <c r="E559" t="inlineStr">
        <is>
          <t>SKELLEFTEÅ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55613-2023</t>
        </is>
      </c>
      <c r="B560" s="1" t="n">
        <v>45238.74128472222</v>
      </c>
      <c r="C560" s="1" t="n">
        <v>46078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9.699999999999999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43793-2024</t>
        </is>
      </c>
      <c r="B561" s="1" t="n">
        <v>45571.49777777777</v>
      </c>
      <c r="C561" s="1" t="n">
        <v>46078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39477-2025</t>
        </is>
      </c>
      <c r="B562" s="1" t="n">
        <v>45890.34474537037</v>
      </c>
      <c r="C562" s="1" t="n">
        <v>46078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39522-2025</t>
        </is>
      </c>
      <c r="B563" s="1" t="n">
        <v>45890.43673611111</v>
      </c>
      <c r="C563" s="1" t="n">
        <v>46078</v>
      </c>
      <c r="D563" t="inlineStr">
        <is>
          <t>VÄSTERBOTTENS LÄN</t>
        </is>
      </c>
      <c r="E563" t="inlineStr">
        <is>
          <t>SKELLEFTEÅ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39733-2025</t>
        </is>
      </c>
      <c r="B564" s="1" t="n">
        <v>45891.36577546296</v>
      </c>
      <c r="C564" s="1" t="n">
        <v>46078</v>
      </c>
      <c r="D564" t="inlineStr">
        <is>
          <t>VÄSTERBOTTENS LÄN</t>
        </is>
      </c>
      <c r="E564" t="inlineStr">
        <is>
          <t>SKELLEFTEÅ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22311-2025</t>
        </is>
      </c>
      <c r="B565" s="1" t="n">
        <v>45786</v>
      </c>
      <c r="C565" s="1" t="n">
        <v>46078</v>
      </c>
      <c r="D565" t="inlineStr">
        <is>
          <t>VÄSTERBOTTENS LÄN</t>
        </is>
      </c>
      <c r="E565" t="inlineStr">
        <is>
          <t>SKELLEFTEÅ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39681-2025</t>
        </is>
      </c>
      <c r="B566" s="1" t="n">
        <v>45890.65736111111</v>
      </c>
      <c r="C566" s="1" t="n">
        <v>46078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19764-2025</t>
        </is>
      </c>
      <c r="B567" s="1" t="n">
        <v>45771.4071412037</v>
      </c>
      <c r="C567" s="1" t="n">
        <v>46078</v>
      </c>
      <c r="D567" t="inlineStr">
        <is>
          <t>VÄSTERBOTTENS LÄN</t>
        </is>
      </c>
      <c r="E567" t="inlineStr">
        <is>
          <t>SKELLEFTEÅ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39530-2025</t>
        </is>
      </c>
      <c r="B568" s="1" t="n">
        <v>45890.44736111111</v>
      </c>
      <c r="C568" s="1" t="n">
        <v>46078</v>
      </c>
      <c r="D568" t="inlineStr">
        <is>
          <t>VÄSTERBOTTENS LÄN</t>
        </is>
      </c>
      <c r="E568" t="inlineStr">
        <is>
          <t>SKELLEFTEÅ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19795-2025</t>
        </is>
      </c>
      <c r="B569" s="1" t="n">
        <v>45771.44666666666</v>
      </c>
      <c r="C569" s="1" t="n">
        <v>46078</v>
      </c>
      <c r="D569" t="inlineStr">
        <is>
          <t>VÄSTERBOTTENS LÄN</t>
        </is>
      </c>
      <c r="E569" t="inlineStr">
        <is>
          <t>SKELLEFTEÅ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18098-2025</t>
        </is>
      </c>
      <c r="B570" s="1" t="n">
        <v>45761.5509375</v>
      </c>
      <c r="C570" s="1" t="n">
        <v>46078</v>
      </c>
      <c r="D570" t="inlineStr">
        <is>
          <t>VÄSTERBOTTENS LÄN</t>
        </is>
      </c>
      <c r="E570" t="inlineStr">
        <is>
          <t>SKELLEFTEÅ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39921-2025</t>
        </is>
      </c>
      <c r="B571" s="1" t="n">
        <v>45891.66770833333</v>
      </c>
      <c r="C571" s="1" t="n">
        <v>46078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46858-2024</t>
        </is>
      </c>
      <c r="B572" s="1" t="n">
        <v>45583</v>
      </c>
      <c r="C572" s="1" t="n">
        <v>46078</v>
      </c>
      <c r="D572" t="inlineStr">
        <is>
          <t>VÄSTERBOTTENS LÄN</t>
        </is>
      </c>
      <c r="E572" t="inlineStr">
        <is>
          <t>SKELLEFTEÅ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24352-2024</t>
        </is>
      </c>
      <c r="B573" s="1" t="n">
        <v>45457.59247685185</v>
      </c>
      <c r="C573" s="1" t="n">
        <v>46078</v>
      </c>
      <c r="D573" t="inlineStr">
        <is>
          <t>VÄSTERBOTTENS LÄN</t>
        </is>
      </c>
      <c r="E573" t="inlineStr">
        <is>
          <t>SKELLEFTEÅ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50549-2023</t>
        </is>
      </c>
      <c r="B574" s="1" t="n">
        <v>45217.36358796297</v>
      </c>
      <c r="C574" s="1" t="n">
        <v>46078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28.5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49031-2025</t>
        </is>
      </c>
      <c r="B575" s="1" t="n">
        <v>45936</v>
      </c>
      <c r="C575" s="1" t="n">
        <v>46078</v>
      </c>
      <c r="D575" t="inlineStr">
        <is>
          <t>VÄSTERBOTTENS LÄN</t>
        </is>
      </c>
      <c r="E575" t="inlineStr">
        <is>
          <t>SKELLEFTEÅ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39871-2025</t>
        </is>
      </c>
      <c r="B576" s="1" t="n">
        <v>45891.61135416666</v>
      </c>
      <c r="C576" s="1" t="n">
        <v>46078</v>
      </c>
      <c r="D576" t="inlineStr">
        <is>
          <t>VÄSTERBOTTENS LÄN</t>
        </is>
      </c>
      <c r="E576" t="inlineStr">
        <is>
          <t>SKELLEFTEÅ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39613-2025</t>
        </is>
      </c>
      <c r="B577" s="1" t="n">
        <v>45890.56368055556</v>
      </c>
      <c r="C577" s="1" t="n">
        <v>46078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12.8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39870-2025</t>
        </is>
      </c>
      <c r="B578" s="1" t="n">
        <v>45891</v>
      </c>
      <c r="C578" s="1" t="n">
        <v>46078</v>
      </c>
      <c r="D578" t="inlineStr">
        <is>
          <t>VÄSTERBOTTENS LÄN</t>
        </is>
      </c>
      <c r="E578" t="inlineStr">
        <is>
          <t>SKELLEFTEÅ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39875-2025</t>
        </is>
      </c>
      <c r="B579" s="1" t="n">
        <v>45891.61512731481</v>
      </c>
      <c r="C579" s="1" t="n">
        <v>46078</v>
      </c>
      <c r="D579" t="inlineStr">
        <is>
          <t>VÄSTERBOTTENS LÄN</t>
        </is>
      </c>
      <c r="E579" t="inlineStr">
        <is>
          <t>SKELLEFTEÅ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39888-2025</t>
        </is>
      </c>
      <c r="B580" s="1" t="n">
        <v>45891</v>
      </c>
      <c r="C580" s="1" t="n">
        <v>46078</v>
      </c>
      <c r="D580" t="inlineStr">
        <is>
          <t>VÄSTERBOTTENS LÄN</t>
        </is>
      </c>
      <c r="E580" t="inlineStr">
        <is>
          <t>SKELLEFTEÅ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14342-2024</t>
        </is>
      </c>
      <c r="B581" s="1" t="n">
        <v>45393.73072916667</v>
      </c>
      <c r="C581" s="1" t="n">
        <v>46078</v>
      </c>
      <c r="D581" t="inlineStr">
        <is>
          <t>VÄSTERBOTTENS LÄN</t>
        </is>
      </c>
      <c r="E581" t="inlineStr">
        <is>
          <t>SKELLEFTEÅ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45757-2024</t>
        </is>
      </c>
      <c r="B582" s="1" t="n">
        <v>45579.63565972223</v>
      </c>
      <c r="C582" s="1" t="n">
        <v>46078</v>
      </c>
      <c r="D582" t="inlineStr">
        <is>
          <t>VÄSTERBOTTENS LÄN</t>
        </is>
      </c>
      <c r="E582" t="inlineStr">
        <is>
          <t>SKELLEFTEÅ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34580-2024</t>
        </is>
      </c>
      <c r="B583" s="1" t="n">
        <v>45526</v>
      </c>
      <c r="C583" s="1" t="n">
        <v>46078</v>
      </c>
      <c r="D583" t="inlineStr">
        <is>
          <t>VÄSTERBOTTENS LÄN</t>
        </is>
      </c>
      <c r="E583" t="inlineStr">
        <is>
          <t>SKELLEFTEÅ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34587-2024</t>
        </is>
      </c>
      <c r="B584" s="1" t="n">
        <v>45526</v>
      </c>
      <c r="C584" s="1" t="n">
        <v>46078</v>
      </c>
      <c r="D584" t="inlineStr">
        <is>
          <t>VÄSTERBOTTENS LÄN</t>
        </is>
      </c>
      <c r="E584" t="inlineStr">
        <is>
          <t>SKELLEFTEÅ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22284-2025</t>
        </is>
      </c>
      <c r="B585" s="1" t="n">
        <v>45786.34259259259</v>
      </c>
      <c r="C585" s="1" t="n">
        <v>46078</v>
      </c>
      <c r="D585" t="inlineStr">
        <is>
          <t>VÄSTERBOTTENS LÄN</t>
        </is>
      </c>
      <c r="E585" t="inlineStr">
        <is>
          <t>SKELLEFTEÅ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40271-2025</t>
        </is>
      </c>
      <c r="B586" s="1" t="n">
        <v>45895.345625</v>
      </c>
      <c r="C586" s="1" t="n">
        <v>46078</v>
      </c>
      <c r="D586" t="inlineStr">
        <is>
          <t>VÄSTERBOTTENS LÄN</t>
        </is>
      </c>
      <c r="E586" t="inlineStr">
        <is>
          <t>SKELLEFTEÅ</t>
        </is>
      </c>
      <c r="G586" t="n">
        <v>12.1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21763-2025</t>
        </is>
      </c>
      <c r="B587" s="1" t="n">
        <v>45783</v>
      </c>
      <c r="C587" s="1" t="n">
        <v>46078</v>
      </c>
      <c r="D587" t="inlineStr">
        <is>
          <t>VÄSTERBOTTENS LÄN</t>
        </is>
      </c>
      <c r="E587" t="inlineStr">
        <is>
          <t>SKELLEFTEÅ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40295-2025</t>
        </is>
      </c>
      <c r="B588" s="1" t="n">
        <v>45895.38805555556</v>
      </c>
      <c r="C588" s="1" t="n">
        <v>46078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37760-2024</t>
        </is>
      </c>
      <c r="B589" s="1" t="n">
        <v>45541.784375</v>
      </c>
      <c r="C589" s="1" t="n">
        <v>46078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Sveaskog</t>
        </is>
      </c>
      <c r="G589" t="n">
        <v>27.6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40020-2025</t>
        </is>
      </c>
      <c r="B590" s="1" t="n">
        <v>45894.35414351852</v>
      </c>
      <c r="C590" s="1" t="n">
        <v>46078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31387-2025</t>
        </is>
      </c>
      <c r="B591" s="1" t="n">
        <v>45833</v>
      </c>
      <c r="C591" s="1" t="n">
        <v>46078</v>
      </c>
      <c r="D591" t="inlineStr">
        <is>
          <t>VÄSTERBOTTENS LÄN</t>
        </is>
      </c>
      <c r="E591" t="inlineStr">
        <is>
          <t>SKELLEFTEÅ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24142-2025</t>
        </is>
      </c>
      <c r="B592" s="1" t="n">
        <v>45796.64349537037</v>
      </c>
      <c r="C592" s="1" t="n">
        <v>46078</v>
      </c>
      <c r="D592" t="inlineStr">
        <is>
          <t>VÄSTERBOTTENS LÄN</t>
        </is>
      </c>
      <c r="E592" t="inlineStr">
        <is>
          <t>SKELLEFTEÅ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38570-2025</t>
        </is>
      </c>
      <c r="B593" s="1" t="n">
        <v>45884</v>
      </c>
      <c r="C593" s="1" t="n">
        <v>46078</v>
      </c>
      <c r="D593" t="inlineStr">
        <is>
          <t>VÄSTERBOTTENS LÄN</t>
        </is>
      </c>
      <c r="E593" t="inlineStr">
        <is>
          <t>SKELLEFTEÅ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56453-2024</t>
        </is>
      </c>
      <c r="B594" s="1" t="n">
        <v>45625.44270833334</v>
      </c>
      <c r="C594" s="1" t="n">
        <v>46078</v>
      </c>
      <c r="D594" t="inlineStr">
        <is>
          <t>VÄSTERBOTTENS LÄN</t>
        </is>
      </c>
      <c r="E594" t="inlineStr">
        <is>
          <t>SKELLEFTEÅ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47519-2024</t>
        </is>
      </c>
      <c r="B595" s="1" t="n">
        <v>45587</v>
      </c>
      <c r="C595" s="1" t="n">
        <v>46078</v>
      </c>
      <c r="D595" t="inlineStr">
        <is>
          <t>VÄSTERBOTTENS LÄN</t>
        </is>
      </c>
      <c r="E595" t="inlineStr">
        <is>
          <t>SKELLEFTEÅ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40730-2025</t>
        </is>
      </c>
      <c r="B596" s="1" t="n">
        <v>45897.35766203704</v>
      </c>
      <c r="C596" s="1" t="n">
        <v>46078</v>
      </c>
      <c r="D596" t="inlineStr">
        <is>
          <t>VÄSTERBOTTENS LÄN</t>
        </is>
      </c>
      <c r="E596" t="inlineStr">
        <is>
          <t>SKELLEFTEÅ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57770-2022</t>
        </is>
      </c>
      <c r="B597" s="1" t="n">
        <v>44897</v>
      </c>
      <c r="C597" s="1" t="n">
        <v>46078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26293-2024</t>
        </is>
      </c>
      <c r="B598" s="1" t="n">
        <v>45468.81053240741</v>
      </c>
      <c r="C598" s="1" t="n">
        <v>46078</v>
      </c>
      <c r="D598" t="inlineStr">
        <is>
          <t>VÄSTERBOTTENS LÄN</t>
        </is>
      </c>
      <c r="E598" t="inlineStr">
        <is>
          <t>SKELLEFTEÅ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43434-2024</t>
        </is>
      </c>
      <c r="B599" s="1" t="n">
        <v>45568.64591435185</v>
      </c>
      <c r="C599" s="1" t="n">
        <v>46078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40615-2025</t>
        </is>
      </c>
      <c r="B600" s="1" t="n">
        <v>45896.57956018519</v>
      </c>
      <c r="C600" s="1" t="n">
        <v>46078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4700-2025</t>
        </is>
      </c>
      <c r="B601" s="1" t="n">
        <v>45688</v>
      </c>
      <c r="C601" s="1" t="n">
        <v>46078</v>
      </c>
      <c r="D601" t="inlineStr">
        <is>
          <t>VÄSTERBOTTENS LÄN</t>
        </is>
      </c>
      <c r="E601" t="inlineStr">
        <is>
          <t>SKELLEFTEÅ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2170-2024</t>
        </is>
      </c>
      <c r="B602" s="1" t="n">
        <v>45309.62446759259</v>
      </c>
      <c r="C602" s="1" t="n">
        <v>46078</v>
      </c>
      <c r="D602" t="inlineStr">
        <is>
          <t>VÄSTERBOTTENS LÄN</t>
        </is>
      </c>
      <c r="E602" t="inlineStr">
        <is>
          <t>SKELLEFTEÅ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52157-2024</t>
        </is>
      </c>
      <c r="B603" s="1" t="n">
        <v>45608.52555555556</v>
      </c>
      <c r="C603" s="1" t="n">
        <v>46078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10.3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15728-2024</t>
        </is>
      </c>
      <c r="B604" s="1" t="n">
        <v>45404</v>
      </c>
      <c r="C604" s="1" t="n">
        <v>46078</v>
      </c>
      <c r="D604" t="inlineStr">
        <is>
          <t>VÄSTERBOTTENS LÄN</t>
        </is>
      </c>
      <c r="E604" t="inlineStr">
        <is>
          <t>SKELLEFTEÅ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11644-2025</t>
        </is>
      </c>
      <c r="B605" s="1" t="n">
        <v>45727.47341435185</v>
      </c>
      <c r="C605" s="1" t="n">
        <v>46078</v>
      </c>
      <c r="D605" t="inlineStr">
        <is>
          <t>VÄSTERBOTTENS LÄN</t>
        </is>
      </c>
      <c r="E605" t="inlineStr">
        <is>
          <t>SKELLEFTEÅ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22838-2025</t>
        </is>
      </c>
      <c r="B606" s="1" t="n">
        <v>45790.28381944444</v>
      </c>
      <c r="C606" s="1" t="n">
        <v>46078</v>
      </c>
      <c r="D606" t="inlineStr">
        <is>
          <t>VÄSTERBOTTENS LÄN</t>
        </is>
      </c>
      <c r="E606" t="inlineStr">
        <is>
          <t>SKELLEFTEÅ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4956-2025</t>
        </is>
      </c>
      <c r="B607" s="1" t="n">
        <v>45689.57166666666</v>
      </c>
      <c r="C607" s="1" t="n">
        <v>46078</v>
      </c>
      <c r="D607" t="inlineStr">
        <is>
          <t>VÄSTERBOTTENS LÄN</t>
        </is>
      </c>
      <c r="E607" t="inlineStr">
        <is>
          <t>SKELLEFTEÅ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40771-2025</t>
        </is>
      </c>
      <c r="B608" s="1" t="n">
        <v>45897.40736111111</v>
      </c>
      <c r="C608" s="1" t="n">
        <v>46078</v>
      </c>
      <c r="D608" t="inlineStr">
        <is>
          <t>VÄSTERBOTTENS LÄN</t>
        </is>
      </c>
      <c r="E608" t="inlineStr">
        <is>
          <t>SKELLEFTEÅ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23213-2025</t>
        </is>
      </c>
      <c r="B609" s="1" t="n">
        <v>45791</v>
      </c>
      <c r="C609" s="1" t="n">
        <v>46078</v>
      </c>
      <c r="D609" t="inlineStr">
        <is>
          <t>VÄSTERBOTTENS LÄN</t>
        </is>
      </c>
      <c r="E609" t="inlineStr">
        <is>
          <t>SKELLEFTEÅ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11994-2025</t>
        </is>
      </c>
      <c r="B610" s="1" t="n">
        <v>45728</v>
      </c>
      <c r="C610" s="1" t="n">
        <v>46078</v>
      </c>
      <c r="D610" t="inlineStr">
        <is>
          <t>VÄSTERBOTTENS LÄN</t>
        </is>
      </c>
      <c r="E610" t="inlineStr">
        <is>
          <t>SKELLEFTEÅ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23327-2025</t>
        </is>
      </c>
      <c r="B611" s="1" t="n">
        <v>45791.62792824074</v>
      </c>
      <c r="C611" s="1" t="n">
        <v>46078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10659-2024</t>
        </is>
      </c>
      <c r="B612" s="1" t="n">
        <v>45369.30447916667</v>
      </c>
      <c r="C612" s="1" t="n">
        <v>46078</v>
      </c>
      <c r="D612" t="inlineStr">
        <is>
          <t>VÄSTERBOTTENS LÄN</t>
        </is>
      </c>
      <c r="E612" t="inlineStr">
        <is>
          <t>SKELLEFTEÅ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23208-2025</t>
        </is>
      </c>
      <c r="B613" s="1" t="n">
        <v>45791</v>
      </c>
      <c r="C613" s="1" t="n">
        <v>46078</v>
      </c>
      <c r="D613" t="inlineStr">
        <is>
          <t>VÄSTERBOTTENS LÄN</t>
        </is>
      </c>
      <c r="E613" t="inlineStr">
        <is>
          <t>SKELLEFTEÅ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17561-2025</t>
        </is>
      </c>
      <c r="B614" s="1" t="n">
        <v>45757.63712962963</v>
      </c>
      <c r="C614" s="1" t="n">
        <v>46078</v>
      </c>
      <c r="D614" t="inlineStr">
        <is>
          <t>VÄSTERBOTTENS LÄN</t>
        </is>
      </c>
      <c r="E614" t="inlineStr">
        <is>
          <t>SKELLEFTEÅ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41150-2025</t>
        </is>
      </c>
      <c r="B615" s="1" t="n">
        <v>45898.50738425926</v>
      </c>
      <c r="C615" s="1" t="n">
        <v>46078</v>
      </c>
      <c r="D615" t="inlineStr">
        <is>
          <t>VÄSTERBOTTENS LÄN</t>
        </is>
      </c>
      <c r="E615" t="inlineStr">
        <is>
          <t>SKELLEFTEÅ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23018-2025</t>
        </is>
      </c>
      <c r="B616" s="1" t="n">
        <v>45790.6446875</v>
      </c>
      <c r="C616" s="1" t="n">
        <v>46078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49023-2025</t>
        </is>
      </c>
      <c r="B617" s="1" t="n">
        <v>45937.61712962963</v>
      </c>
      <c r="C617" s="1" t="n">
        <v>46078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8801-2025</t>
        </is>
      </c>
      <c r="B618" s="1" t="n">
        <v>45712.65678240741</v>
      </c>
      <c r="C618" s="1" t="n">
        <v>46078</v>
      </c>
      <c r="D618" t="inlineStr">
        <is>
          <t>VÄSTERBOTTENS LÄN</t>
        </is>
      </c>
      <c r="E618" t="inlineStr">
        <is>
          <t>SKELLEFTEÅ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23153-2025</t>
        </is>
      </c>
      <c r="B619" s="1" t="n">
        <v>45791</v>
      </c>
      <c r="C619" s="1" t="n">
        <v>46078</v>
      </c>
      <c r="D619" t="inlineStr">
        <is>
          <t>VÄSTERBOTTENS LÄN</t>
        </is>
      </c>
      <c r="E619" t="inlineStr">
        <is>
          <t>SKELLEFTEÅ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41554-2025</t>
        </is>
      </c>
      <c r="B620" s="1" t="n">
        <v>45901.59134259259</v>
      </c>
      <c r="C620" s="1" t="n">
        <v>46078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31197-2024</t>
        </is>
      </c>
      <c r="B621" s="1" t="n">
        <v>45503.51806712963</v>
      </c>
      <c r="C621" s="1" t="n">
        <v>46078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41574-2025</t>
        </is>
      </c>
      <c r="B622" s="1" t="n">
        <v>45901</v>
      </c>
      <c r="C622" s="1" t="n">
        <v>46078</v>
      </c>
      <c r="D622" t="inlineStr">
        <is>
          <t>VÄSTERBOTTENS LÄN</t>
        </is>
      </c>
      <c r="E622" t="inlineStr">
        <is>
          <t>SKELLEFTEÅ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41326-2025</t>
        </is>
      </c>
      <c r="B623" s="1" t="n">
        <v>45899.28303240741</v>
      </c>
      <c r="C623" s="1" t="n">
        <v>46078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21.6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54411-2023</t>
        </is>
      </c>
      <c r="B624" s="1" t="n">
        <v>45226</v>
      </c>
      <c r="C624" s="1" t="n">
        <v>46078</v>
      </c>
      <c r="D624" t="inlineStr">
        <is>
          <t>VÄSTERBOTTENS LÄN</t>
        </is>
      </c>
      <c r="E624" t="inlineStr">
        <is>
          <t>SKELLEFTEÅ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25182-2025</t>
        </is>
      </c>
      <c r="B625" s="1" t="n">
        <v>45800.44905092593</v>
      </c>
      <c r="C625" s="1" t="n">
        <v>46078</v>
      </c>
      <c r="D625" t="inlineStr">
        <is>
          <t>VÄSTERBOTTENS LÄN</t>
        </is>
      </c>
      <c r="E625" t="inlineStr">
        <is>
          <t>SKELLEFTEÅ</t>
        </is>
      </c>
      <c r="G625" t="n">
        <v>19.3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10340-2024</t>
        </is>
      </c>
      <c r="B626" s="1" t="n">
        <v>45365</v>
      </c>
      <c r="C626" s="1" t="n">
        <v>46078</v>
      </c>
      <c r="D626" t="inlineStr">
        <is>
          <t>VÄSTERBOTTENS LÄN</t>
        </is>
      </c>
      <c r="E626" t="inlineStr">
        <is>
          <t>SKELLEFTEÅ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41058-2025</t>
        </is>
      </c>
      <c r="B627" s="1" t="n">
        <v>45898.40689814815</v>
      </c>
      <c r="C627" s="1" t="n">
        <v>46078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SCA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41102-2025</t>
        </is>
      </c>
      <c r="B628" s="1" t="n">
        <v>45898.45258101852</v>
      </c>
      <c r="C628" s="1" t="n">
        <v>46078</v>
      </c>
      <c r="D628" t="inlineStr">
        <is>
          <t>VÄSTERBOTTENS LÄN</t>
        </is>
      </c>
      <c r="E628" t="inlineStr">
        <is>
          <t>SKELLEFTEÅ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19349-2023</t>
        </is>
      </c>
      <c r="B629" s="1" t="n">
        <v>45049.59215277778</v>
      </c>
      <c r="C629" s="1" t="n">
        <v>46078</v>
      </c>
      <c r="D629" t="inlineStr">
        <is>
          <t>VÄSTERBOTTENS LÄN</t>
        </is>
      </c>
      <c r="E629" t="inlineStr">
        <is>
          <t>SKELLEFTEÅ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64340-2023</t>
        </is>
      </c>
      <c r="B630" s="1" t="n">
        <v>45280.45571759259</v>
      </c>
      <c r="C630" s="1" t="n">
        <v>46078</v>
      </c>
      <c r="D630" t="inlineStr">
        <is>
          <t>VÄSTERBOTTENS LÄN</t>
        </is>
      </c>
      <c r="E630" t="inlineStr">
        <is>
          <t>SKELLEFTEÅ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22921-2025</t>
        </is>
      </c>
      <c r="B631" s="1" t="n">
        <v>45790.43959490741</v>
      </c>
      <c r="C631" s="1" t="n">
        <v>46078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41534-2025</t>
        </is>
      </c>
      <c r="B632" s="1" t="n">
        <v>45901.56</v>
      </c>
      <c r="C632" s="1" t="n">
        <v>46078</v>
      </c>
      <c r="D632" t="inlineStr">
        <is>
          <t>VÄSTERBOTTENS LÄN</t>
        </is>
      </c>
      <c r="E632" t="inlineStr">
        <is>
          <t>SKELLEFTEÅ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23241-2025</t>
        </is>
      </c>
      <c r="B633" s="1" t="n">
        <v>45791.50141203704</v>
      </c>
      <c r="C633" s="1" t="n">
        <v>46078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Holmen skog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37669-2022</t>
        </is>
      </c>
      <c r="B634" s="1" t="n">
        <v>44810</v>
      </c>
      <c r="C634" s="1" t="n">
        <v>46078</v>
      </c>
      <c r="D634" t="inlineStr">
        <is>
          <t>VÄSTERBOTTENS LÄN</t>
        </is>
      </c>
      <c r="E634" t="inlineStr">
        <is>
          <t>SKELLEFTEÅ</t>
        </is>
      </c>
      <c r="G634" t="n">
        <v>10.9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43714-2024</t>
        </is>
      </c>
      <c r="B635" s="1" t="n">
        <v>45569</v>
      </c>
      <c r="C635" s="1" t="n">
        <v>46078</v>
      </c>
      <c r="D635" t="inlineStr">
        <is>
          <t>VÄSTERBOTTENS LÄN</t>
        </is>
      </c>
      <c r="E635" t="inlineStr">
        <is>
          <t>SKELLEFTEÅ</t>
        </is>
      </c>
      <c r="G635" t="n">
        <v>12.2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51478-2023</t>
        </is>
      </c>
      <c r="B636" s="1" t="n">
        <v>45221.89737268518</v>
      </c>
      <c r="C636" s="1" t="n">
        <v>46078</v>
      </c>
      <c r="D636" t="inlineStr">
        <is>
          <t>VÄSTERBOTTENS LÄN</t>
        </is>
      </c>
      <c r="E636" t="inlineStr">
        <is>
          <t>SKELLEFTEÅ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37946-2024</t>
        </is>
      </c>
      <c r="B637" s="1" t="n">
        <v>45544.50325231482</v>
      </c>
      <c r="C637" s="1" t="n">
        <v>46078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23886-2025</t>
        </is>
      </c>
      <c r="B638" s="1" t="n">
        <v>45793</v>
      </c>
      <c r="C638" s="1" t="n">
        <v>46078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44959-2022</t>
        </is>
      </c>
      <c r="B639" s="1" t="n">
        <v>44839</v>
      </c>
      <c r="C639" s="1" t="n">
        <v>46078</v>
      </c>
      <c r="D639" t="inlineStr">
        <is>
          <t>VÄSTERBOTTENS LÄN</t>
        </is>
      </c>
      <c r="E639" t="inlineStr">
        <is>
          <t>SKELLEFTEÅ</t>
        </is>
      </c>
      <c r="G639" t="n">
        <v>17.3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23847-2025</t>
        </is>
      </c>
      <c r="B640" s="1" t="n">
        <v>45793.62730324074</v>
      </c>
      <c r="C640" s="1" t="n">
        <v>46078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31006-2023</t>
        </is>
      </c>
      <c r="B641" s="1" t="n">
        <v>45103</v>
      </c>
      <c r="C641" s="1" t="n">
        <v>46078</v>
      </c>
      <c r="D641" t="inlineStr">
        <is>
          <t>VÄSTERBOTTENS LÄN</t>
        </is>
      </c>
      <c r="E641" t="inlineStr">
        <is>
          <t>SKELLEFTEÅ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23676-2025</t>
        </is>
      </c>
      <c r="B642" s="1" t="n">
        <v>45793.31434027778</v>
      </c>
      <c r="C642" s="1" t="n">
        <v>46078</v>
      </c>
      <c r="D642" t="inlineStr">
        <is>
          <t>VÄSTERBOTTENS LÄN</t>
        </is>
      </c>
      <c r="E642" t="inlineStr">
        <is>
          <t>SKELLEFTEÅ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41532-2025</t>
        </is>
      </c>
      <c r="B643" s="1" t="n">
        <v>45901.55744212963</v>
      </c>
      <c r="C643" s="1" t="n">
        <v>46078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42848-2024</t>
        </is>
      </c>
      <c r="B644" s="1" t="n">
        <v>45566.63563657407</v>
      </c>
      <c r="C644" s="1" t="n">
        <v>46078</v>
      </c>
      <c r="D644" t="inlineStr">
        <is>
          <t>VÄSTERBOTTENS LÄN</t>
        </is>
      </c>
      <c r="E644" t="inlineStr">
        <is>
          <t>SKELLEFTEÅ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42852-2024</t>
        </is>
      </c>
      <c r="B645" s="1" t="n">
        <v>45566.64449074074</v>
      </c>
      <c r="C645" s="1" t="n">
        <v>46078</v>
      </c>
      <c r="D645" t="inlineStr">
        <is>
          <t>VÄSTERBOTTENS LÄN</t>
        </is>
      </c>
      <c r="E645" t="inlineStr">
        <is>
          <t>SKELLEFTEÅ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30711-2025</t>
        </is>
      </c>
      <c r="B646" s="1" t="n">
        <v>45831.55188657407</v>
      </c>
      <c r="C646" s="1" t="n">
        <v>46078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Sveaskog</t>
        </is>
      </c>
      <c r="G646" t="n">
        <v>21.5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42849-2024</t>
        </is>
      </c>
      <c r="B647" s="1" t="n">
        <v>45566.64021990741</v>
      </c>
      <c r="C647" s="1" t="n">
        <v>46078</v>
      </c>
      <c r="D647" t="inlineStr">
        <is>
          <t>VÄSTERBOTTENS LÄN</t>
        </is>
      </c>
      <c r="E647" t="inlineStr">
        <is>
          <t>SKELLEFTEÅ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31355-2025</t>
        </is>
      </c>
      <c r="B648" s="1" t="n">
        <v>45833.43050925926</v>
      </c>
      <c r="C648" s="1" t="n">
        <v>46078</v>
      </c>
      <c r="D648" t="inlineStr">
        <is>
          <t>VÄSTERBOTTENS LÄN</t>
        </is>
      </c>
      <c r="E648" t="inlineStr">
        <is>
          <t>SKELLEFTEÅ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23537-2025</t>
        </is>
      </c>
      <c r="B649" s="1" t="n">
        <v>45792.54960648148</v>
      </c>
      <c r="C649" s="1" t="n">
        <v>46078</v>
      </c>
      <c r="D649" t="inlineStr">
        <is>
          <t>VÄSTERBOTTENS LÄN</t>
        </is>
      </c>
      <c r="E649" t="inlineStr">
        <is>
          <t>SKELLEFTEÅ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23696-2025</t>
        </is>
      </c>
      <c r="B650" s="1" t="n">
        <v>45793</v>
      </c>
      <c r="C650" s="1" t="n">
        <v>46078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23678-2025</t>
        </is>
      </c>
      <c r="B651" s="1" t="n">
        <v>45793.32435185185</v>
      </c>
      <c r="C651" s="1" t="n">
        <v>46078</v>
      </c>
      <c r="D651" t="inlineStr">
        <is>
          <t>VÄSTERBOTTENS LÄN</t>
        </is>
      </c>
      <c r="E651" t="inlineStr">
        <is>
          <t>SKELLEFTEÅ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22796-2024</t>
        </is>
      </c>
      <c r="B652" s="1" t="n">
        <v>45448</v>
      </c>
      <c r="C652" s="1" t="n">
        <v>46078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Holmen skog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23881-2025</t>
        </is>
      </c>
      <c r="B653" s="1" t="n">
        <v>45793</v>
      </c>
      <c r="C653" s="1" t="n">
        <v>46078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Sveaskog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23373-2025</t>
        </is>
      </c>
      <c r="B654" s="1" t="n">
        <v>45791.75634259259</v>
      </c>
      <c r="C654" s="1" t="n">
        <v>46078</v>
      </c>
      <c r="D654" t="inlineStr">
        <is>
          <t>VÄSTERBOTTENS LÄN</t>
        </is>
      </c>
      <c r="E654" t="inlineStr">
        <is>
          <t>SKELLEFTEÅ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17015-2025</t>
        </is>
      </c>
      <c r="B655" s="1" t="n">
        <v>45755.55318287037</v>
      </c>
      <c r="C655" s="1" t="n">
        <v>46078</v>
      </c>
      <c r="D655" t="inlineStr">
        <is>
          <t>VÄSTERBOTTENS LÄN</t>
        </is>
      </c>
      <c r="E655" t="inlineStr">
        <is>
          <t>SKELLEFTEÅ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41507-2025</t>
        </is>
      </c>
      <c r="B656" s="1" t="n">
        <v>45901.52850694444</v>
      </c>
      <c r="C656" s="1" t="n">
        <v>46078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31669-2025</t>
        </is>
      </c>
      <c r="B657" s="1" t="n">
        <v>45834.36547453704</v>
      </c>
      <c r="C657" s="1" t="n">
        <v>46078</v>
      </c>
      <c r="D657" t="inlineStr">
        <is>
          <t>VÄSTERBOTTENS LÄN</t>
        </is>
      </c>
      <c r="E657" t="inlineStr">
        <is>
          <t>SKELLEFTEÅ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40409-2025</t>
        </is>
      </c>
      <c r="B658" s="1" t="n">
        <v>45895</v>
      </c>
      <c r="C658" s="1" t="n">
        <v>46078</v>
      </c>
      <c r="D658" t="inlineStr">
        <is>
          <t>VÄSTERBOTTENS LÄN</t>
        </is>
      </c>
      <c r="E658" t="inlineStr">
        <is>
          <t>SKELLEFTEÅ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38457-2022</t>
        </is>
      </c>
      <c r="B659" s="1" t="n">
        <v>44813</v>
      </c>
      <c r="C659" s="1" t="n">
        <v>46078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28573-2025</t>
        </is>
      </c>
      <c r="B660" s="1" t="n">
        <v>45819</v>
      </c>
      <c r="C660" s="1" t="n">
        <v>46078</v>
      </c>
      <c r="D660" t="inlineStr">
        <is>
          <t>VÄSTERBOTTENS LÄN</t>
        </is>
      </c>
      <c r="E660" t="inlineStr">
        <is>
          <t>SKELLEFTEÅ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22429-2025</t>
        </is>
      </c>
      <c r="B661" s="1" t="n">
        <v>45786</v>
      </c>
      <c r="C661" s="1" t="n">
        <v>46078</v>
      </c>
      <c r="D661" t="inlineStr">
        <is>
          <t>VÄSTERBOTTENS LÄN</t>
        </is>
      </c>
      <c r="E661" t="inlineStr">
        <is>
          <t>SKELLEFTEÅ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41720-2025</t>
        </is>
      </c>
      <c r="B662" s="1" t="n">
        <v>45902.4481712963</v>
      </c>
      <c r="C662" s="1" t="n">
        <v>46078</v>
      </c>
      <c r="D662" t="inlineStr">
        <is>
          <t>VÄSTERBOTTENS LÄN</t>
        </is>
      </c>
      <c r="E662" t="inlineStr">
        <is>
          <t>SKELLEFTEÅ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14394-2025</t>
        </is>
      </c>
      <c r="B663" s="1" t="n">
        <v>45741</v>
      </c>
      <c r="C663" s="1" t="n">
        <v>46078</v>
      </c>
      <c r="D663" t="inlineStr">
        <is>
          <t>VÄSTERBOTTENS LÄN</t>
        </is>
      </c>
      <c r="E663" t="inlineStr">
        <is>
          <t>SKELLEFTEÅ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41670-2025</t>
        </is>
      </c>
      <c r="B664" s="1" t="n">
        <v>45902.361875</v>
      </c>
      <c r="C664" s="1" t="n">
        <v>46078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41909-2025</t>
        </is>
      </c>
      <c r="B665" s="1" t="n">
        <v>45903.4078125</v>
      </c>
      <c r="C665" s="1" t="n">
        <v>46078</v>
      </c>
      <c r="D665" t="inlineStr">
        <is>
          <t>VÄSTERBOTTENS LÄN</t>
        </is>
      </c>
      <c r="E665" t="inlineStr">
        <is>
          <t>SKELLEFTEÅ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41953-2025</t>
        </is>
      </c>
      <c r="B666" s="1" t="n">
        <v>45903.45978009259</v>
      </c>
      <c r="C666" s="1" t="n">
        <v>46078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37210-2021</t>
        </is>
      </c>
      <c r="B667" s="1" t="n">
        <v>44396</v>
      </c>
      <c r="C667" s="1" t="n">
        <v>46078</v>
      </c>
      <c r="D667" t="inlineStr">
        <is>
          <t>VÄSTERBOTTENS LÄN</t>
        </is>
      </c>
      <c r="E667" t="inlineStr">
        <is>
          <t>SKELLEFTEÅ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42007-2025</t>
        </is>
      </c>
      <c r="B668" s="1" t="n">
        <v>45903.55988425926</v>
      </c>
      <c r="C668" s="1" t="n">
        <v>46078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42020-2025</t>
        </is>
      </c>
      <c r="B669" s="1" t="n">
        <v>45903.58728009259</v>
      </c>
      <c r="C669" s="1" t="n">
        <v>46078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36149-2025</t>
        </is>
      </c>
      <c r="B670" s="1" t="n">
        <v>45866</v>
      </c>
      <c r="C670" s="1" t="n">
        <v>46078</v>
      </c>
      <c r="D670" t="inlineStr">
        <is>
          <t>VÄSTERBOTTENS LÄN</t>
        </is>
      </c>
      <c r="E670" t="inlineStr">
        <is>
          <t>SKELLEFTEÅ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31780-2025</t>
        </is>
      </c>
      <c r="B671" s="1" t="n">
        <v>45834.52940972222</v>
      </c>
      <c r="C671" s="1" t="n">
        <v>46078</v>
      </c>
      <c r="D671" t="inlineStr">
        <is>
          <t>VÄSTERBOTTENS LÄN</t>
        </is>
      </c>
      <c r="E671" t="inlineStr">
        <is>
          <t>SKELLEFTEÅ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20825-2025</t>
        </is>
      </c>
      <c r="B672" s="1" t="n">
        <v>45776</v>
      </c>
      <c r="C672" s="1" t="n">
        <v>46078</v>
      </c>
      <c r="D672" t="inlineStr">
        <is>
          <t>VÄSTERBOTTENS LÄN</t>
        </is>
      </c>
      <c r="E672" t="inlineStr">
        <is>
          <t>SKELLEFTEÅ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41908-2025</t>
        </is>
      </c>
      <c r="B673" s="1" t="n">
        <v>45903.40730324074</v>
      </c>
      <c r="C673" s="1" t="n">
        <v>46078</v>
      </c>
      <c r="D673" t="inlineStr">
        <is>
          <t>VÄSTERBOTTENS LÄN</t>
        </is>
      </c>
      <c r="E673" t="inlineStr">
        <is>
          <t>SKELLEFTEÅ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41910-2025</t>
        </is>
      </c>
      <c r="B674" s="1" t="n">
        <v>45903.40789351852</v>
      </c>
      <c r="C674" s="1" t="n">
        <v>46078</v>
      </c>
      <c r="D674" t="inlineStr">
        <is>
          <t>VÄSTERBOTTENS LÄN</t>
        </is>
      </c>
      <c r="E674" t="inlineStr">
        <is>
          <t>SKELLEFTEÅ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41917-2025</t>
        </is>
      </c>
      <c r="B675" s="1" t="n">
        <v>45903.42202546296</v>
      </c>
      <c r="C675" s="1" t="n">
        <v>46078</v>
      </c>
      <c r="D675" t="inlineStr">
        <is>
          <t>VÄSTERBOTTENS LÄN</t>
        </is>
      </c>
      <c r="E675" t="inlineStr">
        <is>
          <t>SKELLEFTEÅ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41721-2025</t>
        </is>
      </c>
      <c r="B676" s="1" t="n">
        <v>45902.44825231482</v>
      </c>
      <c r="C676" s="1" t="n">
        <v>46078</v>
      </c>
      <c r="D676" t="inlineStr">
        <is>
          <t>VÄSTERBOTTENS LÄN</t>
        </is>
      </c>
      <c r="E676" t="inlineStr">
        <is>
          <t>SKELLEFTEÅ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24064-2025</t>
        </is>
      </c>
      <c r="B677" s="1" t="n">
        <v>45796.53480324074</v>
      </c>
      <c r="C677" s="1" t="n">
        <v>46078</v>
      </c>
      <c r="D677" t="inlineStr">
        <is>
          <t>VÄSTERBOTTENS LÄN</t>
        </is>
      </c>
      <c r="E677" t="inlineStr">
        <is>
          <t>SKELLEFTEÅ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24067-2025</t>
        </is>
      </c>
      <c r="B678" s="1" t="n">
        <v>45796.53820601852</v>
      </c>
      <c r="C678" s="1" t="n">
        <v>46078</v>
      </c>
      <c r="D678" t="inlineStr">
        <is>
          <t>VÄSTERBOTTENS LÄN</t>
        </is>
      </c>
      <c r="E678" t="inlineStr">
        <is>
          <t>SKELLEFTEÅ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27219-2025</t>
        </is>
      </c>
      <c r="B679" s="1" t="n">
        <v>45812</v>
      </c>
      <c r="C679" s="1" t="n">
        <v>46078</v>
      </c>
      <c r="D679" t="inlineStr">
        <is>
          <t>VÄSTERBOTTENS LÄN</t>
        </is>
      </c>
      <c r="E679" t="inlineStr">
        <is>
          <t>SKELLEFTEÅ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36297-2024</t>
        </is>
      </c>
      <c r="B680" s="1" t="n">
        <v>45534.6054050926</v>
      </c>
      <c r="C680" s="1" t="n">
        <v>46078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Sveaskog</t>
        </is>
      </c>
      <c r="G680" t="n">
        <v>20.9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42241-2025</t>
        </is>
      </c>
      <c r="B681" s="1" t="n">
        <v>45903</v>
      </c>
      <c r="C681" s="1" t="n">
        <v>46078</v>
      </c>
      <c r="D681" t="inlineStr">
        <is>
          <t>VÄSTERBOTTENS LÄN</t>
        </is>
      </c>
      <c r="E681" t="inlineStr">
        <is>
          <t>SKELLEFTEÅ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42234-2025</t>
        </is>
      </c>
      <c r="B682" s="1" t="n">
        <v>45903</v>
      </c>
      <c r="C682" s="1" t="n">
        <v>46078</v>
      </c>
      <c r="D682" t="inlineStr">
        <is>
          <t>VÄSTERBOTTENS LÄN</t>
        </is>
      </c>
      <c r="E682" t="inlineStr">
        <is>
          <t>SKELLEFTEÅ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10693-2024</t>
        </is>
      </c>
      <c r="B683" s="1" t="n">
        <v>45369</v>
      </c>
      <c r="C683" s="1" t="n">
        <v>46078</v>
      </c>
      <c r="D683" t="inlineStr">
        <is>
          <t>VÄSTERBOTTENS LÄN</t>
        </is>
      </c>
      <c r="E683" t="inlineStr">
        <is>
          <t>SKELLEFTEÅ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41677-2025</t>
        </is>
      </c>
      <c r="B684" s="1" t="n">
        <v>45902.37362268518</v>
      </c>
      <c r="C684" s="1" t="n">
        <v>46078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41701-2025</t>
        </is>
      </c>
      <c r="B685" s="1" t="n">
        <v>45902.41085648148</v>
      </c>
      <c r="C685" s="1" t="n">
        <v>46078</v>
      </c>
      <c r="D685" t="inlineStr">
        <is>
          <t>VÄSTERBOTTENS LÄN</t>
        </is>
      </c>
      <c r="E685" t="inlineStr">
        <is>
          <t>SKELLEFTEÅ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42248-2025</t>
        </is>
      </c>
      <c r="B686" s="1" t="n">
        <v>45903</v>
      </c>
      <c r="C686" s="1" t="n">
        <v>46078</v>
      </c>
      <c r="D686" t="inlineStr">
        <is>
          <t>VÄSTERBOTTENS LÄN</t>
        </is>
      </c>
      <c r="E686" t="inlineStr">
        <is>
          <t>SKELLEFTEÅ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42250-2025</t>
        </is>
      </c>
      <c r="B687" s="1" t="n">
        <v>45903</v>
      </c>
      <c r="C687" s="1" t="n">
        <v>46078</v>
      </c>
      <c r="D687" t="inlineStr">
        <is>
          <t>VÄSTERBOTTENS LÄN</t>
        </is>
      </c>
      <c r="E687" t="inlineStr">
        <is>
          <t>SKELLEFTEÅ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9233-2024</t>
        </is>
      </c>
      <c r="B688" s="1" t="n">
        <v>45358</v>
      </c>
      <c r="C688" s="1" t="n">
        <v>46078</v>
      </c>
      <c r="D688" t="inlineStr">
        <is>
          <t>VÄSTERBOTTENS LÄN</t>
        </is>
      </c>
      <c r="E688" t="inlineStr">
        <is>
          <t>SKELLEFTEÅ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7943-2024</t>
        </is>
      </c>
      <c r="B689" s="1" t="n">
        <v>45350.53173611111</v>
      </c>
      <c r="C689" s="1" t="n">
        <v>46078</v>
      </c>
      <c r="D689" t="inlineStr">
        <is>
          <t>VÄSTERBOTTENS LÄN</t>
        </is>
      </c>
      <c r="E689" t="inlineStr">
        <is>
          <t>SKELLEFTEÅ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42059-2025</t>
        </is>
      </c>
      <c r="B690" s="1" t="n">
        <v>45903</v>
      </c>
      <c r="C690" s="1" t="n">
        <v>46078</v>
      </c>
      <c r="D690" t="inlineStr">
        <is>
          <t>VÄSTERBOTTENS LÄN</t>
        </is>
      </c>
      <c r="E690" t="inlineStr">
        <is>
          <t>SKELLEFTEÅ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38588-2024</t>
        </is>
      </c>
      <c r="B691" s="1" t="n">
        <v>45546.65261574074</v>
      </c>
      <c r="C691" s="1" t="n">
        <v>46078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27990-2024</t>
        </is>
      </c>
      <c r="B692" s="1" t="n">
        <v>45476.42824074074</v>
      </c>
      <c r="C692" s="1" t="n">
        <v>46078</v>
      </c>
      <c r="D692" t="inlineStr">
        <is>
          <t>VÄSTERBOTTENS LÄN</t>
        </is>
      </c>
      <c r="E692" t="inlineStr">
        <is>
          <t>SKELLEFTEÅ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41992-2025</t>
        </is>
      </c>
      <c r="B693" s="1" t="n">
        <v>45903</v>
      </c>
      <c r="C693" s="1" t="n">
        <v>46078</v>
      </c>
      <c r="D693" t="inlineStr">
        <is>
          <t>VÄSTERBOTTENS LÄN</t>
        </is>
      </c>
      <c r="E693" t="inlineStr">
        <is>
          <t>SKELLEFTEÅ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24205-2025</t>
        </is>
      </c>
      <c r="B694" s="1" t="n">
        <v>45797.32711805555</v>
      </c>
      <c r="C694" s="1" t="n">
        <v>46078</v>
      </c>
      <c r="D694" t="inlineStr">
        <is>
          <t>VÄSTERBOTTENS LÄN</t>
        </is>
      </c>
      <c r="E694" t="inlineStr">
        <is>
          <t>SKELLEFTEÅ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4292-2024</t>
        </is>
      </c>
      <c r="B695" s="1" t="n">
        <v>45324.6081712963</v>
      </c>
      <c r="C695" s="1" t="n">
        <v>46078</v>
      </c>
      <c r="D695" t="inlineStr">
        <is>
          <t>VÄSTERBOTTENS LÄN</t>
        </is>
      </c>
      <c r="E695" t="inlineStr">
        <is>
          <t>SKELLEFTEÅ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18023-2025</t>
        </is>
      </c>
      <c r="B696" s="1" t="n">
        <v>45761.44642361111</v>
      </c>
      <c r="C696" s="1" t="n">
        <v>46078</v>
      </c>
      <c r="D696" t="inlineStr">
        <is>
          <t>VÄSTERBOTTENS LÄN</t>
        </is>
      </c>
      <c r="E696" t="inlineStr">
        <is>
          <t>SKELLEFTEÅ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2840-2024</t>
        </is>
      </c>
      <c r="B697" s="1" t="n">
        <v>45315</v>
      </c>
      <c r="C697" s="1" t="n">
        <v>46078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57245-2024</t>
        </is>
      </c>
      <c r="B698" s="1" t="n">
        <v>45629.55153935185</v>
      </c>
      <c r="C698" s="1" t="n">
        <v>46078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Sveaskog</t>
        </is>
      </c>
      <c r="G698" t="n">
        <v>15.6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41697-2025</t>
        </is>
      </c>
      <c r="B699" s="1" t="n">
        <v>45902.4074537037</v>
      </c>
      <c r="C699" s="1" t="n">
        <v>46078</v>
      </c>
      <c r="D699" t="inlineStr">
        <is>
          <t>VÄSTERBOTTENS LÄN</t>
        </is>
      </c>
      <c r="E699" t="inlineStr">
        <is>
          <t>SKELLEFTEÅ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42086-2025</t>
        </is>
      </c>
      <c r="B700" s="1" t="n">
        <v>45903.69359953704</v>
      </c>
      <c r="C700" s="1" t="n">
        <v>46078</v>
      </c>
      <c r="D700" t="inlineStr">
        <is>
          <t>VÄSTERBOTTENS LÄN</t>
        </is>
      </c>
      <c r="E700" t="inlineStr">
        <is>
          <t>SKELLEFTEÅ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41973-2025</t>
        </is>
      </c>
      <c r="B701" s="1" t="n">
        <v>45903.49407407407</v>
      </c>
      <c r="C701" s="1" t="n">
        <v>46078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15301-2025</t>
        </is>
      </c>
      <c r="B702" s="1" t="n">
        <v>45746.47777777778</v>
      </c>
      <c r="C702" s="1" t="n">
        <v>46078</v>
      </c>
      <c r="D702" t="inlineStr">
        <is>
          <t>VÄSTERBOTTENS LÄN</t>
        </is>
      </c>
      <c r="E702" t="inlineStr">
        <is>
          <t>SKELLEFTEÅ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24264-2025</t>
        </is>
      </c>
      <c r="B703" s="1" t="n">
        <v>45797.42381944445</v>
      </c>
      <c r="C703" s="1" t="n">
        <v>46078</v>
      </c>
      <c r="D703" t="inlineStr">
        <is>
          <t>VÄSTERBOTTENS LÄN</t>
        </is>
      </c>
      <c r="E703" t="inlineStr">
        <is>
          <t>SKELLEFTEÅ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24066-2025</t>
        </is>
      </c>
      <c r="B704" s="1" t="n">
        <v>45796.53686342593</v>
      </c>
      <c r="C704" s="1" t="n">
        <v>46078</v>
      </c>
      <c r="D704" t="inlineStr">
        <is>
          <t>VÄSTERBOTTENS LÄN</t>
        </is>
      </c>
      <c r="E704" t="inlineStr">
        <is>
          <t>SKELLEFTEÅ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24070-2025</t>
        </is>
      </c>
      <c r="B705" s="1" t="n">
        <v>45796.54060185186</v>
      </c>
      <c r="C705" s="1" t="n">
        <v>46078</v>
      </c>
      <c r="D705" t="inlineStr">
        <is>
          <t>VÄSTERBOTTENS LÄN</t>
        </is>
      </c>
      <c r="E705" t="inlineStr">
        <is>
          <t>SKELLEFTEÅ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30959-2021</t>
        </is>
      </c>
      <c r="B706" s="1" t="n">
        <v>44365.71322916666</v>
      </c>
      <c r="C706" s="1" t="n">
        <v>46078</v>
      </c>
      <c r="D706" t="inlineStr">
        <is>
          <t>VÄSTERBOTTENS LÄN</t>
        </is>
      </c>
      <c r="E706" t="inlineStr">
        <is>
          <t>SKELLEFTEÅ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42118-2025</t>
        </is>
      </c>
      <c r="B707" s="1" t="n">
        <v>45904.33653935185</v>
      </c>
      <c r="C707" s="1" t="n">
        <v>46078</v>
      </c>
      <c r="D707" t="inlineStr">
        <is>
          <t>VÄSTERBOTTENS LÄN</t>
        </is>
      </c>
      <c r="E707" t="inlineStr">
        <is>
          <t>SKELLEFTEÅ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27157-2025</t>
        </is>
      </c>
      <c r="B708" s="1" t="n">
        <v>45812.33298611111</v>
      </c>
      <c r="C708" s="1" t="n">
        <v>46078</v>
      </c>
      <c r="D708" t="inlineStr">
        <is>
          <t>VÄSTERBOTTENS LÄN</t>
        </is>
      </c>
      <c r="E708" t="inlineStr">
        <is>
          <t>SKELLEFTEÅ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58939-2024</t>
        </is>
      </c>
      <c r="B709" s="1" t="n">
        <v>45636.53543981481</v>
      </c>
      <c r="C709" s="1" t="n">
        <v>46078</v>
      </c>
      <c r="D709" t="inlineStr">
        <is>
          <t>VÄSTERBOTTENS LÄN</t>
        </is>
      </c>
      <c r="E709" t="inlineStr">
        <is>
          <t>SKELLEFTEÅ</t>
        </is>
      </c>
      <c r="G709" t="n">
        <v>13.4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24068-2025</t>
        </is>
      </c>
      <c r="B710" s="1" t="n">
        <v>45796.53878472222</v>
      </c>
      <c r="C710" s="1" t="n">
        <v>46078</v>
      </c>
      <c r="D710" t="inlineStr">
        <is>
          <t>VÄSTERBOTTENS LÄN</t>
        </is>
      </c>
      <c r="E710" t="inlineStr">
        <is>
          <t>SKELLEFTEÅ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42401-2025</t>
        </is>
      </c>
      <c r="B711" s="1" t="n">
        <v>45905.37298611111</v>
      </c>
      <c r="C711" s="1" t="n">
        <v>46078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24261-2025</t>
        </is>
      </c>
      <c r="B712" s="1" t="n">
        <v>45797</v>
      </c>
      <c r="C712" s="1" t="n">
        <v>46078</v>
      </c>
      <c r="D712" t="inlineStr">
        <is>
          <t>VÄSTERBOTTENS LÄN</t>
        </is>
      </c>
      <c r="E712" t="inlineStr">
        <is>
          <t>SKELLEFTEÅ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57362-2022</t>
        </is>
      </c>
      <c r="B713" s="1" t="n">
        <v>44896.43010416667</v>
      </c>
      <c r="C713" s="1" t="n">
        <v>46078</v>
      </c>
      <c r="D713" t="inlineStr">
        <is>
          <t>VÄSTERBOTTENS LÄN</t>
        </is>
      </c>
      <c r="E713" t="inlineStr">
        <is>
          <t>SKELLEFTEÅ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57406-2022</t>
        </is>
      </c>
      <c r="B714" s="1" t="n">
        <v>44893</v>
      </c>
      <c r="C714" s="1" t="n">
        <v>46078</v>
      </c>
      <c r="D714" t="inlineStr">
        <is>
          <t>VÄSTERBOTTENS LÄN</t>
        </is>
      </c>
      <c r="E714" t="inlineStr">
        <is>
          <t>SKELLEFTEÅ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18070-2022</t>
        </is>
      </c>
      <c r="B715" s="1" t="n">
        <v>44684</v>
      </c>
      <c r="C715" s="1" t="n">
        <v>46078</v>
      </c>
      <c r="D715" t="inlineStr">
        <is>
          <t>VÄSTERBOTTENS LÄN</t>
        </is>
      </c>
      <c r="E715" t="inlineStr">
        <is>
          <t>SKELLEFTEÅ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8141-2025</t>
        </is>
      </c>
      <c r="B716" s="1" t="n">
        <v>45708.27729166667</v>
      </c>
      <c r="C716" s="1" t="n">
        <v>46078</v>
      </c>
      <c r="D716" t="inlineStr">
        <is>
          <t>VÄSTERBOTTENS LÄN</t>
        </is>
      </c>
      <c r="E716" t="inlineStr">
        <is>
          <t>SKELLEFTEÅ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24061-2025</t>
        </is>
      </c>
      <c r="B717" s="1" t="n">
        <v>45796.52805555556</v>
      </c>
      <c r="C717" s="1" t="n">
        <v>46078</v>
      </c>
      <c r="D717" t="inlineStr">
        <is>
          <t>VÄSTERBOTTENS LÄN</t>
        </is>
      </c>
      <c r="E717" t="inlineStr">
        <is>
          <t>SKELLEFTEÅ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48361-2023</t>
        </is>
      </c>
      <c r="B718" s="1" t="n">
        <v>45205.64600694444</v>
      </c>
      <c r="C718" s="1" t="n">
        <v>46078</v>
      </c>
      <c r="D718" t="inlineStr">
        <is>
          <t>VÄSTERBOTTENS LÄN</t>
        </is>
      </c>
      <c r="E718" t="inlineStr">
        <is>
          <t>SKELLEFTEÅ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42133-2025</t>
        </is>
      </c>
      <c r="B719" s="1" t="n">
        <v>45904.34597222223</v>
      </c>
      <c r="C719" s="1" t="n">
        <v>46078</v>
      </c>
      <c r="D719" t="inlineStr">
        <is>
          <t>VÄSTERBOTTENS LÄN</t>
        </is>
      </c>
      <c r="E719" t="inlineStr">
        <is>
          <t>SKELLEFTEÅ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2354-2025</t>
        </is>
      </c>
      <c r="B720" s="1" t="n">
        <v>45673</v>
      </c>
      <c r="C720" s="1" t="n">
        <v>46078</v>
      </c>
      <c r="D720" t="inlineStr">
        <is>
          <t>VÄSTERBOTTENS LÄN</t>
        </is>
      </c>
      <c r="E720" t="inlineStr">
        <is>
          <t>SKELLEFTEÅ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24065-2025</t>
        </is>
      </c>
      <c r="B721" s="1" t="n">
        <v>45796.5358449074</v>
      </c>
      <c r="C721" s="1" t="n">
        <v>46078</v>
      </c>
      <c r="D721" t="inlineStr">
        <is>
          <t>VÄSTERBOTTENS LÄN</t>
        </is>
      </c>
      <c r="E721" t="inlineStr">
        <is>
          <t>SKELLEFTEÅ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45036-2021</t>
        </is>
      </c>
      <c r="B722" s="1" t="n">
        <v>44438</v>
      </c>
      <c r="C722" s="1" t="n">
        <v>46078</v>
      </c>
      <c r="D722" t="inlineStr">
        <is>
          <t>VÄSTERBOTTENS LÄN</t>
        </is>
      </c>
      <c r="E722" t="inlineStr">
        <is>
          <t>SKELLEFTEÅ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42114-2025</t>
        </is>
      </c>
      <c r="B723" s="1" t="n">
        <v>45904.33050925926</v>
      </c>
      <c r="C723" s="1" t="n">
        <v>46078</v>
      </c>
      <c r="D723" t="inlineStr">
        <is>
          <t>VÄSTERBOTTENS LÄN</t>
        </is>
      </c>
      <c r="E723" t="inlineStr">
        <is>
          <t>SKELLEFTEÅ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42136-2025</t>
        </is>
      </c>
      <c r="B724" s="1" t="n">
        <v>45904</v>
      </c>
      <c r="C724" s="1" t="n">
        <v>46078</v>
      </c>
      <c r="D724" t="inlineStr">
        <is>
          <t>VÄSTERBOTTENS LÄN</t>
        </is>
      </c>
      <c r="E724" t="inlineStr">
        <is>
          <t>SKELLEFTEÅ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48960-2025</t>
        </is>
      </c>
      <c r="B725" s="1" t="n">
        <v>45937.550625</v>
      </c>
      <c r="C725" s="1" t="n">
        <v>46078</v>
      </c>
      <c r="D725" t="inlineStr">
        <is>
          <t>VÄSTERBOTTENS LÄN</t>
        </is>
      </c>
      <c r="E725" t="inlineStr">
        <is>
          <t>SKELLEFTEÅ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42137-2025</t>
        </is>
      </c>
      <c r="B726" s="1" t="n">
        <v>45904.35496527778</v>
      </c>
      <c r="C726" s="1" t="n">
        <v>46078</v>
      </c>
      <c r="D726" t="inlineStr">
        <is>
          <t>VÄSTERBOTTENS LÄN</t>
        </is>
      </c>
      <c r="E726" t="inlineStr">
        <is>
          <t>SKELLEFTEÅ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160-2025</t>
        </is>
      </c>
      <c r="B727" s="1" t="n">
        <v>45649</v>
      </c>
      <c r="C727" s="1" t="n">
        <v>46078</v>
      </c>
      <c r="D727" t="inlineStr">
        <is>
          <t>VÄSTERBOTTENS LÄN</t>
        </is>
      </c>
      <c r="E727" t="inlineStr">
        <is>
          <t>SKELLEFTEÅ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42107-2025</t>
        </is>
      </c>
      <c r="B728" s="1" t="n">
        <v>45903.90503472222</v>
      </c>
      <c r="C728" s="1" t="n">
        <v>46078</v>
      </c>
      <c r="D728" t="inlineStr">
        <is>
          <t>VÄSTERBOTTENS LÄN</t>
        </is>
      </c>
      <c r="E728" t="inlineStr">
        <is>
          <t>SKELLEFTEÅ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42116-2025</t>
        </is>
      </c>
      <c r="B729" s="1" t="n">
        <v>45904.33420138889</v>
      </c>
      <c r="C729" s="1" t="n">
        <v>46078</v>
      </c>
      <c r="D729" t="inlineStr">
        <is>
          <t>VÄSTERBOTTENS LÄN</t>
        </is>
      </c>
      <c r="E729" t="inlineStr">
        <is>
          <t>SKELLEFTEÅ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42121-2025</t>
        </is>
      </c>
      <c r="B730" s="1" t="n">
        <v>45904.34252314815</v>
      </c>
      <c r="C730" s="1" t="n">
        <v>46078</v>
      </c>
      <c r="D730" t="inlineStr">
        <is>
          <t>VÄSTERBOTTENS LÄN</t>
        </is>
      </c>
      <c r="E730" t="inlineStr">
        <is>
          <t>SKELLEFTEÅ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24569-2025</t>
        </is>
      </c>
      <c r="B731" s="1" t="n">
        <v>45798.46928240741</v>
      </c>
      <c r="C731" s="1" t="n">
        <v>46078</v>
      </c>
      <c r="D731" t="inlineStr">
        <is>
          <t>VÄSTERBOTTENS LÄN</t>
        </is>
      </c>
      <c r="E731" t="inlineStr">
        <is>
          <t>SKELLEFTEÅ</t>
        </is>
      </c>
      <c r="G731" t="n">
        <v>20.9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42796-2025</t>
        </is>
      </c>
      <c r="B732" s="1" t="n">
        <v>45908.52939814814</v>
      </c>
      <c r="C732" s="1" t="n">
        <v>46078</v>
      </c>
      <c r="D732" t="inlineStr">
        <is>
          <t>VÄSTERBOTTENS LÄN</t>
        </is>
      </c>
      <c r="E732" t="inlineStr">
        <is>
          <t>SKELLEFTEÅ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30719-2021</t>
        </is>
      </c>
      <c r="B733" s="1" t="n">
        <v>44365.43997685185</v>
      </c>
      <c r="C733" s="1" t="n">
        <v>46078</v>
      </c>
      <c r="D733" t="inlineStr">
        <is>
          <t>VÄSTERBOTTENS LÄN</t>
        </is>
      </c>
      <c r="E733" t="inlineStr">
        <is>
          <t>SKELLEFTEÅ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7025-2025</t>
        </is>
      </c>
      <c r="B734" s="1" t="n">
        <v>45701.62719907407</v>
      </c>
      <c r="C734" s="1" t="n">
        <v>46078</v>
      </c>
      <c r="D734" t="inlineStr">
        <is>
          <t>VÄSTERBOTTENS LÄN</t>
        </is>
      </c>
      <c r="E734" t="inlineStr">
        <is>
          <t>SKELLEFTEÅ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44968-2024</t>
        </is>
      </c>
      <c r="B735" s="1" t="n">
        <v>45575.45949074074</v>
      </c>
      <c r="C735" s="1" t="n">
        <v>46078</v>
      </c>
      <c r="D735" t="inlineStr">
        <is>
          <t>VÄSTERBOTTENS LÄN</t>
        </is>
      </c>
      <c r="E735" t="inlineStr">
        <is>
          <t>SKELLEFTEÅ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25046-2025</t>
        </is>
      </c>
      <c r="B736" s="1" t="n">
        <v>45799.6671412037</v>
      </c>
      <c r="C736" s="1" t="n">
        <v>46078</v>
      </c>
      <c r="D736" t="inlineStr">
        <is>
          <t>VÄSTERBOTTENS LÄN</t>
        </is>
      </c>
      <c r="E736" t="inlineStr">
        <is>
          <t>SKELLEFTEÅ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53092-2022</t>
        </is>
      </c>
      <c r="B737" s="1" t="n">
        <v>44876.4028125</v>
      </c>
      <c r="C737" s="1" t="n">
        <v>46078</v>
      </c>
      <c r="D737" t="inlineStr">
        <is>
          <t>VÄSTERBOTTENS LÄN</t>
        </is>
      </c>
      <c r="E737" t="inlineStr">
        <is>
          <t>SKELLEFTEÅ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33841-2021</t>
        </is>
      </c>
      <c r="B738" s="1" t="n">
        <v>44378</v>
      </c>
      <c r="C738" s="1" t="n">
        <v>46078</v>
      </c>
      <c r="D738" t="inlineStr">
        <is>
          <t>VÄSTERBOTTENS LÄN</t>
        </is>
      </c>
      <c r="E738" t="inlineStr">
        <is>
          <t>SKELLEFTEÅ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64006-2023</t>
        </is>
      </c>
      <c r="B739" s="1" t="n">
        <v>45278</v>
      </c>
      <c r="C739" s="1" t="n">
        <v>46078</v>
      </c>
      <c r="D739" t="inlineStr">
        <is>
          <t>VÄSTERBOTTENS LÄN</t>
        </is>
      </c>
      <c r="E739" t="inlineStr">
        <is>
          <t>SKELLEFTEÅ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24728-2025</t>
        </is>
      </c>
      <c r="B740" s="1" t="n">
        <v>45799</v>
      </c>
      <c r="C740" s="1" t="n">
        <v>46078</v>
      </c>
      <c r="D740" t="inlineStr">
        <is>
          <t>VÄSTERBOTTENS LÄN</t>
        </is>
      </c>
      <c r="E740" t="inlineStr">
        <is>
          <t>SKELLEFTEÅ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20454-2024</t>
        </is>
      </c>
      <c r="B741" s="1" t="n">
        <v>45435</v>
      </c>
      <c r="C741" s="1" t="n">
        <v>46078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20497-2024</t>
        </is>
      </c>
      <c r="B742" s="1" t="n">
        <v>45435</v>
      </c>
      <c r="C742" s="1" t="n">
        <v>46078</v>
      </c>
      <c r="D742" t="inlineStr">
        <is>
          <t>VÄSTERBOTTENS LÄN</t>
        </is>
      </c>
      <c r="E742" t="inlineStr">
        <is>
          <t>SKELLEFTEÅ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66463-2021</t>
        </is>
      </c>
      <c r="B743" s="1" t="n">
        <v>44518</v>
      </c>
      <c r="C743" s="1" t="n">
        <v>46078</v>
      </c>
      <c r="D743" t="inlineStr">
        <is>
          <t>VÄSTERBOTTENS LÄN</t>
        </is>
      </c>
      <c r="E743" t="inlineStr">
        <is>
          <t>SKELLEFTEÅ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41226-2024</t>
        </is>
      </c>
      <c r="B744" s="1" t="n">
        <v>45559.55829861111</v>
      </c>
      <c r="C744" s="1" t="n">
        <v>46078</v>
      </c>
      <c r="D744" t="inlineStr">
        <is>
          <t>VÄSTERBOTTENS LÄN</t>
        </is>
      </c>
      <c r="E744" t="inlineStr">
        <is>
          <t>SKELLEFTEÅ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15327-2023</t>
        </is>
      </c>
      <c r="B745" s="1" t="n">
        <v>45016</v>
      </c>
      <c r="C745" s="1" t="n">
        <v>46078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12842-2025</t>
        </is>
      </c>
      <c r="B746" s="1" t="n">
        <v>45733.64532407407</v>
      </c>
      <c r="C746" s="1" t="n">
        <v>46078</v>
      </c>
      <c r="D746" t="inlineStr">
        <is>
          <t>VÄSTERBOTTENS LÄN</t>
        </is>
      </c>
      <c r="E746" t="inlineStr">
        <is>
          <t>SKELLEFTEÅ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42661-2025</t>
        </is>
      </c>
      <c r="B747" s="1" t="n">
        <v>45907.60118055555</v>
      </c>
      <c r="C747" s="1" t="n">
        <v>46078</v>
      </c>
      <c r="D747" t="inlineStr">
        <is>
          <t>VÄSTERBOTTENS LÄN</t>
        </is>
      </c>
      <c r="E747" t="inlineStr">
        <is>
          <t>SKELLEFTEÅ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49126-2025</t>
        </is>
      </c>
      <c r="B748" s="1" t="n">
        <v>45937.8712962963</v>
      </c>
      <c r="C748" s="1" t="n">
        <v>46078</v>
      </c>
      <c r="D748" t="inlineStr">
        <is>
          <t>VÄSTERBOTTENS LÄN</t>
        </is>
      </c>
      <c r="E748" t="inlineStr">
        <is>
          <t>SKELLEFTEÅ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24858-2025</t>
        </is>
      </c>
      <c r="B749" s="1" t="n">
        <v>45799.47877314815</v>
      </c>
      <c r="C749" s="1" t="n">
        <v>46078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11875-2024</t>
        </is>
      </c>
      <c r="B750" s="1" t="n">
        <v>45376</v>
      </c>
      <c r="C750" s="1" t="n">
        <v>46078</v>
      </c>
      <c r="D750" t="inlineStr">
        <is>
          <t>VÄSTERBOTTENS LÄN</t>
        </is>
      </c>
      <c r="E750" t="inlineStr">
        <is>
          <t>SKELLEFTEÅ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24829-2025</t>
        </is>
      </c>
      <c r="B751" s="1" t="n">
        <v>45799.45777777778</v>
      </c>
      <c r="C751" s="1" t="n">
        <v>46078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24727-2025</t>
        </is>
      </c>
      <c r="B752" s="1" t="n">
        <v>45799.33260416667</v>
      </c>
      <c r="C752" s="1" t="n">
        <v>46078</v>
      </c>
      <c r="D752" t="inlineStr">
        <is>
          <t>VÄSTERBOTTENS LÄN</t>
        </is>
      </c>
      <c r="E752" t="inlineStr">
        <is>
          <t>SKELLEFTEÅ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43463-2025</t>
        </is>
      </c>
      <c r="B753" s="1" t="n">
        <v>45911.46953703704</v>
      </c>
      <c r="C753" s="1" t="n">
        <v>46078</v>
      </c>
      <c r="D753" t="inlineStr">
        <is>
          <t>VÄSTERBOTTENS LÄN</t>
        </is>
      </c>
      <c r="E753" t="inlineStr">
        <is>
          <t>SKELLEFTEÅ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25688-2025</t>
        </is>
      </c>
      <c r="B754" s="1" t="n">
        <v>45800</v>
      </c>
      <c r="C754" s="1" t="n">
        <v>46078</v>
      </c>
      <c r="D754" t="inlineStr">
        <is>
          <t>VÄSTERBOTTENS LÄN</t>
        </is>
      </c>
      <c r="E754" t="inlineStr">
        <is>
          <t>SKELLEFTEÅ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5252-2024</t>
        </is>
      </c>
      <c r="B755" s="1" t="n">
        <v>45330.93219907407</v>
      </c>
      <c r="C755" s="1" t="n">
        <v>46078</v>
      </c>
      <c r="D755" t="inlineStr">
        <is>
          <t>VÄSTERBOTTENS LÄN</t>
        </is>
      </c>
      <c r="E755" t="inlineStr">
        <is>
          <t>SKELLEFTEÅ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60134-2024</t>
        </is>
      </c>
      <c r="B756" s="1" t="n">
        <v>45642.60092592592</v>
      </c>
      <c r="C756" s="1" t="n">
        <v>46078</v>
      </c>
      <c r="D756" t="inlineStr">
        <is>
          <t>VÄSTERBOTTENS LÄN</t>
        </is>
      </c>
      <c r="E756" t="inlineStr">
        <is>
          <t>SKELLEFTEÅ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25525-2025</t>
        </is>
      </c>
      <c r="B757" s="1" t="n">
        <v>45803.3865162037</v>
      </c>
      <c r="C757" s="1" t="n">
        <v>46078</v>
      </c>
      <c r="D757" t="inlineStr">
        <is>
          <t>VÄSTERBOTTENS LÄN</t>
        </is>
      </c>
      <c r="E757" t="inlineStr">
        <is>
          <t>SKELLEFTEÅ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43596-2025</t>
        </is>
      </c>
      <c r="B758" s="1" t="n">
        <v>45911.66240740741</v>
      </c>
      <c r="C758" s="1" t="n">
        <v>46078</v>
      </c>
      <c r="D758" t="inlineStr">
        <is>
          <t>VÄSTERBOTTENS LÄN</t>
        </is>
      </c>
      <c r="E758" t="inlineStr">
        <is>
          <t>SKELLEFTEÅ</t>
        </is>
      </c>
      <c r="G758" t="n">
        <v>7.7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43600-2025</t>
        </is>
      </c>
      <c r="B759" s="1" t="n">
        <v>45911.66473379629</v>
      </c>
      <c r="C759" s="1" t="n">
        <v>46078</v>
      </c>
      <c r="D759" t="inlineStr">
        <is>
          <t>VÄSTERBOTTENS LÄN</t>
        </is>
      </c>
      <c r="E759" t="inlineStr">
        <is>
          <t>SKELLEFTEÅ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46492-2023</t>
        </is>
      </c>
      <c r="B760" s="1" t="n">
        <v>45194</v>
      </c>
      <c r="C760" s="1" t="n">
        <v>46078</v>
      </c>
      <c r="D760" t="inlineStr">
        <is>
          <t>VÄSTERBOTTENS LÄN</t>
        </is>
      </c>
      <c r="E760" t="inlineStr">
        <is>
          <t>SKELLEFTEÅ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57440-2023</t>
        </is>
      </c>
      <c r="B761" s="1" t="n">
        <v>45240</v>
      </c>
      <c r="C761" s="1" t="n">
        <v>46078</v>
      </c>
      <c r="D761" t="inlineStr">
        <is>
          <t>VÄSTERBOTTENS LÄN</t>
        </is>
      </c>
      <c r="E761" t="inlineStr">
        <is>
          <t>SKELLEFTEÅ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25542-2025</t>
        </is>
      </c>
      <c r="B762" s="1" t="n">
        <v>45803.42774305555</v>
      </c>
      <c r="C762" s="1" t="n">
        <v>46078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60339-2023</t>
        </is>
      </c>
      <c r="B763" s="1" t="n">
        <v>45259</v>
      </c>
      <c r="C763" s="1" t="n">
        <v>46078</v>
      </c>
      <c r="D763" t="inlineStr">
        <is>
          <t>VÄSTERBOTTENS LÄN</t>
        </is>
      </c>
      <c r="E763" t="inlineStr">
        <is>
          <t>SKELLEFTEÅ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25641-2025</t>
        </is>
      </c>
      <c r="B764" s="1" t="n">
        <v>45803.60377314815</v>
      </c>
      <c r="C764" s="1" t="n">
        <v>46078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34638-2023</t>
        </is>
      </c>
      <c r="B765" s="1" t="n">
        <v>45140.65803240741</v>
      </c>
      <c r="C765" s="1" t="n">
        <v>46078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34669-2023</t>
        </is>
      </c>
      <c r="B766" s="1" t="n">
        <v>45140.83063657407</v>
      </c>
      <c r="C766" s="1" t="n">
        <v>46078</v>
      </c>
      <c r="D766" t="inlineStr">
        <is>
          <t>VÄSTERBOTTENS LÄN</t>
        </is>
      </c>
      <c r="E766" t="inlineStr">
        <is>
          <t>SKELLEFTEÅ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59640-2024</t>
        </is>
      </c>
      <c r="B767" s="1" t="n">
        <v>45639.30232638889</v>
      </c>
      <c r="C767" s="1" t="n">
        <v>46078</v>
      </c>
      <c r="D767" t="inlineStr">
        <is>
          <t>VÄSTERBOTTENS LÄN</t>
        </is>
      </c>
      <c r="E767" t="inlineStr">
        <is>
          <t>SKELLEFTEÅ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56974-2024</t>
        </is>
      </c>
      <c r="B768" s="1" t="n">
        <v>45628.67204861111</v>
      </c>
      <c r="C768" s="1" t="n">
        <v>46078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30686-2023</t>
        </is>
      </c>
      <c r="B769" s="1" t="n">
        <v>45112</v>
      </c>
      <c r="C769" s="1" t="n">
        <v>46078</v>
      </c>
      <c r="D769" t="inlineStr">
        <is>
          <t>VÄSTERBOTTENS LÄN</t>
        </is>
      </c>
      <c r="E769" t="inlineStr">
        <is>
          <t>SKELLEFTEÅ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25403-2025</t>
        </is>
      </c>
      <c r="B770" s="1" t="n">
        <v>45800.65652777778</v>
      </c>
      <c r="C770" s="1" t="n">
        <v>46078</v>
      </c>
      <c r="D770" t="inlineStr">
        <is>
          <t>VÄSTERBOTTENS LÄN</t>
        </is>
      </c>
      <c r="E770" t="inlineStr">
        <is>
          <t>SKELLEFTEÅ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61275-2022</t>
        </is>
      </c>
      <c r="B771" s="1" t="n">
        <v>44909</v>
      </c>
      <c r="C771" s="1" t="n">
        <v>46078</v>
      </c>
      <c r="D771" t="inlineStr">
        <is>
          <t>VÄSTERBOTTENS LÄN</t>
        </is>
      </c>
      <c r="E771" t="inlineStr">
        <is>
          <t>SKELLEFTEÅ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43372-2025</t>
        </is>
      </c>
      <c r="B772" s="1" t="n">
        <v>45911.35015046296</v>
      </c>
      <c r="C772" s="1" t="n">
        <v>46078</v>
      </c>
      <c r="D772" t="inlineStr">
        <is>
          <t>VÄSTERBOTTENS LÄN</t>
        </is>
      </c>
      <c r="E772" t="inlineStr">
        <is>
          <t>SKELLEFTEÅ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25527-2025</t>
        </is>
      </c>
      <c r="B773" s="1" t="n">
        <v>45803.38699074074</v>
      </c>
      <c r="C773" s="1" t="n">
        <v>46078</v>
      </c>
      <c r="D773" t="inlineStr">
        <is>
          <t>VÄSTERBOTTENS LÄN</t>
        </is>
      </c>
      <c r="E773" t="inlineStr">
        <is>
          <t>SKELLEFTEÅ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43312-2025</t>
        </is>
      </c>
      <c r="B774" s="1" t="n">
        <v>45910.65115740741</v>
      </c>
      <c r="C774" s="1" t="n">
        <v>46078</v>
      </c>
      <c r="D774" t="inlineStr">
        <is>
          <t>VÄSTERBOTTENS LÄN</t>
        </is>
      </c>
      <c r="E774" t="inlineStr">
        <is>
          <t>SKELLEFTEÅ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43317-2025</t>
        </is>
      </c>
      <c r="B775" s="1" t="n">
        <v>45910.65524305555</v>
      </c>
      <c r="C775" s="1" t="n">
        <v>46078</v>
      </c>
      <c r="D775" t="inlineStr">
        <is>
          <t>VÄSTERBOTTENS LÄN</t>
        </is>
      </c>
      <c r="E775" t="inlineStr">
        <is>
          <t>SKELLEFTEÅ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43318-2025</t>
        </is>
      </c>
      <c r="B776" s="1" t="n">
        <v>45910</v>
      </c>
      <c r="C776" s="1" t="n">
        <v>46078</v>
      </c>
      <c r="D776" t="inlineStr">
        <is>
          <t>VÄSTERBOTTENS LÄN</t>
        </is>
      </c>
      <c r="E776" t="inlineStr">
        <is>
          <t>SKELLEFTEÅ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43327-2025</t>
        </is>
      </c>
      <c r="B777" s="1" t="n">
        <v>45910.67043981481</v>
      </c>
      <c r="C777" s="1" t="n">
        <v>46078</v>
      </c>
      <c r="D777" t="inlineStr">
        <is>
          <t>VÄSTERBOTTENS LÄN</t>
        </is>
      </c>
      <c r="E777" t="inlineStr">
        <is>
          <t>SKELLEFTEÅ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41109-2023</t>
        </is>
      </c>
      <c r="B778" s="1" t="n">
        <v>45170</v>
      </c>
      <c r="C778" s="1" t="n">
        <v>46078</v>
      </c>
      <c r="D778" t="inlineStr">
        <is>
          <t>VÄSTERBOTTENS LÄN</t>
        </is>
      </c>
      <c r="E778" t="inlineStr">
        <is>
          <t>SKELLEFTEÅ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43427-2025</t>
        </is>
      </c>
      <c r="B779" s="1" t="n">
        <v>45911.419375</v>
      </c>
      <c r="C779" s="1" t="n">
        <v>46078</v>
      </c>
      <c r="D779" t="inlineStr">
        <is>
          <t>VÄSTERBOTTENS LÄN</t>
        </is>
      </c>
      <c r="E779" t="inlineStr">
        <is>
          <t>SKELLEFTEÅ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25801-2025</t>
        </is>
      </c>
      <c r="B780" s="1" t="n">
        <v>45803</v>
      </c>
      <c r="C780" s="1" t="n">
        <v>46078</v>
      </c>
      <c r="D780" t="inlineStr">
        <is>
          <t>VÄSTERBOTTENS LÄN</t>
        </is>
      </c>
      <c r="E780" t="inlineStr">
        <is>
          <t>SKELLEFTEÅ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25804-2025</t>
        </is>
      </c>
      <c r="B781" s="1" t="n">
        <v>45803</v>
      </c>
      <c r="C781" s="1" t="n">
        <v>46078</v>
      </c>
      <c r="D781" t="inlineStr">
        <is>
          <t>VÄSTERBOTTENS LÄN</t>
        </is>
      </c>
      <c r="E781" t="inlineStr">
        <is>
          <t>SKELLEFTEÅ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43307-2025</t>
        </is>
      </c>
      <c r="B782" s="1" t="n">
        <v>45910.64238425926</v>
      </c>
      <c r="C782" s="1" t="n">
        <v>46078</v>
      </c>
      <c r="D782" t="inlineStr">
        <is>
          <t>VÄSTERBOTTENS LÄN</t>
        </is>
      </c>
      <c r="E782" t="inlineStr">
        <is>
          <t>SKELLEFTEÅ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43309-2025</t>
        </is>
      </c>
      <c r="B783" s="1" t="n">
        <v>45910.64689814814</v>
      </c>
      <c r="C783" s="1" t="n">
        <v>46078</v>
      </c>
      <c r="D783" t="inlineStr">
        <is>
          <t>VÄSTERBOTTENS LÄN</t>
        </is>
      </c>
      <c r="E783" t="inlineStr">
        <is>
          <t>SKELLEFTEÅ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43325-2025</t>
        </is>
      </c>
      <c r="B784" s="1" t="n">
        <v>45910.66576388889</v>
      </c>
      <c r="C784" s="1" t="n">
        <v>46078</v>
      </c>
      <c r="D784" t="inlineStr">
        <is>
          <t>VÄSTERBOTTENS LÄN</t>
        </is>
      </c>
      <c r="E784" t="inlineStr">
        <is>
          <t>SKELLEFTEÅ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25514-2025</t>
        </is>
      </c>
      <c r="B785" s="1" t="n">
        <v>45803.36482638889</v>
      </c>
      <c r="C785" s="1" t="n">
        <v>46078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25526-2025</t>
        </is>
      </c>
      <c r="B786" s="1" t="n">
        <v>45803.38655092593</v>
      </c>
      <c r="C786" s="1" t="n">
        <v>46078</v>
      </c>
      <c r="D786" t="inlineStr">
        <is>
          <t>VÄSTERBOTTENS LÄN</t>
        </is>
      </c>
      <c r="E786" t="inlineStr">
        <is>
          <t>SKELLEFTEÅ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14089-2023</t>
        </is>
      </c>
      <c r="B787" s="1" t="n">
        <v>45009.33761574074</v>
      </c>
      <c r="C787" s="1" t="n">
        <v>46078</v>
      </c>
      <c r="D787" t="inlineStr">
        <is>
          <t>VÄSTERBOTTENS LÄN</t>
        </is>
      </c>
      <c r="E787" t="inlineStr">
        <is>
          <t>SKELLEFTEÅ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49478-2025</t>
        </is>
      </c>
      <c r="B788" s="1" t="n">
        <v>45939.34556712963</v>
      </c>
      <c r="C788" s="1" t="n">
        <v>46078</v>
      </c>
      <c r="D788" t="inlineStr">
        <is>
          <t>VÄSTERBOTTENS LÄN</t>
        </is>
      </c>
      <c r="E788" t="inlineStr">
        <is>
          <t>SKELLEFTEÅ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43861-2025</t>
        </is>
      </c>
      <c r="B789" s="1" t="n">
        <v>45912.65596064815</v>
      </c>
      <c r="C789" s="1" t="n">
        <v>46078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Sveaskog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43894-2025</t>
        </is>
      </c>
      <c r="B790" s="1" t="n">
        <v>45912.73649305556</v>
      </c>
      <c r="C790" s="1" t="n">
        <v>46078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Sveaskog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50862-2024</t>
        </is>
      </c>
      <c r="B791" s="1" t="n">
        <v>45602.6346412037</v>
      </c>
      <c r="C791" s="1" t="n">
        <v>46078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57849-2022</t>
        </is>
      </c>
      <c r="B792" s="1" t="n">
        <v>44898.00163194445</v>
      </c>
      <c r="C792" s="1" t="n">
        <v>46078</v>
      </c>
      <c r="D792" t="inlineStr">
        <is>
          <t>VÄSTERBOTTENS LÄN</t>
        </is>
      </c>
      <c r="E792" t="inlineStr">
        <is>
          <t>SKELLEFTEÅ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43895-2025</t>
        </is>
      </c>
      <c r="B793" s="1" t="n">
        <v>45912.73758101852</v>
      </c>
      <c r="C793" s="1" t="n">
        <v>46078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Sveaskog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35119-2022</t>
        </is>
      </c>
      <c r="B794" s="1" t="n">
        <v>44797</v>
      </c>
      <c r="C794" s="1" t="n">
        <v>46078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43948-2025</t>
        </is>
      </c>
      <c r="B795" s="1" t="n">
        <v>45915.37621527778</v>
      </c>
      <c r="C795" s="1" t="n">
        <v>46078</v>
      </c>
      <c r="D795" t="inlineStr">
        <is>
          <t>VÄSTERBOTTENS LÄN</t>
        </is>
      </c>
      <c r="E795" t="inlineStr">
        <is>
          <t>SKELLEFTEÅ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25773-2025</t>
        </is>
      </c>
      <c r="B796" s="1" t="n">
        <v>45804.34528935186</v>
      </c>
      <c r="C796" s="1" t="n">
        <v>46078</v>
      </c>
      <c r="D796" t="inlineStr">
        <is>
          <t>VÄSTERBOTTENS LÄN</t>
        </is>
      </c>
      <c r="E796" t="inlineStr">
        <is>
          <t>SKELLEFTEÅ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1257-2024</t>
        </is>
      </c>
      <c r="B797" s="1" t="n">
        <v>45302</v>
      </c>
      <c r="C797" s="1" t="n">
        <v>46078</v>
      </c>
      <c r="D797" t="inlineStr">
        <is>
          <t>VÄSTERBOTTENS LÄN</t>
        </is>
      </c>
      <c r="E797" t="inlineStr">
        <is>
          <t>SKELLEFTEÅ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43825-2025</t>
        </is>
      </c>
      <c r="B798" s="1" t="n">
        <v>45912.61891203704</v>
      </c>
      <c r="C798" s="1" t="n">
        <v>46078</v>
      </c>
      <c r="D798" t="inlineStr">
        <is>
          <t>VÄSTERBOTTENS LÄN</t>
        </is>
      </c>
      <c r="E798" t="inlineStr">
        <is>
          <t>SKELLEFTEÅ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3924-2022</t>
        </is>
      </c>
      <c r="B799" s="1" t="n">
        <v>44587</v>
      </c>
      <c r="C799" s="1" t="n">
        <v>46078</v>
      </c>
      <c r="D799" t="inlineStr">
        <is>
          <t>VÄSTERBOTTENS LÄN</t>
        </is>
      </c>
      <c r="E799" t="inlineStr">
        <is>
          <t>SKELLEFTEÅ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44120-2025</t>
        </is>
      </c>
      <c r="B800" s="1" t="n">
        <v>45915.57791666667</v>
      </c>
      <c r="C800" s="1" t="n">
        <v>46078</v>
      </c>
      <c r="D800" t="inlineStr">
        <is>
          <t>VÄSTERBOTTENS LÄN</t>
        </is>
      </c>
      <c r="E800" t="inlineStr">
        <is>
          <t>SKELLEFTEÅ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28166-2023</t>
        </is>
      </c>
      <c r="B801" s="1" t="n">
        <v>45096</v>
      </c>
      <c r="C801" s="1" t="n">
        <v>46078</v>
      </c>
      <c r="D801" t="inlineStr">
        <is>
          <t>VÄSTERBOTTENS LÄN</t>
        </is>
      </c>
      <c r="E801" t="inlineStr">
        <is>
          <t>SKELLEFTEÅ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44070-2025</t>
        </is>
      </c>
      <c r="B802" s="1" t="n">
        <v>45915.54528935185</v>
      </c>
      <c r="C802" s="1" t="n">
        <v>46078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44009-2025</t>
        </is>
      </c>
      <c r="B803" s="1" t="n">
        <v>45915.46326388889</v>
      </c>
      <c r="C803" s="1" t="n">
        <v>46078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8436-2022</t>
        </is>
      </c>
      <c r="B804" s="1" t="n">
        <v>44612.63918981481</v>
      </c>
      <c r="C804" s="1" t="n">
        <v>46078</v>
      </c>
      <c r="D804" t="inlineStr">
        <is>
          <t>VÄSTERBOTTENS LÄN</t>
        </is>
      </c>
      <c r="E804" t="inlineStr">
        <is>
          <t>SKELLEFTEÅ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44182-2025</t>
        </is>
      </c>
      <c r="B805" s="1" t="n">
        <v>45915.60943287037</v>
      </c>
      <c r="C805" s="1" t="n">
        <v>46078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Sveaskog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44082-2025</t>
        </is>
      </c>
      <c r="B806" s="1" t="n">
        <v>45915.55302083334</v>
      </c>
      <c r="C806" s="1" t="n">
        <v>46078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Sveaskog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25958-2025</t>
        </is>
      </c>
      <c r="B807" s="1" t="n">
        <v>45804.60783564814</v>
      </c>
      <c r="C807" s="1" t="n">
        <v>46078</v>
      </c>
      <c r="D807" t="inlineStr">
        <is>
          <t>VÄSTERBOTTENS LÄN</t>
        </is>
      </c>
      <c r="E807" t="inlineStr">
        <is>
          <t>SKELLEFTEÅ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26045-2025</t>
        </is>
      </c>
      <c r="B808" s="1" t="n">
        <v>45804.70626157407</v>
      </c>
      <c r="C808" s="1" t="n">
        <v>46078</v>
      </c>
      <c r="D808" t="inlineStr">
        <is>
          <t>VÄSTERBOTTENS LÄN</t>
        </is>
      </c>
      <c r="E808" t="inlineStr">
        <is>
          <t>SKELLEFTEÅ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26286-2025</t>
        </is>
      </c>
      <c r="B809" s="1" t="n">
        <v>45805.62082175926</v>
      </c>
      <c r="C809" s="1" t="n">
        <v>46078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Sveaskog</t>
        </is>
      </c>
      <c r="G809" t="n">
        <v>10.9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44113-2025</t>
        </is>
      </c>
      <c r="B810" s="1" t="n">
        <v>45915.57501157407</v>
      </c>
      <c r="C810" s="1" t="n">
        <v>46078</v>
      </c>
      <c r="D810" t="inlineStr">
        <is>
          <t>VÄSTERBOTTENS LÄN</t>
        </is>
      </c>
      <c r="E810" t="inlineStr">
        <is>
          <t>SKELLEFTEÅ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43677-2025</t>
        </is>
      </c>
      <c r="B811" s="1" t="n">
        <v>45912.3656712963</v>
      </c>
      <c r="C811" s="1" t="n">
        <v>46078</v>
      </c>
      <c r="D811" t="inlineStr">
        <is>
          <t>VÄSTERBOTTENS LÄN</t>
        </is>
      </c>
      <c r="E811" t="inlineStr">
        <is>
          <t>SKELLEFTEÅ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43683-2025</t>
        </is>
      </c>
      <c r="B812" s="1" t="n">
        <v>45912.37668981482</v>
      </c>
      <c r="C812" s="1" t="n">
        <v>46078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26483-2022</t>
        </is>
      </c>
      <c r="B813" s="1" t="n">
        <v>44739</v>
      </c>
      <c r="C813" s="1" t="n">
        <v>46078</v>
      </c>
      <c r="D813" t="inlineStr">
        <is>
          <t>VÄSTERBOTTENS LÄN</t>
        </is>
      </c>
      <c r="E813" t="inlineStr">
        <is>
          <t>SKELLEFTEÅ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35558-2022</t>
        </is>
      </c>
      <c r="B814" s="1" t="n">
        <v>44799.38560185185</v>
      </c>
      <c r="C814" s="1" t="n">
        <v>46078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Sveaskog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34082-2022</t>
        </is>
      </c>
      <c r="B815" s="1" t="n">
        <v>44791</v>
      </c>
      <c r="C815" s="1" t="n">
        <v>46078</v>
      </c>
      <c r="D815" t="inlineStr">
        <is>
          <t>VÄSTERBOTTENS LÄN</t>
        </is>
      </c>
      <c r="E815" t="inlineStr">
        <is>
          <t>SKELLEFTEÅ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43797-2025</t>
        </is>
      </c>
      <c r="B816" s="1" t="n">
        <v>45912.5659837963</v>
      </c>
      <c r="C816" s="1" t="n">
        <v>46078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Sveaskog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44101-2025</t>
        </is>
      </c>
      <c r="B817" s="1" t="n">
        <v>45915.56788194444</v>
      </c>
      <c r="C817" s="1" t="n">
        <v>46078</v>
      </c>
      <c r="D817" t="inlineStr">
        <is>
          <t>VÄSTERBOTTENS LÄN</t>
        </is>
      </c>
      <c r="E817" t="inlineStr">
        <is>
          <t>SKELLEFTEÅ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61378-2024</t>
        </is>
      </c>
      <c r="B818" s="1" t="n">
        <v>45645</v>
      </c>
      <c r="C818" s="1" t="n">
        <v>46078</v>
      </c>
      <c r="D818" t="inlineStr">
        <is>
          <t>VÄSTERBOTTENS LÄN</t>
        </is>
      </c>
      <c r="E818" t="inlineStr">
        <is>
          <t>SKELLEFTEÅ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53075-2022</t>
        </is>
      </c>
      <c r="B819" s="1" t="n">
        <v>44876</v>
      </c>
      <c r="C819" s="1" t="n">
        <v>46078</v>
      </c>
      <c r="D819" t="inlineStr">
        <is>
          <t>VÄSTERBOTTENS LÄN</t>
        </is>
      </c>
      <c r="E819" t="inlineStr">
        <is>
          <t>SKELLEFTEÅ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38809-2023</t>
        </is>
      </c>
      <c r="B820" s="1" t="n">
        <v>45161</v>
      </c>
      <c r="C820" s="1" t="n">
        <v>46078</v>
      </c>
      <c r="D820" t="inlineStr">
        <is>
          <t>VÄSTERBOTTENS LÄN</t>
        </is>
      </c>
      <c r="E820" t="inlineStr">
        <is>
          <t>SKELLEFTEÅ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26215-2025</t>
        </is>
      </c>
      <c r="B821" s="1" t="n">
        <v>45805.54438657407</v>
      </c>
      <c r="C821" s="1" t="n">
        <v>46078</v>
      </c>
      <c r="D821" t="inlineStr">
        <is>
          <t>VÄSTERBOTTENS LÄN</t>
        </is>
      </c>
      <c r="E821" t="inlineStr">
        <is>
          <t>SKELLEFTEÅ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31419-2021</t>
        </is>
      </c>
      <c r="B822" s="1" t="n">
        <v>44368</v>
      </c>
      <c r="C822" s="1" t="n">
        <v>46078</v>
      </c>
      <c r="D822" t="inlineStr">
        <is>
          <t>VÄSTERBOTTENS LÄN</t>
        </is>
      </c>
      <c r="E822" t="inlineStr">
        <is>
          <t>SKELLEFTEÅ</t>
        </is>
      </c>
      <c r="G822" t="n">
        <v>29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43729-2025</t>
        </is>
      </c>
      <c r="B823" s="1" t="n">
        <v>45912.43429398148</v>
      </c>
      <c r="C823" s="1" t="n">
        <v>46078</v>
      </c>
      <c r="D823" t="inlineStr">
        <is>
          <t>VÄSTERBOTTENS LÄN</t>
        </is>
      </c>
      <c r="E823" t="inlineStr">
        <is>
          <t>SKELLEFTEÅ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23445-2024</t>
        </is>
      </c>
      <c r="B824" s="1" t="n">
        <v>45453</v>
      </c>
      <c r="C824" s="1" t="n">
        <v>46078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43791-2025</t>
        </is>
      </c>
      <c r="B825" s="1" t="n">
        <v>45912.54636574074</v>
      </c>
      <c r="C825" s="1" t="n">
        <v>46078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33530-2024</t>
        </is>
      </c>
      <c r="B826" s="1" t="n">
        <v>45519.67211805555</v>
      </c>
      <c r="C826" s="1" t="n">
        <v>46078</v>
      </c>
      <c r="D826" t="inlineStr">
        <is>
          <t>VÄSTERBOTTENS LÄN</t>
        </is>
      </c>
      <c r="E826" t="inlineStr">
        <is>
          <t>SKELLEFTEÅ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43800-2025</t>
        </is>
      </c>
      <c r="B827" s="1" t="n">
        <v>45912.57226851852</v>
      </c>
      <c r="C827" s="1" t="n">
        <v>46078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25.3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43727-2025</t>
        </is>
      </c>
      <c r="B828" s="1" t="n">
        <v>45912.42981481482</v>
      </c>
      <c r="C828" s="1" t="n">
        <v>46078</v>
      </c>
      <c r="D828" t="inlineStr">
        <is>
          <t>VÄSTERBOTTENS LÄN</t>
        </is>
      </c>
      <c r="E828" t="inlineStr">
        <is>
          <t>SKELLEFTEÅ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44061-2025</t>
        </is>
      </c>
      <c r="B829" s="1" t="n">
        <v>45915.53731481481</v>
      </c>
      <c r="C829" s="1" t="n">
        <v>46078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25774-2025</t>
        </is>
      </c>
      <c r="B830" s="1" t="n">
        <v>45804.34530092592</v>
      </c>
      <c r="C830" s="1" t="n">
        <v>46078</v>
      </c>
      <c r="D830" t="inlineStr">
        <is>
          <t>VÄSTERBOTTENS LÄN</t>
        </is>
      </c>
      <c r="E830" t="inlineStr">
        <is>
          <t>SKELLEFTEÅ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44106-2025</t>
        </is>
      </c>
      <c r="B831" s="1" t="n">
        <v>45915.57119212963</v>
      </c>
      <c r="C831" s="1" t="n">
        <v>46078</v>
      </c>
      <c r="D831" t="inlineStr">
        <is>
          <t>VÄSTERBOTTENS LÄN</t>
        </is>
      </c>
      <c r="E831" t="inlineStr">
        <is>
          <t>SKELLEFTEÅ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39589-2021</t>
        </is>
      </c>
      <c r="B832" s="1" t="n">
        <v>44413</v>
      </c>
      <c r="C832" s="1" t="n">
        <v>46078</v>
      </c>
      <c r="D832" t="inlineStr">
        <is>
          <t>VÄSTERBOTTENS LÄN</t>
        </is>
      </c>
      <c r="E832" t="inlineStr">
        <is>
          <t>SKELLEFTEÅ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44063-2025</t>
        </is>
      </c>
      <c r="B833" s="1" t="n">
        <v>45915.53975694445</v>
      </c>
      <c r="C833" s="1" t="n">
        <v>46078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44602-2025</t>
        </is>
      </c>
      <c r="B834" s="1" t="n">
        <v>45917.43920138889</v>
      </c>
      <c r="C834" s="1" t="n">
        <v>46078</v>
      </c>
      <c r="D834" t="inlineStr">
        <is>
          <t>VÄSTERBOTTENS LÄN</t>
        </is>
      </c>
      <c r="E834" t="inlineStr">
        <is>
          <t>SKELLEFTEÅ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38818-2023</t>
        </is>
      </c>
      <c r="B835" s="1" t="n">
        <v>45161</v>
      </c>
      <c r="C835" s="1" t="n">
        <v>46078</v>
      </c>
      <c r="D835" t="inlineStr">
        <is>
          <t>VÄSTERBOTTENS LÄN</t>
        </is>
      </c>
      <c r="E835" t="inlineStr">
        <is>
          <t>SKELLEFTEÅ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26049-2025</t>
        </is>
      </c>
      <c r="B836" s="1" t="n">
        <v>45804.71578703704</v>
      </c>
      <c r="C836" s="1" t="n">
        <v>46078</v>
      </c>
      <c r="D836" t="inlineStr">
        <is>
          <t>VÄSTERBOTTENS LÄN</t>
        </is>
      </c>
      <c r="E836" t="inlineStr">
        <is>
          <t>SKELLEFTEÅ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44714-2025</t>
        </is>
      </c>
      <c r="B837" s="1" t="n">
        <v>45917.62650462963</v>
      </c>
      <c r="C837" s="1" t="n">
        <v>46078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44739-2025</t>
        </is>
      </c>
      <c r="B838" s="1" t="n">
        <v>45917.66063657407</v>
      </c>
      <c r="C838" s="1" t="n">
        <v>46078</v>
      </c>
      <c r="D838" t="inlineStr">
        <is>
          <t>VÄSTERBOTTENS LÄN</t>
        </is>
      </c>
      <c r="E838" t="inlineStr">
        <is>
          <t>SKELLEFTEÅ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44637-2025</t>
        </is>
      </c>
      <c r="B839" s="1" t="n">
        <v>45917.50743055555</v>
      </c>
      <c r="C839" s="1" t="n">
        <v>46078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44408-2025</t>
        </is>
      </c>
      <c r="B840" s="1" t="n">
        <v>45916.53047453704</v>
      </c>
      <c r="C840" s="1" t="n">
        <v>46078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Holmen skog AB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44729-2025</t>
        </is>
      </c>
      <c r="B841" s="1" t="n">
        <v>45917.64934027778</v>
      </c>
      <c r="C841" s="1" t="n">
        <v>46078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26425-2025</t>
        </is>
      </c>
      <c r="B842" s="1" t="n">
        <v>45807.38453703704</v>
      </c>
      <c r="C842" s="1" t="n">
        <v>46078</v>
      </c>
      <c r="D842" t="inlineStr">
        <is>
          <t>VÄSTERBOTTENS LÄN</t>
        </is>
      </c>
      <c r="E842" t="inlineStr">
        <is>
          <t>SKELLEFTEÅ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54384-2021</t>
        </is>
      </c>
      <c r="B843" s="1" t="n">
        <v>44473</v>
      </c>
      <c r="C843" s="1" t="n">
        <v>46078</v>
      </c>
      <c r="D843" t="inlineStr">
        <is>
          <t>VÄSTERBOTTENS LÄN</t>
        </is>
      </c>
      <c r="E843" t="inlineStr">
        <is>
          <t>SKELLEFTEÅ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10647-2023</t>
        </is>
      </c>
      <c r="B844" s="1" t="n">
        <v>44984</v>
      </c>
      <c r="C844" s="1" t="n">
        <v>46078</v>
      </c>
      <c r="D844" t="inlineStr">
        <is>
          <t>VÄSTERBOTTENS LÄN</t>
        </is>
      </c>
      <c r="E844" t="inlineStr">
        <is>
          <t>SKELLEFTEÅ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26194-2025</t>
        </is>
      </c>
      <c r="B845" s="1" t="n">
        <v>45805.48989583334</v>
      </c>
      <c r="C845" s="1" t="n">
        <v>46078</v>
      </c>
      <c r="D845" t="inlineStr">
        <is>
          <t>VÄSTERBOTTENS LÄN</t>
        </is>
      </c>
      <c r="E845" t="inlineStr">
        <is>
          <t>SKELLEFTEÅ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26542-2025</t>
        </is>
      </c>
      <c r="B846" s="1" t="n">
        <v>45807.58521990741</v>
      </c>
      <c r="C846" s="1" t="n">
        <v>46078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44726-2025</t>
        </is>
      </c>
      <c r="B847" s="1" t="n">
        <v>45917.64392361111</v>
      </c>
      <c r="C847" s="1" t="n">
        <v>46078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52141-2022</t>
        </is>
      </c>
      <c r="B848" s="1" t="n">
        <v>44868</v>
      </c>
      <c r="C848" s="1" t="n">
        <v>46078</v>
      </c>
      <c r="D848" t="inlineStr">
        <is>
          <t>VÄSTERBOTTENS LÄN</t>
        </is>
      </c>
      <c r="E848" t="inlineStr">
        <is>
          <t>SKELLEFTEÅ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29115-2021</t>
        </is>
      </c>
      <c r="B849" s="1" t="n">
        <v>44358</v>
      </c>
      <c r="C849" s="1" t="n">
        <v>46078</v>
      </c>
      <c r="D849" t="inlineStr">
        <is>
          <t>VÄSTERBOTTENS LÄN</t>
        </is>
      </c>
      <c r="E849" t="inlineStr">
        <is>
          <t>SKELLEFTEÅ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55907-2024</t>
        </is>
      </c>
      <c r="B850" s="1" t="n">
        <v>45623.58414351852</v>
      </c>
      <c r="C850" s="1" t="n">
        <v>46078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34332-2024</t>
        </is>
      </c>
      <c r="B851" s="1" t="n">
        <v>45524.89719907408</v>
      </c>
      <c r="C851" s="1" t="n">
        <v>46078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Sveaskog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44353-2025</t>
        </is>
      </c>
      <c r="B852" s="1" t="n">
        <v>45916.44612268519</v>
      </c>
      <c r="C852" s="1" t="n">
        <v>46078</v>
      </c>
      <c r="D852" t="inlineStr">
        <is>
          <t>VÄSTERBOTTENS LÄN</t>
        </is>
      </c>
      <c r="E852" t="inlineStr">
        <is>
          <t>SKELLEFTEÅ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44301-2023</t>
        </is>
      </c>
      <c r="B853" s="1" t="n">
        <v>45188</v>
      </c>
      <c r="C853" s="1" t="n">
        <v>46078</v>
      </c>
      <c r="D853" t="inlineStr">
        <is>
          <t>VÄSTERBOTTENS LÄN</t>
        </is>
      </c>
      <c r="E853" t="inlineStr">
        <is>
          <t>SKELLEFTEÅ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54162-2024</t>
        </is>
      </c>
      <c r="B854" s="1" t="n">
        <v>45616</v>
      </c>
      <c r="C854" s="1" t="n">
        <v>46078</v>
      </c>
      <c r="D854" t="inlineStr">
        <is>
          <t>VÄSTERBOTTENS LÄN</t>
        </is>
      </c>
      <c r="E854" t="inlineStr">
        <is>
          <t>SKELLEFTEÅ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35114-2024</t>
        </is>
      </c>
      <c r="B855" s="1" t="n">
        <v>45529.92038194444</v>
      </c>
      <c r="C855" s="1" t="n">
        <v>46078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49683-2025</t>
        </is>
      </c>
      <c r="B856" s="1" t="n">
        <v>45939.65457175926</v>
      </c>
      <c r="C856" s="1" t="n">
        <v>46078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24238-2021</t>
        </is>
      </c>
      <c r="B857" s="1" t="n">
        <v>44336.9187962963</v>
      </c>
      <c r="C857" s="1" t="n">
        <v>46078</v>
      </c>
      <c r="D857" t="inlineStr">
        <is>
          <t>VÄSTERBOTTENS LÄN</t>
        </is>
      </c>
      <c r="E857" t="inlineStr">
        <is>
          <t>SKELLEFTEÅ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27091-2025</t>
        </is>
      </c>
      <c r="B858" s="1" t="n">
        <v>45811.66915509259</v>
      </c>
      <c r="C858" s="1" t="n">
        <v>46078</v>
      </c>
      <c r="D858" t="inlineStr">
        <is>
          <t>VÄSTERBOTTENS LÄN</t>
        </is>
      </c>
      <c r="E858" t="inlineStr">
        <is>
          <t>SKELLEFTEÅ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58119-2024</t>
        </is>
      </c>
      <c r="B859" s="1" t="n">
        <v>45632.39261574074</v>
      </c>
      <c r="C859" s="1" t="n">
        <v>46078</v>
      </c>
      <c r="D859" t="inlineStr">
        <is>
          <t>VÄSTERBOTTENS LÄN</t>
        </is>
      </c>
      <c r="E859" t="inlineStr">
        <is>
          <t>SKELLEFTEÅ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50082-2024</t>
        </is>
      </c>
      <c r="B860" s="1" t="n">
        <v>45597</v>
      </c>
      <c r="C860" s="1" t="n">
        <v>46078</v>
      </c>
      <c r="D860" t="inlineStr">
        <is>
          <t>VÄSTERBOTTENS LÄN</t>
        </is>
      </c>
      <c r="E860" t="inlineStr">
        <is>
          <t>SKELLEFTEÅ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44826-2025</t>
        </is>
      </c>
      <c r="B861" s="1" t="n">
        <v>45918.38855324074</v>
      </c>
      <c r="C861" s="1" t="n">
        <v>46078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11.8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26909-2025</t>
        </is>
      </c>
      <c r="B862" s="1" t="n">
        <v>45811.3458912037</v>
      </c>
      <c r="C862" s="1" t="n">
        <v>46078</v>
      </c>
      <c r="D862" t="inlineStr">
        <is>
          <t>VÄSTERBOTTENS LÄN</t>
        </is>
      </c>
      <c r="E862" t="inlineStr">
        <is>
          <t>SKELLEFTEÅ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121-2023</t>
        </is>
      </c>
      <c r="B863" s="1" t="n">
        <v>44918</v>
      </c>
      <c r="C863" s="1" t="n">
        <v>46078</v>
      </c>
      <c r="D863" t="inlineStr">
        <is>
          <t>VÄSTERBOTTENS LÄN</t>
        </is>
      </c>
      <c r="E863" t="inlineStr">
        <is>
          <t>SKELLEFTEÅ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44942-2025</t>
        </is>
      </c>
      <c r="B864" s="1" t="n">
        <v>45918</v>
      </c>
      <c r="C864" s="1" t="n">
        <v>46078</v>
      </c>
      <c r="D864" t="inlineStr">
        <is>
          <t>VÄSTERBOTTENS LÄN</t>
        </is>
      </c>
      <c r="E864" t="inlineStr">
        <is>
          <t>SKELLEFTEÅ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27010-2025</t>
        </is>
      </c>
      <c r="B865" s="1" t="n">
        <v>45811.56021990741</v>
      </c>
      <c r="C865" s="1" t="n">
        <v>46078</v>
      </c>
      <c r="D865" t="inlineStr">
        <is>
          <t>VÄSTERBOTTENS LÄN</t>
        </is>
      </c>
      <c r="E865" t="inlineStr">
        <is>
          <t>SKELLEFTEÅ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44908-2025</t>
        </is>
      </c>
      <c r="B866" s="1" t="n">
        <v>45918.53197916667</v>
      </c>
      <c r="C866" s="1" t="n">
        <v>46078</v>
      </c>
      <c r="D866" t="inlineStr">
        <is>
          <t>VÄSTERBOTTENS LÄN</t>
        </is>
      </c>
      <c r="E866" t="inlineStr">
        <is>
          <t>SKELLEFTEÅ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30901-2024</t>
        </is>
      </c>
      <c r="B867" s="1" t="n">
        <v>45498</v>
      </c>
      <c r="C867" s="1" t="n">
        <v>46078</v>
      </c>
      <c r="D867" t="inlineStr">
        <is>
          <t>VÄSTERBOTTENS LÄN</t>
        </is>
      </c>
      <c r="E867" t="inlineStr">
        <is>
          <t>SKELLEFTEÅ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45183-2025</t>
        </is>
      </c>
      <c r="B868" s="1" t="n">
        <v>45919.53484953703</v>
      </c>
      <c r="C868" s="1" t="n">
        <v>46078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26601-2025</t>
        </is>
      </c>
      <c r="B869" s="1" t="n">
        <v>45808.88428240741</v>
      </c>
      <c r="C869" s="1" t="n">
        <v>46078</v>
      </c>
      <c r="D869" t="inlineStr">
        <is>
          <t>VÄSTERBOTTENS LÄN</t>
        </is>
      </c>
      <c r="E869" t="inlineStr">
        <is>
          <t>SKELLEFTEÅ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40794-2025</t>
        </is>
      </c>
      <c r="B870" s="1" t="n">
        <v>45897</v>
      </c>
      <c r="C870" s="1" t="n">
        <v>46078</v>
      </c>
      <c r="D870" t="inlineStr">
        <is>
          <t>VÄSTERBOTTENS LÄN</t>
        </is>
      </c>
      <c r="E870" t="inlineStr">
        <is>
          <t>SKELLEFTEÅ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49299-2025</t>
        </is>
      </c>
      <c r="B871" s="1" t="n">
        <v>45938.54065972222</v>
      </c>
      <c r="C871" s="1" t="n">
        <v>46078</v>
      </c>
      <c r="D871" t="inlineStr">
        <is>
          <t>VÄSTERBOTTENS LÄN</t>
        </is>
      </c>
      <c r="E871" t="inlineStr">
        <is>
          <t>SKELLEFTEÅ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44823-2025</t>
        </is>
      </c>
      <c r="B872" s="1" t="n">
        <v>45918.38574074074</v>
      </c>
      <c r="C872" s="1" t="n">
        <v>46078</v>
      </c>
      <c r="D872" t="inlineStr">
        <is>
          <t>VÄSTERBOTTENS LÄN</t>
        </is>
      </c>
      <c r="E872" t="inlineStr">
        <is>
          <t>SKELLEFTEÅ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44921-2025</t>
        </is>
      </c>
      <c r="B873" s="1" t="n">
        <v>45918.55270833334</v>
      </c>
      <c r="C873" s="1" t="n">
        <v>46078</v>
      </c>
      <c r="D873" t="inlineStr">
        <is>
          <t>VÄSTERBOTTENS LÄN</t>
        </is>
      </c>
      <c r="E873" t="inlineStr">
        <is>
          <t>SKELLEFTEÅ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44920-2025</t>
        </is>
      </c>
      <c r="B874" s="1" t="n">
        <v>45918.55259259259</v>
      </c>
      <c r="C874" s="1" t="n">
        <v>46078</v>
      </c>
      <c r="D874" t="inlineStr">
        <is>
          <t>VÄSTERBOTTENS LÄN</t>
        </is>
      </c>
      <c r="E874" t="inlineStr">
        <is>
          <t>SKELLEFTEÅ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44911-2025</t>
        </is>
      </c>
      <c r="B875" s="1" t="n">
        <v>45918.53216435185</v>
      </c>
      <c r="C875" s="1" t="n">
        <v>46078</v>
      </c>
      <c r="D875" t="inlineStr">
        <is>
          <t>VÄSTERBOTTENS LÄN</t>
        </is>
      </c>
      <c r="E875" t="inlineStr">
        <is>
          <t>SKELLEFTEÅ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44922-2025</t>
        </is>
      </c>
      <c r="B876" s="1" t="n">
        <v>45918.55274305555</v>
      </c>
      <c r="C876" s="1" t="n">
        <v>46078</v>
      </c>
      <c r="D876" t="inlineStr">
        <is>
          <t>VÄSTERBOTTENS LÄN</t>
        </is>
      </c>
      <c r="E876" t="inlineStr">
        <is>
          <t>SKELLEFTEÅ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26646-2025</t>
        </is>
      </c>
      <c r="B877" s="1" t="n">
        <v>45810.38410879629</v>
      </c>
      <c r="C877" s="1" t="n">
        <v>46078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11771-2023</t>
        </is>
      </c>
      <c r="B878" s="1" t="n">
        <v>44994.6418287037</v>
      </c>
      <c r="C878" s="1" t="n">
        <v>46078</v>
      </c>
      <c r="D878" t="inlineStr">
        <is>
          <t>VÄSTERBOTTENS LÄN</t>
        </is>
      </c>
      <c r="E878" t="inlineStr">
        <is>
          <t>SKELLEFTEÅ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48501-2023</t>
        </is>
      </c>
      <c r="B879" s="1" t="n">
        <v>45207.82268518519</v>
      </c>
      <c r="C879" s="1" t="n">
        <v>46078</v>
      </c>
      <c r="D879" t="inlineStr">
        <is>
          <t>VÄSTERBOTTENS LÄN</t>
        </is>
      </c>
      <c r="E879" t="inlineStr">
        <is>
          <t>SKELLEFTEÅ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48516-2023</t>
        </is>
      </c>
      <c r="B880" s="1" t="n">
        <v>45208.32671296296</v>
      </c>
      <c r="C880" s="1" t="n">
        <v>46078</v>
      </c>
      <c r="D880" t="inlineStr">
        <is>
          <t>VÄSTERBOTTENS LÄN</t>
        </is>
      </c>
      <c r="E880" t="inlineStr">
        <is>
          <t>SKELLEFTEÅ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27082-2025</t>
        </is>
      </c>
      <c r="B881" s="1" t="n">
        <v>45811.65423611111</v>
      </c>
      <c r="C881" s="1" t="n">
        <v>46078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44909-2025</t>
        </is>
      </c>
      <c r="B882" s="1" t="n">
        <v>45918.53211805555</v>
      </c>
      <c r="C882" s="1" t="n">
        <v>46078</v>
      </c>
      <c r="D882" t="inlineStr">
        <is>
          <t>VÄSTERBOTTENS LÄN</t>
        </is>
      </c>
      <c r="E882" t="inlineStr">
        <is>
          <t>SKELLEFTEÅ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44910-2025</t>
        </is>
      </c>
      <c r="B883" s="1" t="n">
        <v>45918.5321412037</v>
      </c>
      <c r="C883" s="1" t="n">
        <v>46078</v>
      </c>
      <c r="D883" t="inlineStr">
        <is>
          <t>VÄSTERBOTTENS LÄN</t>
        </is>
      </c>
      <c r="E883" t="inlineStr">
        <is>
          <t>SKELLEFTEÅ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38558-2024</t>
        </is>
      </c>
      <c r="B884" s="1" t="n">
        <v>45546.62606481482</v>
      </c>
      <c r="C884" s="1" t="n">
        <v>46078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38568-2024</t>
        </is>
      </c>
      <c r="B885" s="1" t="n">
        <v>45546.63684027778</v>
      </c>
      <c r="C885" s="1" t="n">
        <v>46078</v>
      </c>
      <c r="D885" t="inlineStr">
        <is>
          <t>VÄSTERBOTTENS LÄN</t>
        </is>
      </c>
      <c r="E885" t="inlineStr">
        <is>
          <t>SKELLEFTEÅ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26767-2025</t>
        </is>
      </c>
      <c r="B886" s="1" t="n">
        <v>45810.56726851852</v>
      </c>
      <c r="C886" s="1" t="n">
        <v>46078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5636-2024</t>
        </is>
      </c>
      <c r="B887" s="1" t="n">
        <v>45334.61045138889</v>
      </c>
      <c r="C887" s="1" t="n">
        <v>46078</v>
      </c>
      <c r="D887" t="inlineStr">
        <is>
          <t>VÄSTERBOTTENS LÄN</t>
        </is>
      </c>
      <c r="E887" t="inlineStr">
        <is>
          <t>SKELLEFTEÅ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45394-2025</t>
        </is>
      </c>
      <c r="B888" s="1" t="n">
        <v>45922.40804398148</v>
      </c>
      <c r="C888" s="1" t="n">
        <v>46078</v>
      </c>
      <c r="D888" t="inlineStr">
        <is>
          <t>VÄSTERBOTTENS LÄN</t>
        </is>
      </c>
      <c r="E888" t="inlineStr">
        <is>
          <t>SKELLEFTEÅ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528-2022</t>
        </is>
      </c>
      <c r="B889" s="1" t="n">
        <v>44566.59707175926</v>
      </c>
      <c r="C889" s="1" t="n">
        <v>46078</v>
      </c>
      <c r="D889" t="inlineStr">
        <is>
          <t>VÄSTERBOTTENS LÄN</t>
        </is>
      </c>
      <c r="E889" t="inlineStr">
        <is>
          <t>SKELLEFTEÅ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45366-2025</t>
        </is>
      </c>
      <c r="B890" s="1" t="n">
        <v>45922.38587962963</v>
      </c>
      <c r="C890" s="1" t="n">
        <v>46078</v>
      </c>
      <c r="D890" t="inlineStr">
        <is>
          <t>VÄSTERBOTTENS LÄN</t>
        </is>
      </c>
      <c r="E890" t="inlineStr">
        <is>
          <t>SKELLEFTEÅ</t>
        </is>
      </c>
      <c r="G890" t="n">
        <v>16.3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45555-2025</t>
        </is>
      </c>
      <c r="B891" s="1" t="n">
        <v>45922.64210648148</v>
      </c>
      <c r="C891" s="1" t="n">
        <v>46078</v>
      </c>
      <c r="D891" t="inlineStr">
        <is>
          <t>VÄSTERBOTTENS LÄN</t>
        </is>
      </c>
      <c r="E891" t="inlineStr">
        <is>
          <t>SKELLEFTEÅ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45364-2025</t>
        </is>
      </c>
      <c r="B892" s="1" t="n">
        <v>45922.38574074074</v>
      </c>
      <c r="C892" s="1" t="n">
        <v>46078</v>
      </c>
      <c r="D892" t="inlineStr">
        <is>
          <t>VÄSTERBOTTENS LÄN</t>
        </is>
      </c>
      <c r="E892" t="inlineStr">
        <is>
          <t>SKELLEFTEÅ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12547-2025</t>
        </is>
      </c>
      <c r="B893" s="1" t="n">
        <v>45730.89319444444</v>
      </c>
      <c r="C893" s="1" t="n">
        <v>46078</v>
      </c>
      <c r="D893" t="inlineStr">
        <is>
          <t>VÄSTERBOTTENS LÄN</t>
        </is>
      </c>
      <c r="E893" t="inlineStr">
        <is>
          <t>SKELLEFTEÅ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45409-2025</t>
        </is>
      </c>
      <c r="B894" s="1" t="n">
        <v>45922.43385416667</v>
      </c>
      <c r="C894" s="1" t="n">
        <v>46078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Holmen skog AB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27477-2025</t>
        </is>
      </c>
      <c r="B895" s="1" t="n">
        <v>45813.37619212963</v>
      </c>
      <c r="C895" s="1" t="n">
        <v>46078</v>
      </c>
      <c r="D895" t="inlineStr">
        <is>
          <t>VÄSTERBOTTENS LÄN</t>
        </is>
      </c>
      <c r="E895" t="inlineStr">
        <is>
          <t>SKELLEFTEÅ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45392-2025</t>
        </is>
      </c>
      <c r="B896" s="1" t="n">
        <v>45922.40791666666</v>
      </c>
      <c r="C896" s="1" t="n">
        <v>46078</v>
      </c>
      <c r="D896" t="inlineStr">
        <is>
          <t>VÄSTERBOTTENS LÄN</t>
        </is>
      </c>
      <c r="E896" t="inlineStr">
        <is>
          <t>SKELLEFTEÅ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45398-2025</t>
        </is>
      </c>
      <c r="B897" s="1" t="n">
        <v>45922.42065972222</v>
      </c>
      <c r="C897" s="1" t="n">
        <v>46078</v>
      </c>
      <c r="D897" t="inlineStr">
        <is>
          <t>VÄSTERBOTTENS LÄN</t>
        </is>
      </c>
      <c r="E897" t="inlineStr">
        <is>
          <t>SKELLEFTEÅ</t>
        </is>
      </c>
      <c r="G897" t="n">
        <v>12.2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45760-2025</t>
        </is>
      </c>
      <c r="B898" s="1" t="n">
        <v>45923.51121527778</v>
      </c>
      <c r="C898" s="1" t="n">
        <v>46078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45413-2025</t>
        </is>
      </c>
      <c r="B899" s="1" t="n">
        <v>45922</v>
      </c>
      <c r="C899" s="1" t="n">
        <v>46078</v>
      </c>
      <c r="D899" t="inlineStr">
        <is>
          <t>VÄSTERBOTTENS LÄN</t>
        </is>
      </c>
      <c r="E899" t="inlineStr">
        <is>
          <t>SKELLEFTEÅ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45827-2025</t>
        </is>
      </c>
      <c r="B900" s="1" t="n">
        <v>45923.60094907408</v>
      </c>
      <c r="C900" s="1" t="n">
        <v>46078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27851-2024</t>
        </is>
      </c>
      <c r="B901" s="1" t="n">
        <v>45475.6459837963</v>
      </c>
      <c r="C901" s="1" t="n">
        <v>46078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Sveaskog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45654-2025</t>
        </is>
      </c>
      <c r="B902" s="1" t="n">
        <v>45923.33994212963</v>
      </c>
      <c r="C902" s="1" t="n">
        <v>46078</v>
      </c>
      <c r="D902" t="inlineStr">
        <is>
          <t>VÄSTERBOTTENS LÄN</t>
        </is>
      </c>
      <c r="E902" t="inlineStr">
        <is>
          <t>SKELLEFTEÅ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45666-2025</t>
        </is>
      </c>
      <c r="B903" s="1" t="n">
        <v>45923.34827546297</v>
      </c>
      <c r="C903" s="1" t="n">
        <v>46078</v>
      </c>
      <c r="D903" t="inlineStr">
        <is>
          <t>VÄSTERBOTTENS LÄN</t>
        </is>
      </c>
      <c r="E903" t="inlineStr">
        <is>
          <t>SKELLEFTEÅ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52105-2023</t>
        </is>
      </c>
      <c r="B904" s="1" t="n">
        <v>45223.92668981481</v>
      </c>
      <c r="C904" s="1" t="n">
        <v>46078</v>
      </c>
      <c r="D904" t="inlineStr">
        <is>
          <t>VÄSTERBOTTENS LÄN</t>
        </is>
      </c>
      <c r="E904" t="inlineStr">
        <is>
          <t>SKELLEFTEÅ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27641-2025</t>
        </is>
      </c>
      <c r="B905" s="1" t="n">
        <v>45813.58498842592</v>
      </c>
      <c r="C905" s="1" t="n">
        <v>46078</v>
      </c>
      <c r="D905" t="inlineStr">
        <is>
          <t>VÄSTERBOTTENS LÄN</t>
        </is>
      </c>
      <c r="E905" t="inlineStr">
        <is>
          <t>SKELLEFTEÅ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45598-2025</t>
        </is>
      </c>
      <c r="B906" s="1" t="n">
        <v>45922.68771990741</v>
      </c>
      <c r="C906" s="1" t="n">
        <v>46078</v>
      </c>
      <c r="D906" t="inlineStr">
        <is>
          <t>VÄSTERBOTTENS LÄN</t>
        </is>
      </c>
      <c r="E906" t="inlineStr">
        <is>
          <t>SKELLEFTEÅ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45644-2025</t>
        </is>
      </c>
      <c r="B907" s="1" t="n">
        <v>45923.29819444445</v>
      </c>
      <c r="C907" s="1" t="n">
        <v>46078</v>
      </c>
      <c r="D907" t="inlineStr">
        <is>
          <t>VÄSTERBOTTENS LÄN</t>
        </is>
      </c>
      <c r="E907" t="inlineStr">
        <is>
          <t>SKELLEFTEÅ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45651-2025</t>
        </is>
      </c>
      <c r="B908" s="1" t="n">
        <v>45923.32945601852</v>
      </c>
      <c r="C908" s="1" t="n">
        <v>46078</v>
      </c>
      <c r="D908" t="inlineStr">
        <is>
          <t>VÄSTERBOTTENS LÄN</t>
        </is>
      </c>
      <c r="E908" t="inlineStr">
        <is>
          <t>SKELLEFTEÅ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45859-2025</t>
        </is>
      </c>
      <c r="B909" s="1" t="n">
        <v>45923.6415162037</v>
      </c>
      <c r="C909" s="1" t="n">
        <v>46078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45429-2025</t>
        </is>
      </c>
      <c r="B910" s="1" t="n">
        <v>45922.45540509259</v>
      </c>
      <c r="C910" s="1" t="n">
        <v>46078</v>
      </c>
      <c r="D910" t="inlineStr">
        <is>
          <t>VÄSTERBOTTENS LÄN</t>
        </is>
      </c>
      <c r="E910" t="inlineStr">
        <is>
          <t>SKELLEFTEÅ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45885-2025</t>
        </is>
      </c>
      <c r="B911" s="1" t="n">
        <v>45923.66508101852</v>
      </c>
      <c r="C911" s="1" t="n">
        <v>46078</v>
      </c>
      <c r="D911" t="inlineStr">
        <is>
          <t>VÄSTERBOTTENS LÄN</t>
        </is>
      </c>
      <c r="E911" t="inlineStr">
        <is>
          <t>SKELLEFTEÅ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15706-2023</t>
        </is>
      </c>
      <c r="B912" s="1" t="n">
        <v>45020</v>
      </c>
      <c r="C912" s="1" t="n">
        <v>46078</v>
      </c>
      <c r="D912" t="inlineStr">
        <is>
          <t>VÄSTERBOTTENS LÄN</t>
        </is>
      </c>
      <c r="E912" t="inlineStr">
        <is>
          <t>SKELLEFTEÅ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45365-2025</t>
        </is>
      </c>
      <c r="B913" s="1" t="n">
        <v>45922.38581018519</v>
      </c>
      <c r="C913" s="1" t="n">
        <v>46078</v>
      </c>
      <c r="D913" t="inlineStr">
        <is>
          <t>VÄSTERBOTTENS LÄN</t>
        </is>
      </c>
      <c r="E913" t="inlineStr">
        <is>
          <t>SKELLEFTEÅ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45393-2025</t>
        </is>
      </c>
      <c r="B914" s="1" t="n">
        <v>45922.40796296296</v>
      </c>
      <c r="C914" s="1" t="n">
        <v>46078</v>
      </c>
      <c r="D914" t="inlineStr">
        <is>
          <t>VÄSTERBOTTENS LÄN</t>
        </is>
      </c>
      <c r="E914" t="inlineStr">
        <is>
          <t>SKELLEFTEÅ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27400-2025</t>
        </is>
      </c>
      <c r="B915" s="1" t="n">
        <v>45812.69835648148</v>
      </c>
      <c r="C915" s="1" t="n">
        <v>46078</v>
      </c>
      <c r="D915" t="inlineStr">
        <is>
          <t>VÄSTERBOTTENS LÄN</t>
        </is>
      </c>
      <c r="E915" t="inlineStr">
        <is>
          <t>SKELLEFTEÅ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50531-2022</t>
        </is>
      </c>
      <c r="B916" s="1" t="n">
        <v>44866.57714120371</v>
      </c>
      <c r="C916" s="1" t="n">
        <v>46078</v>
      </c>
      <c r="D916" t="inlineStr">
        <is>
          <t>VÄSTERBOTTENS LÄN</t>
        </is>
      </c>
      <c r="E916" t="inlineStr">
        <is>
          <t>SKELLEFTEÅ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27437-2025</t>
        </is>
      </c>
      <c r="B917" s="1" t="n">
        <v>45813.31398148148</v>
      </c>
      <c r="C917" s="1" t="n">
        <v>46078</v>
      </c>
      <c r="D917" t="inlineStr">
        <is>
          <t>VÄSTERBOTTENS LÄN</t>
        </is>
      </c>
      <c r="E917" t="inlineStr">
        <is>
          <t>SKELLEFTEÅ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45485-2025</t>
        </is>
      </c>
      <c r="B918" s="1" t="n">
        <v>45922.54546296296</v>
      </c>
      <c r="C918" s="1" t="n">
        <v>46078</v>
      </c>
      <c r="D918" t="inlineStr">
        <is>
          <t>VÄSTERBOTTENS LÄN</t>
        </is>
      </c>
      <c r="E918" t="inlineStr">
        <is>
          <t>SKELLEFTEÅ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10568-2023</t>
        </is>
      </c>
      <c r="B919" s="1" t="n">
        <v>44981</v>
      </c>
      <c r="C919" s="1" t="n">
        <v>46078</v>
      </c>
      <c r="D919" t="inlineStr">
        <is>
          <t>VÄSTERBOTTENS LÄN</t>
        </is>
      </c>
      <c r="E919" t="inlineStr">
        <is>
          <t>SKELLEFTEÅ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45559-2025</t>
        </is>
      </c>
      <c r="B920" s="1" t="n">
        <v>45922.64508101852</v>
      </c>
      <c r="C920" s="1" t="n">
        <v>46078</v>
      </c>
      <c r="D920" t="inlineStr">
        <is>
          <t>VÄSTERBOTTENS LÄN</t>
        </is>
      </c>
      <c r="E920" t="inlineStr">
        <is>
          <t>SKELLEFTEÅ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6286-2025</t>
        </is>
      </c>
      <c r="B921" s="1" t="n">
        <v>45698</v>
      </c>
      <c r="C921" s="1" t="n">
        <v>46078</v>
      </c>
      <c r="D921" t="inlineStr">
        <is>
          <t>VÄSTERBOTTENS LÄN</t>
        </is>
      </c>
      <c r="E921" t="inlineStr">
        <is>
          <t>SKELLEFTEÅ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45732-2025</t>
        </is>
      </c>
      <c r="B922" s="1" t="n">
        <v>45923.46354166666</v>
      </c>
      <c r="C922" s="1" t="n">
        <v>46078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45655-2025</t>
        </is>
      </c>
      <c r="B923" s="1" t="n">
        <v>45923.34252314815</v>
      </c>
      <c r="C923" s="1" t="n">
        <v>46078</v>
      </c>
      <c r="D923" t="inlineStr">
        <is>
          <t>VÄSTERBOTTENS LÄN</t>
        </is>
      </c>
      <c r="E923" t="inlineStr">
        <is>
          <t>SKELLEFTEÅ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45658-2025</t>
        </is>
      </c>
      <c r="B924" s="1" t="n">
        <v>45923.34459490741</v>
      </c>
      <c r="C924" s="1" t="n">
        <v>46078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49184-2025</t>
        </is>
      </c>
      <c r="B925" s="1" t="n">
        <v>45938.39759259259</v>
      </c>
      <c r="C925" s="1" t="n">
        <v>46078</v>
      </c>
      <c r="D925" t="inlineStr">
        <is>
          <t>VÄSTERBOTTENS LÄN</t>
        </is>
      </c>
      <c r="E925" t="inlineStr">
        <is>
          <t>SKELLEFTEÅ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27442-2025</t>
        </is>
      </c>
      <c r="B926" s="1" t="n">
        <v>45813.31957175926</v>
      </c>
      <c r="C926" s="1" t="n">
        <v>46078</v>
      </c>
      <c r="D926" t="inlineStr">
        <is>
          <t>VÄSTERBOTTENS LÄN</t>
        </is>
      </c>
      <c r="E926" t="inlineStr">
        <is>
          <t>SKELLEFTEÅ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56838-2024</t>
        </is>
      </c>
      <c r="B927" s="1" t="n">
        <v>45628.50866898148</v>
      </c>
      <c r="C927" s="1" t="n">
        <v>46078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27433-2025</t>
        </is>
      </c>
      <c r="B928" s="1" t="n">
        <v>45813.31068287037</v>
      </c>
      <c r="C928" s="1" t="n">
        <v>46078</v>
      </c>
      <c r="D928" t="inlineStr">
        <is>
          <t>VÄSTERBOTTENS LÄN</t>
        </is>
      </c>
      <c r="E928" t="inlineStr">
        <is>
          <t>SKELLEFTEÅ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45779-2025</t>
        </is>
      </c>
      <c r="B929" s="1" t="n">
        <v>45923</v>
      </c>
      <c r="C929" s="1" t="n">
        <v>46078</v>
      </c>
      <c r="D929" t="inlineStr">
        <is>
          <t>VÄSTERBOTTENS LÄN</t>
        </is>
      </c>
      <c r="E929" t="inlineStr">
        <is>
          <t>SKELLEFTEÅ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45787-2025</t>
        </is>
      </c>
      <c r="B930" s="1" t="n">
        <v>45923.5621875</v>
      </c>
      <c r="C930" s="1" t="n">
        <v>46078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27578-2025</t>
        </is>
      </c>
      <c r="B931" s="1" t="n">
        <v>45813</v>
      </c>
      <c r="C931" s="1" t="n">
        <v>46078</v>
      </c>
      <c r="D931" t="inlineStr">
        <is>
          <t>VÄSTERBOTTENS LÄN</t>
        </is>
      </c>
      <c r="E931" t="inlineStr">
        <is>
          <t>SKELLEFTEÅ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27579-2025</t>
        </is>
      </c>
      <c r="B932" s="1" t="n">
        <v>45813</v>
      </c>
      <c r="C932" s="1" t="n">
        <v>46078</v>
      </c>
      <c r="D932" t="inlineStr">
        <is>
          <t>VÄSTERBOTTENS LÄN</t>
        </is>
      </c>
      <c r="E932" t="inlineStr">
        <is>
          <t>SKELLEFTEÅ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45964-2025</t>
        </is>
      </c>
      <c r="B933" s="1" t="n">
        <v>45924.3553587963</v>
      </c>
      <c r="C933" s="1" t="n">
        <v>46078</v>
      </c>
      <c r="D933" t="inlineStr">
        <is>
          <t>VÄSTERBOTTENS LÄN</t>
        </is>
      </c>
      <c r="E933" t="inlineStr">
        <is>
          <t>SKELLEFTEÅ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27144-2025</t>
        </is>
      </c>
      <c r="B934" s="1" t="n">
        <v>45812.28108796296</v>
      </c>
      <c r="C934" s="1" t="n">
        <v>46078</v>
      </c>
      <c r="D934" t="inlineStr">
        <is>
          <t>VÄSTERBOTTENS LÄN</t>
        </is>
      </c>
      <c r="E934" t="inlineStr">
        <is>
          <t>SKELLEFTEÅ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16415-2025</t>
        </is>
      </c>
      <c r="B935" s="1" t="n">
        <v>45751.46192129629</v>
      </c>
      <c r="C935" s="1" t="n">
        <v>46078</v>
      </c>
      <c r="D935" t="inlineStr">
        <is>
          <t>VÄSTERBOTTENS LÄN</t>
        </is>
      </c>
      <c r="E935" t="inlineStr">
        <is>
          <t>SKELLEFTEÅ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46480-2025</t>
        </is>
      </c>
      <c r="B936" s="1" t="n">
        <v>45925.6988425926</v>
      </c>
      <c r="C936" s="1" t="n">
        <v>46078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Sveaskog</t>
        </is>
      </c>
      <c r="G936" t="n">
        <v>13.8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46291-2025</t>
        </is>
      </c>
      <c r="B937" s="1" t="n">
        <v>45925</v>
      </c>
      <c r="C937" s="1" t="n">
        <v>46078</v>
      </c>
      <c r="D937" t="inlineStr">
        <is>
          <t>VÄSTERBOTTENS LÄN</t>
        </is>
      </c>
      <c r="E937" t="inlineStr">
        <is>
          <t>SKELLEFTEÅ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6448-2024</t>
        </is>
      </c>
      <c r="B938" s="1" t="n">
        <v>45338.67314814815</v>
      </c>
      <c r="C938" s="1" t="n">
        <v>46078</v>
      </c>
      <c r="D938" t="inlineStr">
        <is>
          <t>VÄSTERBOTTENS LÄN</t>
        </is>
      </c>
      <c r="E938" t="inlineStr">
        <is>
          <t>SKELLEFTEÅ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43599-2024</t>
        </is>
      </c>
      <c r="B939" s="1" t="n">
        <v>45569</v>
      </c>
      <c r="C939" s="1" t="n">
        <v>46078</v>
      </c>
      <c r="D939" t="inlineStr">
        <is>
          <t>VÄSTERBOTTENS LÄN</t>
        </is>
      </c>
      <c r="E939" t="inlineStr">
        <is>
          <t>SKELLEFTEÅ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16409-2025</t>
        </is>
      </c>
      <c r="B940" s="1" t="n">
        <v>45751.45391203704</v>
      </c>
      <c r="C940" s="1" t="n">
        <v>46078</v>
      </c>
      <c r="D940" t="inlineStr">
        <is>
          <t>VÄSTERBOTTENS LÄN</t>
        </is>
      </c>
      <c r="E940" t="inlineStr">
        <is>
          <t>SKELLEFTEÅ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58830-2024</t>
        </is>
      </c>
      <c r="B941" s="1" t="n">
        <v>45636</v>
      </c>
      <c r="C941" s="1" t="n">
        <v>46078</v>
      </c>
      <c r="D941" t="inlineStr">
        <is>
          <t>VÄSTERBOTTENS LÄN</t>
        </is>
      </c>
      <c r="E941" t="inlineStr">
        <is>
          <t>SKELLEFTEÅ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27875-2025</t>
        </is>
      </c>
      <c r="B942" s="1" t="n">
        <v>45817.43524305556</v>
      </c>
      <c r="C942" s="1" t="n">
        <v>46078</v>
      </c>
      <c r="D942" t="inlineStr">
        <is>
          <t>VÄSTERBOTTENS LÄN</t>
        </is>
      </c>
      <c r="E942" t="inlineStr">
        <is>
          <t>SKELLEFTEÅ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27877-2025</t>
        </is>
      </c>
      <c r="B943" s="1" t="n">
        <v>45817.44212962963</v>
      </c>
      <c r="C943" s="1" t="n">
        <v>46078</v>
      </c>
      <c r="D943" t="inlineStr">
        <is>
          <t>VÄSTERBOTTENS LÄN</t>
        </is>
      </c>
      <c r="E943" t="inlineStr">
        <is>
          <t>SKELLEFTEÅ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16201-2025</t>
        </is>
      </c>
      <c r="B944" s="1" t="n">
        <v>45750</v>
      </c>
      <c r="C944" s="1" t="n">
        <v>46078</v>
      </c>
      <c r="D944" t="inlineStr">
        <is>
          <t>VÄSTERBOTTENS LÄN</t>
        </is>
      </c>
      <c r="E944" t="inlineStr">
        <is>
          <t>SKELLEFTEÅ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46350-2025</t>
        </is>
      </c>
      <c r="B945" s="1" t="n">
        <v>45925.48527777778</v>
      </c>
      <c r="C945" s="1" t="n">
        <v>46078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21.2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46273-2025</t>
        </is>
      </c>
      <c r="B946" s="1" t="n">
        <v>45925.3700925926</v>
      </c>
      <c r="C946" s="1" t="n">
        <v>46078</v>
      </c>
      <c r="D946" t="inlineStr">
        <is>
          <t>VÄSTERBOTTENS LÄN</t>
        </is>
      </c>
      <c r="E946" t="inlineStr">
        <is>
          <t>SKELLEFTEÅ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46276-2025</t>
        </is>
      </c>
      <c r="B947" s="1" t="n">
        <v>45925.37224537037</v>
      </c>
      <c r="C947" s="1" t="n">
        <v>46078</v>
      </c>
      <c r="D947" t="inlineStr">
        <is>
          <t>VÄSTERBOTTENS LÄN</t>
        </is>
      </c>
      <c r="E947" t="inlineStr">
        <is>
          <t>SKELLEFTEÅ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28327-2025</t>
        </is>
      </c>
      <c r="B948" s="1" t="n">
        <v>45817</v>
      </c>
      <c r="C948" s="1" t="n">
        <v>46078</v>
      </c>
      <c r="D948" t="inlineStr">
        <is>
          <t>VÄSTERBOTTENS LÄN</t>
        </is>
      </c>
      <c r="E948" t="inlineStr">
        <is>
          <t>SKELLEFTEÅ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11956-2025</t>
        </is>
      </c>
      <c r="B949" s="1" t="n">
        <v>45728.56809027777</v>
      </c>
      <c r="C949" s="1" t="n">
        <v>46078</v>
      </c>
      <c r="D949" t="inlineStr">
        <is>
          <t>VÄSTERBOTTENS LÄN</t>
        </is>
      </c>
      <c r="E949" t="inlineStr">
        <is>
          <t>SKELLEFTEÅ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35168-2024</t>
        </is>
      </c>
      <c r="B950" s="1" t="n">
        <v>45530.40608796296</v>
      </c>
      <c r="C950" s="1" t="n">
        <v>46078</v>
      </c>
      <c r="D950" t="inlineStr">
        <is>
          <t>VÄSTERBOTTENS LÄN</t>
        </is>
      </c>
      <c r="E950" t="inlineStr">
        <is>
          <t>SKELLEFTEÅ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11638-2023</t>
        </is>
      </c>
      <c r="B951" s="1" t="n">
        <v>44994.44827546296</v>
      </c>
      <c r="C951" s="1" t="n">
        <v>46078</v>
      </c>
      <c r="D951" t="inlineStr">
        <is>
          <t>VÄSTERBOTTENS LÄN</t>
        </is>
      </c>
      <c r="E951" t="inlineStr">
        <is>
          <t>SKELLEFTEÅ</t>
        </is>
      </c>
      <c r="G951" t="n">
        <v>19.8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46278-2025</t>
        </is>
      </c>
      <c r="B952" s="1" t="n">
        <v>45925.37530092592</v>
      </c>
      <c r="C952" s="1" t="n">
        <v>46078</v>
      </c>
      <c r="D952" t="inlineStr">
        <is>
          <t>VÄSTERBOTTENS LÄN</t>
        </is>
      </c>
      <c r="E952" t="inlineStr">
        <is>
          <t>SKELLEFTEÅ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12009-2022</t>
        </is>
      </c>
      <c r="B953" s="1" t="n">
        <v>44635</v>
      </c>
      <c r="C953" s="1" t="n">
        <v>46078</v>
      </c>
      <c r="D953" t="inlineStr">
        <is>
          <t>VÄSTERBOTTENS LÄN</t>
        </is>
      </c>
      <c r="E953" t="inlineStr">
        <is>
          <t>SKELLEFTEÅ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64723-2023</t>
        </is>
      </c>
      <c r="B954" s="1" t="n">
        <v>45281</v>
      </c>
      <c r="C954" s="1" t="n">
        <v>46078</v>
      </c>
      <c r="D954" t="inlineStr">
        <is>
          <t>VÄSTERBOTTENS LÄN</t>
        </is>
      </c>
      <c r="E954" t="inlineStr">
        <is>
          <t>SKELLEFTEÅ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57569-2022</t>
        </is>
      </c>
      <c r="B955" s="1" t="n">
        <v>44896.92769675926</v>
      </c>
      <c r="C955" s="1" t="n">
        <v>46078</v>
      </c>
      <c r="D955" t="inlineStr">
        <is>
          <t>VÄSTERBOTTENS LÄN</t>
        </is>
      </c>
      <c r="E955" t="inlineStr">
        <is>
          <t>SKELLEFTEÅ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57577-2022</t>
        </is>
      </c>
      <c r="B956" s="1" t="n">
        <v>44896.92947916667</v>
      </c>
      <c r="C956" s="1" t="n">
        <v>46078</v>
      </c>
      <c r="D956" t="inlineStr">
        <is>
          <t>VÄSTERBOTTENS LÄN</t>
        </is>
      </c>
      <c r="E956" t="inlineStr">
        <is>
          <t>SKELLEFTEÅ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26546-2024</t>
        </is>
      </c>
      <c r="B957" s="1" t="n">
        <v>45469.61939814815</v>
      </c>
      <c r="C957" s="1" t="n">
        <v>46078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28337-2025</t>
        </is>
      </c>
      <c r="B958" s="1" t="n">
        <v>45817</v>
      </c>
      <c r="C958" s="1" t="n">
        <v>46078</v>
      </c>
      <c r="D958" t="inlineStr">
        <is>
          <t>VÄSTERBOTTENS LÄN</t>
        </is>
      </c>
      <c r="E958" t="inlineStr">
        <is>
          <t>SKELLEFTEÅ</t>
        </is>
      </c>
      <c r="G958" t="n">
        <v>16.4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48620-2024</t>
        </is>
      </c>
      <c r="B959" s="1" t="n">
        <v>45593</v>
      </c>
      <c r="C959" s="1" t="n">
        <v>46078</v>
      </c>
      <c r="D959" t="inlineStr">
        <is>
          <t>VÄSTERBOTTENS LÄN</t>
        </is>
      </c>
      <c r="E959" t="inlineStr">
        <is>
          <t>SKELLEFTEÅ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27869-2025</t>
        </is>
      </c>
      <c r="B960" s="1" t="n">
        <v>45817.42847222222</v>
      </c>
      <c r="C960" s="1" t="n">
        <v>46078</v>
      </c>
      <c r="D960" t="inlineStr">
        <is>
          <t>VÄSTERBOTTENS LÄN</t>
        </is>
      </c>
      <c r="E960" t="inlineStr">
        <is>
          <t>SKELLEFTEÅ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27715-2025</t>
        </is>
      </c>
      <c r="B961" s="1" t="n">
        <v>45813.92237268519</v>
      </c>
      <c r="C961" s="1" t="n">
        <v>46078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27876-2025</t>
        </is>
      </c>
      <c r="B962" s="1" t="n">
        <v>45817.43787037037</v>
      </c>
      <c r="C962" s="1" t="n">
        <v>46078</v>
      </c>
      <c r="D962" t="inlineStr">
        <is>
          <t>VÄSTERBOTTENS LÄN</t>
        </is>
      </c>
      <c r="E962" t="inlineStr">
        <is>
          <t>SKELLEFTEÅ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48093-2024</t>
        </is>
      </c>
      <c r="B963" s="1" t="n">
        <v>45589.60805555555</v>
      </c>
      <c r="C963" s="1" t="n">
        <v>46078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28221-2025</t>
        </is>
      </c>
      <c r="B964" s="1" t="n">
        <v>45818</v>
      </c>
      <c r="C964" s="1" t="n">
        <v>46078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49461-2025</t>
        </is>
      </c>
      <c r="B965" s="1" t="n">
        <v>45939.32128472222</v>
      </c>
      <c r="C965" s="1" t="n">
        <v>46078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27864-2025</t>
        </is>
      </c>
      <c r="B966" s="1" t="n">
        <v>45817.42127314815</v>
      </c>
      <c r="C966" s="1" t="n">
        <v>46078</v>
      </c>
      <c r="D966" t="inlineStr">
        <is>
          <t>VÄSTERBOTTENS LÄN</t>
        </is>
      </c>
      <c r="E966" t="inlineStr">
        <is>
          <t>SKELLEFTEÅ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28311-2025</t>
        </is>
      </c>
      <c r="B967" s="1" t="n">
        <v>45818.62216435185</v>
      </c>
      <c r="C967" s="1" t="n">
        <v>46078</v>
      </c>
      <c r="D967" t="inlineStr">
        <is>
          <t>VÄSTERBOTTENS LÄN</t>
        </is>
      </c>
      <c r="E967" t="inlineStr">
        <is>
          <t>SKELLEFTEÅ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28316-2025</t>
        </is>
      </c>
      <c r="B968" s="1" t="n">
        <v>45818.62799768519</v>
      </c>
      <c r="C968" s="1" t="n">
        <v>46078</v>
      </c>
      <c r="D968" t="inlineStr">
        <is>
          <t>VÄSTERBOTTENS LÄN</t>
        </is>
      </c>
      <c r="E968" t="inlineStr">
        <is>
          <t>SKELLEFTEÅ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28360-2025</t>
        </is>
      </c>
      <c r="B969" s="1" t="n">
        <v>45818.80997685185</v>
      </c>
      <c r="C969" s="1" t="n">
        <v>46078</v>
      </c>
      <c r="D969" t="inlineStr">
        <is>
          <t>VÄSTERBOTTENS LÄN</t>
        </is>
      </c>
      <c r="E969" t="inlineStr">
        <is>
          <t>SKELLEFTEÅ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46822-2025</t>
        </is>
      </c>
      <c r="B970" s="1" t="n">
        <v>45926.76329861111</v>
      </c>
      <c r="C970" s="1" t="n">
        <v>46078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Sveaskog</t>
        </is>
      </c>
      <c r="G970" t="n">
        <v>14.7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46904-2025</t>
        </is>
      </c>
      <c r="B971" s="1" t="n">
        <v>45929</v>
      </c>
      <c r="C971" s="1" t="n">
        <v>46078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Kyrkan</t>
        </is>
      </c>
      <c r="G971" t="n">
        <v>21.8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28359-2025</t>
        </is>
      </c>
      <c r="B972" s="1" t="n">
        <v>45818.79951388889</v>
      </c>
      <c r="C972" s="1" t="n">
        <v>46078</v>
      </c>
      <c r="D972" t="inlineStr">
        <is>
          <t>VÄSTERBOTTENS LÄN</t>
        </is>
      </c>
      <c r="E972" t="inlineStr">
        <is>
          <t>SKELLEFTEÅ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58555-2023</t>
        </is>
      </c>
      <c r="B973" s="1" t="n">
        <v>45251.43552083334</v>
      </c>
      <c r="C973" s="1" t="n">
        <v>46078</v>
      </c>
      <c r="D973" t="inlineStr">
        <is>
          <t>VÄSTERBOTTENS LÄN</t>
        </is>
      </c>
      <c r="E973" t="inlineStr">
        <is>
          <t>SKELLEFTEÅ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16219-2025</t>
        </is>
      </c>
      <c r="B974" s="1" t="n">
        <v>45750</v>
      </c>
      <c r="C974" s="1" t="n">
        <v>46078</v>
      </c>
      <c r="D974" t="inlineStr">
        <is>
          <t>VÄSTERBOTTENS LÄN</t>
        </is>
      </c>
      <c r="E974" t="inlineStr">
        <is>
          <t>SKELLEFTEÅ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28577-2025</t>
        </is>
      </c>
      <c r="B975" s="1" t="n">
        <v>45819</v>
      </c>
      <c r="C975" s="1" t="n">
        <v>46078</v>
      </c>
      <c r="D975" t="inlineStr">
        <is>
          <t>VÄSTERBOTTENS LÄN</t>
        </is>
      </c>
      <c r="E975" t="inlineStr">
        <is>
          <t>SKELLEFTEÅ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19731-2025</t>
        </is>
      </c>
      <c r="B976" s="1" t="n">
        <v>45771.36564814814</v>
      </c>
      <c r="C976" s="1" t="n">
        <v>46078</v>
      </c>
      <c r="D976" t="inlineStr">
        <is>
          <t>VÄSTERBOTTENS LÄN</t>
        </is>
      </c>
      <c r="E976" t="inlineStr">
        <is>
          <t>SKELLEFTEÅ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28114-2025</t>
        </is>
      </c>
      <c r="B977" s="1" t="n">
        <v>45817.96760416667</v>
      </c>
      <c r="C977" s="1" t="n">
        <v>46078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Sveaskog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3944-2022</t>
        </is>
      </c>
      <c r="B978" s="1" t="n">
        <v>44587</v>
      </c>
      <c r="C978" s="1" t="n">
        <v>46078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Kommuner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37134-2023</t>
        </is>
      </c>
      <c r="B979" s="1" t="n">
        <v>45155.57627314814</v>
      </c>
      <c r="C979" s="1" t="n">
        <v>46078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28373-2025</t>
        </is>
      </c>
      <c r="B980" s="1" t="n">
        <v>45819</v>
      </c>
      <c r="C980" s="1" t="n">
        <v>46078</v>
      </c>
      <c r="D980" t="inlineStr">
        <is>
          <t>VÄSTERBOTTENS LÄN</t>
        </is>
      </c>
      <c r="E980" t="inlineStr">
        <is>
          <t>SKELLEFTEÅ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44829-2024</t>
        </is>
      </c>
      <c r="B981" s="1" t="n">
        <v>45574.67832175926</v>
      </c>
      <c r="C981" s="1" t="n">
        <v>46078</v>
      </c>
      <c r="D981" t="inlineStr">
        <is>
          <t>VÄSTERBOTTENS LÄN</t>
        </is>
      </c>
      <c r="E981" t="inlineStr">
        <is>
          <t>SKELLEFTEÅ</t>
        </is>
      </c>
      <c r="G981" t="n">
        <v>13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55739-2023</t>
        </is>
      </c>
      <c r="B982" s="1" t="n">
        <v>45239</v>
      </c>
      <c r="C982" s="1" t="n">
        <v>46078</v>
      </c>
      <c r="D982" t="inlineStr">
        <is>
          <t>VÄSTERBOTTENS LÄN</t>
        </is>
      </c>
      <c r="E982" t="inlineStr">
        <is>
          <t>SKELLEFTEÅ</t>
        </is>
      </c>
      <c r="G982" t="n">
        <v>8.800000000000001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55744-2023</t>
        </is>
      </c>
      <c r="B983" s="1" t="n">
        <v>45239.4444212963</v>
      </c>
      <c r="C983" s="1" t="n">
        <v>46078</v>
      </c>
      <c r="D983" t="inlineStr">
        <is>
          <t>VÄSTERBOTTENS LÄN</t>
        </is>
      </c>
      <c r="E983" t="inlineStr">
        <is>
          <t>SKELLEFTEÅ</t>
        </is>
      </c>
      <c r="G983" t="n">
        <v>12.4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59945-2023</t>
        </is>
      </c>
      <c r="B984" s="1" t="n">
        <v>45254</v>
      </c>
      <c r="C984" s="1" t="n">
        <v>46078</v>
      </c>
      <c r="D984" t="inlineStr">
        <is>
          <t>VÄSTERBOTTENS LÄN</t>
        </is>
      </c>
      <c r="E984" t="inlineStr">
        <is>
          <t>SKELLEFTEÅ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57578-2022</t>
        </is>
      </c>
      <c r="B985" s="1" t="n">
        <v>44896.93035879629</v>
      </c>
      <c r="C985" s="1" t="n">
        <v>46078</v>
      </c>
      <c r="D985" t="inlineStr">
        <is>
          <t>VÄSTERBOTTENS LÄN</t>
        </is>
      </c>
      <c r="E985" t="inlineStr">
        <is>
          <t>SKELLEFTEÅ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57583-2022</t>
        </is>
      </c>
      <c r="B986" s="1" t="n">
        <v>44896.9309375</v>
      </c>
      <c r="C986" s="1" t="n">
        <v>46078</v>
      </c>
      <c r="D986" t="inlineStr">
        <is>
          <t>VÄSTERBOTTENS LÄN</t>
        </is>
      </c>
      <c r="E986" t="inlineStr">
        <is>
          <t>SKELLEFTEÅ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46613-2025</t>
        </is>
      </c>
      <c r="B987" s="1" t="n">
        <v>45926.42726851852</v>
      </c>
      <c r="C987" s="1" t="n">
        <v>46078</v>
      </c>
      <c r="D987" t="inlineStr">
        <is>
          <t>VÄSTERBOTTENS LÄN</t>
        </is>
      </c>
      <c r="E987" t="inlineStr">
        <is>
          <t>SKELLEFTEÅ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28377-2025</t>
        </is>
      </c>
      <c r="B988" s="1" t="n">
        <v>45819</v>
      </c>
      <c r="C988" s="1" t="n">
        <v>46078</v>
      </c>
      <c r="D988" t="inlineStr">
        <is>
          <t>VÄSTERBOTTENS LÄN</t>
        </is>
      </c>
      <c r="E988" t="inlineStr">
        <is>
          <t>SKELLEFTEÅ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47138-2025</t>
        </is>
      </c>
      <c r="B989" s="1" t="n">
        <v>45929.69899305556</v>
      </c>
      <c r="C989" s="1" t="n">
        <v>46078</v>
      </c>
      <c r="D989" t="inlineStr">
        <is>
          <t>VÄSTERBOTTENS LÄN</t>
        </is>
      </c>
      <c r="E989" t="inlineStr">
        <is>
          <t>SKELLEFTEÅ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46496-2025</t>
        </is>
      </c>
      <c r="B990" s="1" t="n">
        <v>45925.83113425926</v>
      </c>
      <c r="C990" s="1" t="n">
        <v>46078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Sveaskog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28408-2025</t>
        </is>
      </c>
      <c r="B991" s="1" t="n">
        <v>45819.34600694444</v>
      </c>
      <c r="C991" s="1" t="n">
        <v>46078</v>
      </c>
      <c r="D991" t="inlineStr">
        <is>
          <t>VÄSTERBOTTENS LÄN</t>
        </is>
      </c>
      <c r="E991" t="inlineStr">
        <is>
          <t>SKELLEFTEÅ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28354-2025</t>
        </is>
      </c>
      <c r="B992" s="1" t="n">
        <v>45818.77484953704</v>
      </c>
      <c r="C992" s="1" t="n">
        <v>46078</v>
      </c>
      <c r="D992" t="inlineStr">
        <is>
          <t>VÄSTERBOTTENS LÄN</t>
        </is>
      </c>
      <c r="E992" t="inlineStr">
        <is>
          <t>SKELLEFTEÅ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28358-2025</t>
        </is>
      </c>
      <c r="B993" s="1" t="n">
        <v>45818.79246527778</v>
      </c>
      <c r="C993" s="1" t="n">
        <v>46078</v>
      </c>
      <c r="D993" t="inlineStr">
        <is>
          <t>VÄSTERBOTTENS LÄN</t>
        </is>
      </c>
      <c r="E993" t="inlineStr">
        <is>
          <t>SKELLEFTEÅ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28220-2025</t>
        </is>
      </c>
      <c r="B994" s="1" t="n">
        <v>45818.47373842593</v>
      </c>
      <c r="C994" s="1" t="n">
        <v>46078</v>
      </c>
      <c r="D994" t="inlineStr">
        <is>
          <t>VÄSTERBOTTENS LÄN</t>
        </is>
      </c>
      <c r="E994" t="inlineStr">
        <is>
          <t>SKELLEFTEÅ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46627-2025</t>
        </is>
      </c>
      <c r="B995" s="1" t="n">
        <v>45926.44899305556</v>
      </c>
      <c r="C995" s="1" t="n">
        <v>46078</v>
      </c>
      <c r="D995" t="inlineStr">
        <is>
          <t>VÄSTERBOTTENS LÄN</t>
        </is>
      </c>
      <c r="E995" t="inlineStr">
        <is>
          <t>SKELLEFTEÅ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29134-2025</t>
        </is>
      </c>
      <c r="B996" s="1" t="n">
        <v>45821.60568287037</v>
      </c>
      <c r="C996" s="1" t="n">
        <v>46078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10852-2023</t>
        </is>
      </c>
      <c r="B997" s="1" t="n">
        <v>44985</v>
      </c>
      <c r="C997" s="1" t="n">
        <v>46078</v>
      </c>
      <c r="D997" t="inlineStr">
        <is>
          <t>VÄSTERBOTTENS LÄN</t>
        </is>
      </c>
      <c r="E997" t="inlineStr">
        <is>
          <t>SKELLEFTEÅ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17842-2023</t>
        </is>
      </c>
      <c r="B998" s="1" t="n">
        <v>45037.65628472222</v>
      </c>
      <c r="C998" s="1" t="n">
        <v>46078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47674-2025</t>
        </is>
      </c>
      <c r="B999" s="1" t="n">
        <v>45931</v>
      </c>
      <c r="C999" s="1" t="n">
        <v>46078</v>
      </c>
      <c r="D999" t="inlineStr">
        <is>
          <t>VÄSTERBOTTENS LÄN</t>
        </is>
      </c>
      <c r="E999" t="inlineStr">
        <is>
          <t>SKELLEFTEÅ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28787-2025</t>
        </is>
      </c>
      <c r="B1000" s="1" t="n">
        <v>45820.46806712963</v>
      </c>
      <c r="C1000" s="1" t="n">
        <v>46078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47243-2025</t>
        </is>
      </c>
      <c r="B1001" s="1" t="n">
        <v>45930</v>
      </c>
      <c r="C1001" s="1" t="n">
        <v>46078</v>
      </c>
      <c r="D1001" t="inlineStr">
        <is>
          <t>VÄSTERBOTTENS LÄN</t>
        </is>
      </c>
      <c r="E1001" t="inlineStr">
        <is>
          <t>SKELLEFTEÅ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45421-2024</t>
        </is>
      </c>
      <c r="B1002" s="1" t="n">
        <v>45576.60200231482</v>
      </c>
      <c r="C1002" s="1" t="n">
        <v>46078</v>
      </c>
      <c r="D1002" t="inlineStr">
        <is>
          <t>VÄSTERBOTTENS LÄN</t>
        </is>
      </c>
      <c r="E1002" t="inlineStr">
        <is>
          <t>SKELLEFTEÅ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28777-2025</t>
        </is>
      </c>
      <c r="B1003" s="1" t="n">
        <v>45820.44814814815</v>
      </c>
      <c r="C1003" s="1" t="n">
        <v>46078</v>
      </c>
      <c r="D1003" t="inlineStr">
        <is>
          <t>VÄSTERBOTTENS LÄN</t>
        </is>
      </c>
      <c r="E1003" t="inlineStr">
        <is>
          <t>SKELLEFTEÅ</t>
        </is>
      </c>
      <c r="G1003" t="n">
        <v>12.4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47309-2025</t>
        </is>
      </c>
      <c r="B1004" s="1" t="n">
        <v>45930.53519675926</v>
      </c>
      <c r="C1004" s="1" t="n">
        <v>46078</v>
      </c>
      <c r="D1004" t="inlineStr">
        <is>
          <t>VÄSTERBOTTENS LÄN</t>
        </is>
      </c>
      <c r="E1004" t="inlineStr">
        <is>
          <t>SKELLEFTEÅ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47246-2025</t>
        </is>
      </c>
      <c r="B1005" s="1" t="n">
        <v>45930.42961805555</v>
      </c>
      <c r="C1005" s="1" t="n">
        <v>46078</v>
      </c>
      <c r="D1005" t="inlineStr">
        <is>
          <t>VÄSTERBOTTENS LÄN</t>
        </is>
      </c>
      <c r="E1005" t="inlineStr">
        <is>
          <t>SKELLEFTEÅ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28989-2025</t>
        </is>
      </c>
      <c r="B1006" s="1" t="n">
        <v>45821.37027777778</v>
      </c>
      <c r="C1006" s="1" t="n">
        <v>46078</v>
      </c>
      <c r="D1006" t="inlineStr">
        <is>
          <t>VÄSTERBOTTENS LÄN</t>
        </is>
      </c>
      <c r="E1006" t="inlineStr">
        <is>
          <t>SKELLEFTEÅ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47667-2025</t>
        </is>
      </c>
      <c r="B1007" s="1" t="n">
        <v>45931</v>
      </c>
      <c r="C1007" s="1" t="n">
        <v>46078</v>
      </c>
      <c r="D1007" t="inlineStr">
        <is>
          <t>VÄSTERBOTTENS LÄN</t>
        </is>
      </c>
      <c r="E1007" t="inlineStr">
        <is>
          <t>SKELLEFTEÅ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28984-2025</t>
        </is>
      </c>
      <c r="B1008" s="1" t="n">
        <v>45821.36861111111</v>
      </c>
      <c r="C1008" s="1" t="n">
        <v>46078</v>
      </c>
      <c r="D1008" t="inlineStr">
        <is>
          <t>VÄSTERBOTTENS LÄN</t>
        </is>
      </c>
      <c r="E1008" t="inlineStr">
        <is>
          <t>SKELLEFTEÅ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544-2025</t>
        </is>
      </c>
      <c r="B1009" s="1" t="n">
        <v>45660</v>
      </c>
      <c r="C1009" s="1" t="n">
        <v>46078</v>
      </c>
      <c r="D1009" t="inlineStr">
        <is>
          <t>VÄSTERBOTTENS LÄN</t>
        </is>
      </c>
      <c r="E1009" t="inlineStr">
        <is>
          <t>SKELLEFTEÅ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40036-2025</t>
        </is>
      </c>
      <c r="B1010" s="1" t="n">
        <v>45894</v>
      </c>
      <c r="C1010" s="1" t="n">
        <v>46078</v>
      </c>
      <c r="D1010" t="inlineStr">
        <is>
          <t>VÄSTERBOTTENS LÄN</t>
        </is>
      </c>
      <c r="E1010" t="inlineStr">
        <is>
          <t>SKELLEFTEÅ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59180-2021</t>
        </is>
      </c>
      <c r="B1011" s="1" t="n">
        <v>44489</v>
      </c>
      <c r="C1011" s="1" t="n">
        <v>46078</v>
      </c>
      <c r="D1011" t="inlineStr">
        <is>
          <t>VÄSTERBOTTENS LÄN</t>
        </is>
      </c>
      <c r="E1011" t="inlineStr">
        <is>
          <t>SKELLEFTEÅ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22516-2023</t>
        </is>
      </c>
      <c r="B1012" s="1" t="n">
        <v>45069</v>
      </c>
      <c r="C1012" s="1" t="n">
        <v>46078</v>
      </c>
      <c r="D1012" t="inlineStr">
        <is>
          <t>VÄSTERBOTTENS LÄN</t>
        </is>
      </c>
      <c r="E1012" t="inlineStr">
        <is>
          <t>SKELLEFTEÅ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28804-2025</t>
        </is>
      </c>
      <c r="B1013" s="1" t="n">
        <v>45820.50423611111</v>
      </c>
      <c r="C1013" s="1" t="n">
        <v>46078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28148-2023</t>
        </is>
      </c>
      <c r="B1014" s="1" t="n">
        <v>45099.48684027778</v>
      </c>
      <c r="C1014" s="1" t="n">
        <v>46078</v>
      </c>
      <c r="D1014" t="inlineStr">
        <is>
          <t>VÄSTERBOTTENS LÄN</t>
        </is>
      </c>
      <c r="E1014" t="inlineStr">
        <is>
          <t>SKELLEFTEÅ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54880-2024</t>
        </is>
      </c>
      <c r="B1015" s="1" t="n">
        <v>45618.61046296296</v>
      </c>
      <c r="C1015" s="1" t="n">
        <v>46078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Sveaskog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28171-2023</t>
        </is>
      </c>
      <c r="B1016" s="1" t="n">
        <v>45096</v>
      </c>
      <c r="C1016" s="1" t="n">
        <v>46078</v>
      </c>
      <c r="D1016" t="inlineStr">
        <is>
          <t>VÄSTERBOTTENS LÄN</t>
        </is>
      </c>
      <c r="E1016" t="inlineStr">
        <is>
          <t>SKELLEFTEÅ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47447-2025</t>
        </is>
      </c>
      <c r="B1017" s="1" t="n">
        <v>45930.64424768519</v>
      </c>
      <c r="C1017" s="1" t="n">
        <v>46078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Holmen skog AB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29277-2025</t>
        </is>
      </c>
      <c r="B1018" s="1" t="n">
        <v>45824.41894675926</v>
      </c>
      <c r="C1018" s="1" t="n">
        <v>46078</v>
      </c>
      <c r="D1018" t="inlineStr">
        <is>
          <t>VÄSTERBOTTENS LÄN</t>
        </is>
      </c>
      <c r="E1018" t="inlineStr">
        <is>
          <t>SKELLEFTEÅ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29455-2025</t>
        </is>
      </c>
      <c r="B1019" s="1" t="n">
        <v>45824.68148148148</v>
      </c>
      <c r="C1019" s="1" t="n">
        <v>46078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47238-2025</t>
        </is>
      </c>
      <c r="B1020" s="1" t="n">
        <v>45930.41980324074</v>
      </c>
      <c r="C1020" s="1" t="n">
        <v>46078</v>
      </c>
      <c r="D1020" t="inlineStr">
        <is>
          <t>VÄSTERBOTTENS LÄN</t>
        </is>
      </c>
      <c r="E1020" t="inlineStr">
        <is>
          <t>SKELLEFTEÅ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52062-2023</t>
        </is>
      </c>
      <c r="B1021" s="1" t="n">
        <v>45216</v>
      </c>
      <c r="C1021" s="1" t="n">
        <v>46078</v>
      </c>
      <c r="D1021" t="inlineStr">
        <is>
          <t>VÄSTERBOTTENS LÄN</t>
        </is>
      </c>
      <c r="E1021" t="inlineStr">
        <is>
          <t>SKELLEFTEÅ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61145-2023</t>
        </is>
      </c>
      <c r="B1022" s="1" t="n">
        <v>45261.96739583334</v>
      </c>
      <c r="C1022" s="1" t="n">
        <v>46078</v>
      </c>
      <c r="D1022" t="inlineStr">
        <is>
          <t>VÄSTERBOTTENS LÄN</t>
        </is>
      </c>
      <c r="E1022" t="inlineStr">
        <is>
          <t>SKELLEFTEÅ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29413-2025</t>
        </is>
      </c>
      <c r="B1023" s="1" t="n">
        <v>45824.62412037037</v>
      </c>
      <c r="C1023" s="1" t="n">
        <v>46078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13.2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42621-2025</t>
        </is>
      </c>
      <c r="B1024" s="1" t="n">
        <v>45905</v>
      </c>
      <c r="C1024" s="1" t="n">
        <v>46078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25515-2021</t>
        </is>
      </c>
      <c r="B1025" s="1" t="n">
        <v>44342.94759259259</v>
      </c>
      <c r="C1025" s="1" t="n">
        <v>46078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SCA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70748-2021</t>
        </is>
      </c>
      <c r="B1026" s="1" t="n">
        <v>44537.63729166667</v>
      </c>
      <c r="C1026" s="1" t="n">
        <v>46078</v>
      </c>
      <c r="D1026" t="inlineStr">
        <is>
          <t>VÄSTERBOTTENS LÄN</t>
        </is>
      </c>
      <c r="E1026" t="inlineStr">
        <is>
          <t>SKELLEFTEÅ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28291-2021</t>
        </is>
      </c>
      <c r="B1027" s="1" t="n">
        <v>44356.27717592593</v>
      </c>
      <c r="C1027" s="1" t="n">
        <v>46078</v>
      </c>
      <c r="D1027" t="inlineStr">
        <is>
          <t>VÄSTERBOTTENS LÄN</t>
        </is>
      </c>
      <c r="E1027" t="inlineStr">
        <is>
          <t>SKELLEFTEÅ</t>
        </is>
      </c>
      <c r="G1027" t="n">
        <v>10.1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35338-2023</t>
        </is>
      </c>
      <c r="B1028" s="1" t="n">
        <v>45145</v>
      </c>
      <c r="C1028" s="1" t="n">
        <v>46078</v>
      </c>
      <c r="D1028" t="inlineStr">
        <is>
          <t>VÄSTERBOTTENS LÄN</t>
        </is>
      </c>
      <c r="E1028" t="inlineStr">
        <is>
          <t>SKELLEFTEÅ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47739-2025</t>
        </is>
      </c>
      <c r="B1029" s="1" t="n">
        <v>45931.6430787037</v>
      </c>
      <c r="C1029" s="1" t="n">
        <v>46078</v>
      </c>
      <c r="D1029" t="inlineStr">
        <is>
          <t>VÄSTERBOTTENS LÄN</t>
        </is>
      </c>
      <c r="E1029" t="inlineStr">
        <is>
          <t>SKELLEFTEÅ</t>
        </is>
      </c>
      <c r="G1029" t="n">
        <v>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29442-2025</t>
        </is>
      </c>
      <c r="B1030" s="1" t="n">
        <v>45824.66078703704</v>
      </c>
      <c r="C1030" s="1" t="n">
        <v>46078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29194-2025</t>
        </is>
      </c>
      <c r="B1031" s="1" t="n">
        <v>45822</v>
      </c>
      <c r="C1031" s="1" t="n">
        <v>46078</v>
      </c>
      <c r="D1031" t="inlineStr">
        <is>
          <t>VÄSTERBOTTENS LÄN</t>
        </is>
      </c>
      <c r="E1031" t="inlineStr">
        <is>
          <t>SKELLEFTEÅ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29694-2025</t>
        </is>
      </c>
      <c r="B1032" s="1" t="n">
        <v>45825.54637731481</v>
      </c>
      <c r="C1032" s="1" t="n">
        <v>46078</v>
      </c>
      <c r="D1032" t="inlineStr">
        <is>
          <t>VÄSTERBOTTENS LÄN</t>
        </is>
      </c>
      <c r="E1032" t="inlineStr">
        <is>
          <t>SKELLEFTEÅ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29750-2025</t>
        </is>
      </c>
      <c r="B1033" s="1" t="n">
        <v>45825.60854166667</v>
      </c>
      <c r="C1033" s="1" t="n">
        <v>46078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29757-2025</t>
        </is>
      </c>
      <c r="B1034" s="1" t="n">
        <v>45825.61582175926</v>
      </c>
      <c r="C1034" s="1" t="n">
        <v>46078</v>
      </c>
      <c r="D1034" t="inlineStr">
        <is>
          <t>VÄSTERBOTTENS LÄN</t>
        </is>
      </c>
      <c r="E1034" t="inlineStr">
        <is>
          <t>SKELLEFTEÅ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50158-2025</t>
        </is>
      </c>
      <c r="B1035" s="1" t="n">
        <v>45943.58369212963</v>
      </c>
      <c r="C1035" s="1" t="n">
        <v>46078</v>
      </c>
      <c r="D1035" t="inlineStr">
        <is>
          <t>VÄSTERBOTTENS LÄN</t>
        </is>
      </c>
      <c r="E1035" t="inlineStr">
        <is>
          <t>SKELLEFTEÅ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49970-2025</t>
        </is>
      </c>
      <c r="B1036" s="1" t="n">
        <v>45941.82208333333</v>
      </c>
      <c r="C1036" s="1" t="n">
        <v>46078</v>
      </c>
      <c r="D1036" t="inlineStr">
        <is>
          <t>VÄSTERBOTTENS LÄN</t>
        </is>
      </c>
      <c r="E1036" t="inlineStr">
        <is>
          <t>SKELLEFTEÅ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49840-2025</t>
        </is>
      </c>
      <c r="B1037" s="1" t="n">
        <v>45940.46934027778</v>
      </c>
      <c r="C1037" s="1" t="n">
        <v>46078</v>
      </c>
      <c r="D1037" t="inlineStr">
        <is>
          <t>VÄSTERBOTTENS LÄN</t>
        </is>
      </c>
      <c r="E1037" t="inlineStr">
        <is>
          <t>SKELLEFTEÅ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28961-2025</t>
        </is>
      </c>
      <c r="B1038" s="1" t="n">
        <v>45821.32046296296</v>
      </c>
      <c r="C1038" s="1" t="n">
        <v>46078</v>
      </c>
      <c r="D1038" t="inlineStr">
        <is>
          <t>VÄSTERBOTTENS LÄN</t>
        </is>
      </c>
      <c r="E1038" t="inlineStr">
        <is>
          <t>SKELLEFTEÅ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46268-2024</t>
        </is>
      </c>
      <c r="B1039" s="1" t="n">
        <v>45581</v>
      </c>
      <c r="C1039" s="1" t="n">
        <v>46078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29765-2025</t>
        </is>
      </c>
      <c r="B1040" s="1" t="n">
        <v>45825.61898148148</v>
      </c>
      <c r="C1040" s="1" t="n">
        <v>46078</v>
      </c>
      <c r="D1040" t="inlineStr">
        <is>
          <t>VÄSTERBOTTENS LÄN</t>
        </is>
      </c>
      <c r="E1040" t="inlineStr">
        <is>
          <t>SKELLEFTEÅ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46377-2024</t>
        </is>
      </c>
      <c r="B1041" s="1" t="n">
        <v>45582</v>
      </c>
      <c r="C1041" s="1" t="n">
        <v>46078</v>
      </c>
      <c r="D1041" t="inlineStr">
        <is>
          <t>VÄSTERBOTTENS LÄN</t>
        </is>
      </c>
      <c r="E1041" t="inlineStr">
        <is>
          <t>SKELLEFTEÅ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29663-2025</t>
        </is>
      </c>
      <c r="B1042" s="1" t="n">
        <v>45825.48967592593</v>
      </c>
      <c r="C1042" s="1" t="n">
        <v>46078</v>
      </c>
      <c r="D1042" t="inlineStr">
        <is>
          <t>VÄSTERBOTTENS LÄN</t>
        </is>
      </c>
      <c r="E1042" t="inlineStr">
        <is>
          <t>SKELLEFTEÅ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35437-2023</t>
        </is>
      </c>
      <c r="B1043" s="1" t="n">
        <v>45146</v>
      </c>
      <c r="C1043" s="1" t="n">
        <v>46078</v>
      </c>
      <c r="D1043" t="inlineStr">
        <is>
          <t>VÄSTERBOTTENS LÄN</t>
        </is>
      </c>
      <c r="E1043" t="inlineStr">
        <is>
          <t>SKELLEFTEÅ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12873-2025</t>
        </is>
      </c>
      <c r="B1044" s="1" t="n">
        <v>45733</v>
      </c>
      <c r="C1044" s="1" t="n">
        <v>46078</v>
      </c>
      <c r="D1044" t="inlineStr">
        <is>
          <t>VÄSTERBOTTENS LÄN</t>
        </is>
      </c>
      <c r="E1044" t="inlineStr">
        <is>
          <t>SKELLEFTEÅ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50039-2025</t>
        </is>
      </c>
      <c r="B1045" s="1" t="n">
        <v>45943.40211805556</v>
      </c>
      <c r="C1045" s="1" t="n">
        <v>46078</v>
      </c>
      <c r="D1045" t="inlineStr">
        <is>
          <t>VÄSTERBOTTENS LÄN</t>
        </is>
      </c>
      <c r="E1045" t="inlineStr">
        <is>
          <t>SKELLEFTEÅ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29665-2025</t>
        </is>
      </c>
      <c r="B1046" s="1" t="n">
        <v>45825.49140046296</v>
      </c>
      <c r="C1046" s="1" t="n">
        <v>46078</v>
      </c>
      <c r="D1046" t="inlineStr">
        <is>
          <t>VÄSTERBOTTENS LÄN</t>
        </is>
      </c>
      <c r="E1046" t="inlineStr">
        <is>
          <t>SKELLEFTEÅ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29613-2025</t>
        </is>
      </c>
      <c r="B1047" s="1" t="n">
        <v>45825</v>
      </c>
      <c r="C1047" s="1" t="n">
        <v>46078</v>
      </c>
      <c r="D1047" t="inlineStr">
        <is>
          <t>VÄSTERBOTTENS LÄN</t>
        </is>
      </c>
      <c r="E1047" t="inlineStr">
        <is>
          <t>SKELLEFTEÅ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50036-2025</t>
        </is>
      </c>
      <c r="B1048" s="1" t="n">
        <v>45943.39673611111</v>
      </c>
      <c r="C1048" s="1" t="n">
        <v>46078</v>
      </c>
      <c r="D1048" t="inlineStr">
        <is>
          <t>VÄSTERBOTTENS LÄN</t>
        </is>
      </c>
      <c r="E1048" t="inlineStr">
        <is>
          <t>SKELLEFTEÅ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53642-2022</t>
        </is>
      </c>
      <c r="B1049" s="1" t="n">
        <v>44879</v>
      </c>
      <c r="C1049" s="1" t="n">
        <v>46078</v>
      </c>
      <c r="D1049" t="inlineStr">
        <is>
          <t>VÄSTERBOTTENS LÄN</t>
        </is>
      </c>
      <c r="E1049" t="inlineStr">
        <is>
          <t>SKELLEFTEÅ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47874-2025</t>
        </is>
      </c>
      <c r="B1050" s="1" t="n">
        <v>45932</v>
      </c>
      <c r="C1050" s="1" t="n">
        <v>46078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16539-2025</t>
        </is>
      </c>
      <c r="B1051" s="1" t="n">
        <v>45751.66283564815</v>
      </c>
      <c r="C1051" s="1" t="n">
        <v>46078</v>
      </c>
      <c r="D1051" t="inlineStr">
        <is>
          <t>VÄSTERBOTTENS LÄN</t>
        </is>
      </c>
      <c r="E1051" t="inlineStr">
        <is>
          <t>SKELLEFTEÅ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50166-2025</t>
        </is>
      </c>
      <c r="B1052" s="1" t="n">
        <v>45943</v>
      </c>
      <c r="C1052" s="1" t="n">
        <v>46078</v>
      </c>
      <c r="D1052" t="inlineStr">
        <is>
          <t>VÄSTERBOTTENS LÄN</t>
        </is>
      </c>
      <c r="E1052" t="inlineStr">
        <is>
          <t>SKELLEFTEÅ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49839-2025</t>
        </is>
      </c>
      <c r="B1053" s="1" t="n">
        <v>45940.4693287037</v>
      </c>
      <c r="C1053" s="1" t="n">
        <v>46078</v>
      </c>
      <c r="D1053" t="inlineStr">
        <is>
          <t>VÄSTERBOTTENS LÄN</t>
        </is>
      </c>
      <c r="E1053" t="inlineStr">
        <is>
          <t>SKELLEFTEÅ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53716-2024</t>
        </is>
      </c>
      <c r="B1054" s="1" t="n">
        <v>45615.43059027778</v>
      </c>
      <c r="C1054" s="1" t="n">
        <v>46078</v>
      </c>
      <c r="D1054" t="inlineStr">
        <is>
          <t>VÄSTERBOTTENS LÄN</t>
        </is>
      </c>
      <c r="E1054" t="inlineStr">
        <is>
          <t>SKELLEFTEÅ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37855-2023</t>
        </is>
      </c>
      <c r="B1055" s="1" t="n">
        <v>45160.40148148148</v>
      </c>
      <c r="C1055" s="1" t="n">
        <v>46078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30081-2025</t>
        </is>
      </c>
      <c r="B1056" s="1" t="n">
        <v>45826.65171296296</v>
      </c>
      <c r="C1056" s="1" t="n">
        <v>46078</v>
      </c>
      <c r="D1056" t="inlineStr">
        <is>
          <t>VÄSTERBOTTENS LÄN</t>
        </is>
      </c>
      <c r="E1056" t="inlineStr">
        <is>
          <t>SKELLEFTEÅ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27560-2022</t>
        </is>
      </c>
      <c r="B1057" s="1" t="n">
        <v>44742.9269212963</v>
      </c>
      <c r="C1057" s="1" t="n">
        <v>46078</v>
      </c>
      <c r="D1057" t="inlineStr">
        <is>
          <t>VÄSTERBOTTENS LÄN</t>
        </is>
      </c>
      <c r="E1057" t="inlineStr">
        <is>
          <t>SKELLEFTEÅ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43515-2022</t>
        </is>
      </c>
      <c r="B1058" s="1" t="n">
        <v>44837.3690162037</v>
      </c>
      <c r="C1058" s="1" t="n">
        <v>46078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38995-2022</t>
        </is>
      </c>
      <c r="B1059" s="1" t="n">
        <v>44816</v>
      </c>
      <c r="C1059" s="1" t="n">
        <v>46078</v>
      </c>
      <c r="D1059" t="inlineStr">
        <is>
          <t>VÄSTERBOTTENS LÄN</t>
        </is>
      </c>
      <c r="E1059" t="inlineStr">
        <is>
          <t>SKELLEFTEÅ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30438-2025</t>
        </is>
      </c>
      <c r="B1060" s="1" t="n">
        <v>45827.64153935185</v>
      </c>
      <c r="C1060" s="1" t="n">
        <v>46078</v>
      </c>
      <c r="D1060" t="inlineStr">
        <is>
          <t>VÄSTERBOTTENS LÄN</t>
        </is>
      </c>
      <c r="E1060" t="inlineStr">
        <is>
          <t>SKELLEFTEÅ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54813-2023</t>
        </is>
      </c>
      <c r="B1061" s="1" t="n">
        <v>45236</v>
      </c>
      <c r="C1061" s="1" t="n">
        <v>46078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Sveaskog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17478-2023</t>
        </is>
      </c>
      <c r="B1062" s="1" t="n">
        <v>45034</v>
      </c>
      <c r="C1062" s="1" t="n">
        <v>46078</v>
      </c>
      <c r="D1062" t="inlineStr">
        <is>
          <t>VÄSTERBOTTENS LÄN</t>
        </is>
      </c>
      <c r="E1062" t="inlineStr">
        <is>
          <t>SKELLEFTEÅ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30172-2025</t>
        </is>
      </c>
      <c r="B1063" s="1" t="n">
        <v>45827</v>
      </c>
      <c r="C1063" s="1" t="n">
        <v>46078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Kyrkan</t>
        </is>
      </c>
      <c r="G1063" t="n">
        <v>21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16602-2025</t>
        </is>
      </c>
      <c r="B1064" s="1" t="n">
        <v>45753.53373842593</v>
      </c>
      <c r="C1064" s="1" t="n">
        <v>46078</v>
      </c>
      <c r="D1064" t="inlineStr">
        <is>
          <t>VÄSTERBOTTENS LÄN</t>
        </is>
      </c>
      <c r="E1064" t="inlineStr">
        <is>
          <t>SKELLEFTEÅ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18637-2025</t>
        </is>
      </c>
      <c r="B1065" s="1" t="n">
        <v>45763.56527777778</v>
      </c>
      <c r="C1065" s="1" t="n">
        <v>46078</v>
      </c>
      <c r="D1065" t="inlineStr">
        <is>
          <t>VÄSTERBOTTENS LÄN</t>
        </is>
      </c>
      <c r="E1065" t="inlineStr">
        <is>
          <t>SKELLEFTEÅ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64391-2021</t>
        </is>
      </c>
      <c r="B1066" s="1" t="n">
        <v>44511</v>
      </c>
      <c r="C1066" s="1" t="n">
        <v>46078</v>
      </c>
      <c r="D1066" t="inlineStr">
        <is>
          <t>VÄSTERBOTTENS LÄN</t>
        </is>
      </c>
      <c r="E1066" t="inlineStr">
        <is>
          <t>SKELLEFTEÅ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53183-2023</t>
        </is>
      </c>
      <c r="B1067" s="1" t="n">
        <v>45229.41625</v>
      </c>
      <c r="C1067" s="1" t="n">
        <v>46078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10.5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50037-2025</t>
        </is>
      </c>
      <c r="B1068" s="1" t="n">
        <v>45943</v>
      </c>
      <c r="C1068" s="1" t="n">
        <v>46078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50061-2025</t>
        </is>
      </c>
      <c r="B1069" s="1" t="n">
        <v>45943.44413194444</v>
      </c>
      <c r="C1069" s="1" t="n">
        <v>46078</v>
      </c>
      <c r="D1069" t="inlineStr">
        <is>
          <t>VÄSTERBOTTENS LÄN</t>
        </is>
      </c>
      <c r="E1069" t="inlineStr">
        <is>
          <t>SKELLEFTEÅ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48133-2022</t>
        </is>
      </c>
      <c r="B1070" s="1" t="n">
        <v>44857</v>
      </c>
      <c r="C1070" s="1" t="n">
        <v>46078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Sveaskog</t>
        </is>
      </c>
      <c r="G1070" t="n">
        <v>18.3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50060-2025</t>
        </is>
      </c>
      <c r="B1071" s="1" t="n">
        <v>45943.4414699074</v>
      </c>
      <c r="C1071" s="1" t="n">
        <v>46078</v>
      </c>
      <c r="D1071" t="inlineStr">
        <is>
          <t>VÄSTERBOTTENS LÄN</t>
        </is>
      </c>
      <c r="E1071" t="inlineStr">
        <is>
          <t>SKELLEFTEÅ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30195-2025</t>
        </is>
      </c>
      <c r="B1072" s="1" t="n">
        <v>45827.35383101852</v>
      </c>
      <c r="C1072" s="1" t="n">
        <v>46078</v>
      </c>
      <c r="D1072" t="inlineStr">
        <is>
          <t>VÄSTERBOTTENS LÄN</t>
        </is>
      </c>
      <c r="E1072" t="inlineStr">
        <is>
          <t>SKELLEFTEÅ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58557-2024</t>
        </is>
      </c>
      <c r="B1073" s="1" t="n">
        <v>45635.46780092592</v>
      </c>
      <c r="C1073" s="1" t="n">
        <v>46078</v>
      </c>
      <c r="D1073" t="inlineStr">
        <is>
          <t>VÄSTERBOTTENS LÄN</t>
        </is>
      </c>
      <c r="E1073" t="inlineStr">
        <is>
          <t>SKELLEFTEÅ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45384-2021</t>
        </is>
      </c>
      <c r="B1074" s="1" t="n">
        <v>44440.3184375</v>
      </c>
      <c r="C1074" s="1" t="n">
        <v>46078</v>
      </c>
      <c r="D1074" t="inlineStr">
        <is>
          <t>VÄSTERBOTTENS LÄN</t>
        </is>
      </c>
      <c r="E1074" t="inlineStr">
        <is>
          <t>SKELLEFTEÅ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42808-2022</t>
        </is>
      </c>
      <c r="B1075" s="1" t="n">
        <v>44832</v>
      </c>
      <c r="C1075" s="1" t="n">
        <v>46078</v>
      </c>
      <c r="D1075" t="inlineStr">
        <is>
          <t>VÄSTERBOTTENS LÄN</t>
        </is>
      </c>
      <c r="E1075" t="inlineStr">
        <is>
          <t>SKELLEFTEÅ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59324-2024</t>
        </is>
      </c>
      <c r="B1076" s="1" t="n">
        <v>45637.72047453704</v>
      </c>
      <c r="C1076" s="1" t="n">
        <v>46078</v>
      </c>
      <c r="D1076" t="inlineStr">
        <is>
          <t>VÄSTERBOTTENS LÄN</t>
        </is>
      </c>
      <c r="E1076" t="inlineStr">
        <is>
          <t>SKELLEFTEÅ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55233-2024</t>
        </is>
      </c>
      <c r="B1077" s="1" t="n">
        <v>45620</v>
      </c>
      <c r="C1077" s="1" t="n">
        <v>46078</v>
      </c>
      <c r="D1077" t="inlineStr">
        <is>
          <t>VÄSTERBOTTENS LÄN</t>
        </is>
      </c>
      <c r="E1077" t="inlineStr">
        <is>
          <t>SKELLEFTEÅ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55253-2024</t>
        </is>
      </c>
      <c r="B1078" s="1" t="n">
        <v>45620</v>
      </c>
      <c r="C1078" s="1" t="n">
        <v>46078</v>
      </c>
      <c r="D1078" t="inlineStr">
        <is>
          <t>VÄSTERBOTTENS LÄN</t>
        </is>
      </c>
      <c r="E1078" t="inlineStr">
        <is>
          <t>SKELLEFTEÅ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31077-2025</t>
        </is>
      </c>
      <c r="B1079" s="1" t="n">
        <v>45831</v>
      </c>
      <c r="C1079" s="1" t="n">
        <v>46078</v>
      </c>
      <c r="D1079" t="inlineStr">
        <is>
          <t>VÄSTERBOTTENS LÄN</t>
        </is>
      </c>
      <c r="E1079" t="inlineStr">
        <is>
          <t>SKELLEFTEÅ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1964-2025</t>
        </is>
      </c>
      <c r="B1080" s="1" t="n">
        <v>45672.37693287037</v>
      </c>
      <c r="C1080" s="1" t="n">
        <v>46078</v>
      </c>
      <c r="D1080" t="inlineStr">
        <is>
          <t>VÄSTERBOTTENS LÄN</t>
        </is>
      </c>
      <c r="E1080" t="inlineStr">
        <is>
          <t>SKELLEFTEÅ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1980-2025</t>
        </is>
      </c>
      <c r="B1081" s="1" t="n">
        <v>45671</v>
      </c>
      <c r="C1081" s="1" t="n">
        <v>46078</v>
      </c>
      <c r="D1081" t="inlineStr">
        <is>
          <t>VÄSTERBOTTENS LÄN</t>
        </is>
      </c>
      <c r="E1081" t="inlineStr">
        <is>
          <t>SKELLEFTEÅ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35189-2022</t>
        </is>
      </c>
      <c r="B1082" s="1" t="n">
        <v>44797</v>
      </c>
      <c r="C1082" s="1" t="n">
        <v>46078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Holmen skog AB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38578-2022</t>
        </is>
      </c>
      <c r="B1083" s="1" t="n">
        <v>44813.48444444445</v>
      </c>
      <c r="C1083" s="1" t="n">
        <v>46078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8.199999999999999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57191-2023</t>
        </is>
      </c>
      <c r="B1084" s="1" t="n">
        <v>45245</v>
      </c>
      <c r="C1084" s="1" t="n">
        <v>46078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Sveaskog</t>
        </is>
      </c>
      <c r="G1084" t="n">
        <v>11.3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49971-2025</t>
        </is>
      </c>
      <c r="B1085" s="1" t="n">
        <v>45941.83613425926</v>
      </c>
      <c r="C1085" s="1" t="n">
        <v>46078</v>
      </c>
      <c r="D1085" t="inlineStr">
        <is>
          <t>VÄSTERBOTTENS LÄN</t>
        </is>
      </c>
      <c r="E1085" t="inlineStr">
        <is>
          <t>SKELLEFTEÅ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24963-2023</t>
        </is>
      </c>
      <c r="B1086" s="1" t="n">
        <v>45085</v>
      </c>
      <c r="C1086" s="1" t="n">
        <v>46078</v>
      </c>
      <c r="D1086" t="inlineStr">
        <is>
          <t>VÄSTERBOTTENS LÄN</t>
        </is>
      </c>
      <c r="E1086" t="inlineStr">
        <is>
          <t>SKELLEFTEÅ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4510-2025</t>
        </is>
      </c>
      <c r="B1087" s="1" t="n">
        <v>45686</v>
      </c>
      <c r="C1087" s="1" t="n">
        <v>46078</v>
      </c>
      <c r="D1087" t="inlineStr">
        <is>
          <t>VÄSTERBOTTENS LÄN</t>
        </is>
      </c>
      <c r="E1087" t="inlineStr">
        <is>
          <t>SKELLEFTEÅ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49841-2025</t>
        </is>
      </c>
      <c r="B1088" s="1" t="n">
        <v>45940.46938657408</v>
      </c>
      <c r="C1088" s="1" t="n">
        <v>46078</v>
      </c>
      <c r="D1088" t="inlineStr">
        <is>
          <t>VÄSTERBOTTENS LÄN</t>
        </is>
      </c>
      <c r="E1088" t="inlineStr">
        <is>
          <t>SKELLEFTEÅ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59744-2022</t>
        </is>
      </c>
      <c r="B1089" s="1" t="n">
        <v>44908</v>
      </c>
      <c r="C1089" s="1" t="n">
        <v>46078</v>
      </c>
      <c r="D1089" t="inlineStr">
        <is>
          <t>VÄSTERBOTTENS LÄN</t>
        </is>
      </c>
      <c r="E1089" t="inlineStr">
        <is>
          <t>SKELLEFTEÅ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8839-2025</t>
        </is>
      </c>
      <c r="B1090" s="1" t="n">
        <v>45713</v>
      </c>
      <c r="C1090" s="1" t="n">
        <v>46078</v>
      </c>
      <c r="D1090" t="inlineStr">
        <is>
          <t>VÄSTERBOTTENS LÄN</t>
        </is>
      </c>
      <c r="E1090" t="inlineStr">
        <is>
          <t>SKELLEFTEÅ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8840-2025</t>
        </is>
      </c>
      <c r="B1091" s="1" t="n">
        <v>45713.30810185185</v>
      </c>
      <c r="C1091" s="1" t="n">
        <v>46078</v>
      </c>
      <c r="D1091" t="inlineStr">
        <is>
          <t>VÄSTERBOTTENS LÄN</t>
        </is>
      </c>
      <c r="E1091" t="inlineStr">
        <is>
          <t>SKELLEFTEÅ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10978-2025</t>
        </is>
      </c>
      <c r="B1092" s="1" t="n">
        <v>45723</v>
      </c>
      <c r="C1092" s="1" t="n">
        <v>46078</v>
      </c>
      <c r="D1092" t="inlineStr">
        <is>
          <t>VÄSTERBOTTENS LÄN</t>
        </is>
      </c>
      <c r="E1092" t="inlineStr">
        <is>
          <t>SKELLEFTEÅ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10980-2025</t>
        </is>
      </c>
      <c r="B1093" s="1" t="n">
        <v>45723</v>
      </c>
      <c r="C1093" s="1" t="n">
        <v>46078</v>
      </c>
      <c r="D1093" t="inlineStr">
        <is>
          <t>VÄSTERBOTTENS LÄN</t>
        </is>
      </c>
      <c r="E1093" t="inlineStr">
        <is>
          <t>SKELLEFTEÅ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31168-2025</t>
        </is>
      </c>
      <c r="B1094" s="1" t="n">
        <v>45832.66167824074</v>
      </c>
      <c r="C1094" s="1" t="n">
        <v>46078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18368-2024</t>
        </is>
      </c>
      <c r="B1095" s="1" t="n">
        <v>45422</v>
      </c>
      <c r="C1095" s="1" t="n">
        <v>46078</v>
      </c>
      <c r="D1095" t="inlineStr">
        <is>
          <t>VÄSTERBOTTENS LÄN</t>
        </is>
      </c>
      <c r="E1095" t="inlineStr">
        <is>
          <t>SKELLEFTEÅ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31178-2025</t>
        </is>
      </c>
      <c r="B1096" s="1" t="n">
        <v>45832.67209490741</v>
      </c>
      <c r="C1096" s="1" t="n">
        <v>46078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Holmen skog AB</t>
        </is>
      </c>
      <c r="G1096" t="n">
        <v>19.2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31108-2025</t>
        </is>
      </c>
      <c r="B1097" s="1" t="n">
        <v>45832</v>
      </c>
      <c r="C1097" s="1" t="n">
        <v>46078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31271-2025</t>
        </is>
      </c>
      <c r="B1098" s="1" t="n">
        <v>45833.33717592592</v>
      </c>
      <c r="C1098" s="1" t="n">
        <v>46078</v>
      </c>
      <c r="D1098" t="inlineStr">
        <is>
          <t>VÄSTERBOTTENS LÄN</t>
        </is>
      </c>
      <c r="E1098" t="inlineStr">
        <is>
          <t>SKELLEFTEÅ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31520-2025</t>
        </is>
      </c>
      <c r="B1099" s="1" t="n">
        <v>45833.60758101852</v>
      </c>
      <c r="C1099" s="1" t="n">
        <v>46078</v>
      </c>
      <c r="D1099" t="inlineStr">
        <is>
          <t>VÄSTERBOTTENS LÄN</t>
        </is>
      </c>
      <c r="E1099" t="inlineStr">
        <is>
          <t>SKELLEFTEÅ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31257-2025</t>
        </is>
      </c>
      <c r="B1100" s="1" t="n">
        <v>45833.32091435185</v>
      </c>
      <c r="C1100" s="1" t="n">
        <v>46078</v>
      </c>
      <c r="D1100" t="inlineStr">
        <is>
          <t>VÄSTERBOTTENS LÄN</t>
        </is>
      </c>
      <c r="E1100" t="inlineStr">
        <is>
          <t>SKELLEFTEÅ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50235-2025</t>
        </is>
      </c>
      <c r="B1101" s="1" t="n">
        <v>45943.73505787037</v>
      </c>
      <c r="C1101" s="1" t="n">
        <v>46078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5828-2022</t>
        </is>
      </c>
      <c r="B1102" s="1" t="n">
        <v>44596</v>
      </c>
      <c r="C1102" s="1" t="n">
        <v>46078</v>
      </c>
      <c r="D1102" t="inlineStr">
        <is>
          <t>VÄSTERBOTTENS LÄN</t>
        </is>
      </c>
      <c r="E1102" t="inlineStr">
        <is>
          <t>SKELLEFTEÅ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10051-2021</t>
        </is>
      </c>
      <c r="B1103" s="1" t="n">
        <v>44256</v>
      </c>
      <c r="C1103" s="1" t="n">
        <v>46078</v>
      </c>
      <c r="D1103" t="inlineStr">
        <is>
          <t>VÄSTERBOTTENS LÄN</t>
        </is>
      </c>
      <c r="E1103" t="inlineStr">
        <is>
          <t>SKELLEFTEÅ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32746-2023</t>
        </is>
      </c>
      <c r="B1104" s="1" t="n">
        <v>45122</v>
      </c>
      <c r="C1104" s="1" t="n">
        <v>46078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31779-2025</t>
        </is>
      </c>
      <c r="B1105" s="1" t="n">
        <v>45834.52873842593</v>
      </c>
      <c r="C1105" s="1" t="n">
        <v>46078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31743-2025</t>
        </is>
      </c>
      <c r="B1106" s="1" t="n">
        <v>45834.47671296296</v>
      </c>
      <c r="C1106" s="1" t="n">
        <v>46078</v>
      </c>
      <c r="D1106" t="inlineStr">
        <is>
          <t>VÄSTERBOTTENS LÄN</t>
        </is>
      </c>
      <c r="E1106" t="inlineStr">
        <is>
          <t>SKELLEFTEÅ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58429-2022</t>
        </is>
      </c>
      <c r="B1107" s="1" t="n">
        <v>44901</v>
      </c>
      <c r="C1107" s="1" t="n">
        <v>46078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SCA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30743-2023</t>
        </is>
      </c>
      <c r="B1108" s="1" t="n">
        <v>45112.6362037037</v>
      </c>
      <c r="C1108" s="1" t="n">
        <v>46078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Sveaskog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10655-2024</t>
        </is>
      </c>
      <c r="B1109" s="1" t="n">
        <v>45368</v>
      </c>
      <c r="C1109" s="1" t="n">
        <v>46078</v>
      </c>
      <c r="D1109" t="inlineStr">
        <is>
          <t>VÄSTERBOTTENS LÄN</t>
        </is>
      </c>
      <c r="E1109" t="inlineStr">
        <is>
          <t>SKELLEFTEÅ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28567-2025</t>
        </is>
      </c>
      <c r="B1110" s="1" t="n">
        <v>45819</v>
      </c>
      <c r="C1110" s="1" t="n">
        <v>46078</v>
      </c>
      <c r="D1110" t="inlineStr">
        <is>
          <t>VÄSTERBOTTENS LÄN</t>
        </is>
      </c>
      <c r="E1110" t="inlineStr">
        <is>
          <t>SKELLEFTEÅ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31628-2025</t>
        </is>
      </c>
      <c r="B1111" s="1" t="n">
        <v>45834.30734953703</v>
      </c>
      <c r="C1111" s="1" t="n">
        <v>46078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16355-2025</t>
        </is>
      </c>
      <c r="B1112" s="1" t="n">
        <v>45751.38821759259</v>
      </c>
      <c r="C1112" s="1" t="n">
        <v>46078</v>
      </c>
      <c r="D1112" t="inlineStr">
        <is>
          <t>VÄSTERBOTTENS LÄN</t>
        </is>
      </c>
      <c r="E1112" t="inlineStr">
        <is>
          <t>SKELLEFTEÅ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31670-2025</t>
        </is>
      </c>
      <c r="B1113" s="1" t="n">
        <v>45834.36549768518</v>
      </c>
      <c r="C1113" s="1" t="n">
        <v>46078</v>
      </c>
      <c r="D1113" t="inlineStr">
        <is>
          <t>VÄSTERBOTTENS LÄN</t>
        </is>
      </c>
      <c r="E1113" t="inlineStr">
        <is>
          <t>SKELLEFTEÅ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22044-2024</t>
        </is>
      </c>
      <c r="B1114" s="1" t="n">
        <v>45443</v>
      </c>
      <c r="C1114" s="1" t="n">
        <v>46078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32047-2025</t>
        </is>
      </c>
      <c r="B1115" s="1" t="n">
        <v>45835.44034722223</v>
      </c>
      <c r="C1115" s="1" t="n">
        <v>46078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54081-2022</t>
        </is>
      </c>
      <c r="B1116" s="1" t="n">
        <v>44881</v>
      </c>
      <c r="C1116" s="1" t="n">
        <v>46078</v>
      </c>
      <c r="D1116" t="inlineStr">
        <is>
          <t>VÄSTERBOTTENS LÄN</t>
        </is>
      </c>
      <c r="E1116" t="inlineStr">
        <is>
          <t>SKELLEFTEÅ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31627-2025</t>
        </is>
      </c>
      <c r="B1117" s="1" t="n">
        <v>45834.30527777778</v>
      </c>
      <c r="C1117" s="1" t="n">
        <v>46078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31717-2025</t>
        </is>
      </c>
      <c r="B1118" s="1" t="n">
        <v>45834.46008101852</v>
      </c>
      <c r="C1118" s="1" t="n">
        <v>46078</v>
      </c>
      <c r="D1118" t="inlineStr">
        <is>
          <t>VÄSTERBOTTENS LÄN</t>
        </is>
      </c>
      <c r="E1118" t="inlineStr">
        <is>
          <t>SKELLEFTEÅ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31988-2025</t>
        </is>
      </c>
      <c r="B1119" s="1" t="n">
        <v>45835.363125</v>
      </c>
      <c r="C1119" s="1" t="n">
        <v>46078</v>
      </c>
      <c r="D1119" t="inlineStr">
        <is>
          <t>VÄSTERBOTTENS LÄN</t>
        </is>
      </c>
      <c r="E1119" t="inlineStr">
        <is>
          <t>SKELLEFTEÅ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1955-2025</t>
        </is>
      </c>
      <c r="B1120" s="1" t="n">
        <v>45671</v>
      </c>
      <c r="C1120" s="1" t="n">
        <v>46078</v>
      </c>
      <c r="D1120" t="inlineStr">
        <is>
          <t>VÄSTERBOTTENS LÄN</t>
        </is>
      </c>
      <c r="E1120" t="inlineStr">
        <is>
          <t>SKELLEFTEÅ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31688-2025</t>
        </is>
      </c>
      <c r="B1121" s="1" t="n">
        <v>45834.40149305556</v>
      </c>
      <c r="C1121" s="1" t="n">
        <v>46078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50336-2025</t>
        </is>
      </c>
      <c r="B1122" s="1" t="n">
        <v>45944</v>
      </c>
      <c r="C1122" s="1" t="n">
        <v>46078</v>
      </c>
      <c r="D1122" t="inlineStr">
        <is>
          <t>VÄSTERBOTTENS LÄN</t>
        </is>
      </c>
      <c r="E1122" t="inlineStr">
        <is>
          <t>SKELLEFTEÅ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31727-2025</t>
        </is>
      </c>
      <c r="B1123" s="1" t="n">
        <v>45834.46859953704</v>
      </c>
      <c r="C1123" s="1" t="n">
        <v>46078</v>
      </c>
      <c r="D1123" t="inlineStr">
        <is>
          <t>VÄSTERBOTTENS LÄN</t>
        </is>
      </c>
      <c r="E1123" t="inlineStr">
        <is>
          <t>SKELLEFTEÅ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17628-2025</t>
        </is>
      </c>
      <c r="B1124" s="1" t="n">
        <v>45757.97299768519</v>
      </c>
      <c r="C1124" s="1" t="n">
        <v>46078</v>
      </c>
      <c r="D1124" t="inlineStr">
        <is>
          <t>VÄSTERBOTTENS LÄN</t>
        </is>
      </c>
      <c r="E1124" t="inlineStr">
        <is>
          <t>SKELLEFTEÅ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50638-2025</t>
        </is>
      </c>
      <c r="B1125" s="1" t="n">
        <v>45945.65354166667</v>
      </c>
      <c r="C1125" s="1" t="n">
        <v>46078</v>
      </c>
      <c r="D1125" t="inlineStr">
        <is>
          <t>VÄSTERBOTTENS LÄN</t>
        </is>
      </c>
      <c r="E1125" t="inlineStr">
        <is>
          <t>SKELLEFTEÅ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31739-2025</t>
        </is>
      </c>
      <c r="B1126" s="1" t="n">
        <v>45834.47350694444</v>
      </c>
      <c r="C1126" s="1" t="n">
        <v>46078</v>
      </c>
      <c r="D1126" t="inlineStr">
        <is>
          <t>VÄSTERBOTTENS LÄN</t>
        </is>
      </c>
      <c r="E1126" t="inlineStr">
        <is>
          <t>SKELLEFTEÅ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31958-2025</t>
        </is>
      </c>
      <c r="B1127" s="1" t="n">
        <v>45835.34219907408</v>
      </c>
      <c r="C1127" s="1" t="n">
        <v>46078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31997-2025</t>
        </is>
      </c>
      <c r="B1128" s="1" t="n">
        <v>45835.37637731482</v>
      </c>
      <c r="C1128" s="1" t="n">
        <v>46078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50326-2025</t>
        </is>
      </c>
      <c r="B1129" s="1" t="n">
        <v>45944.46233796296</v>
      </c>
      <c r="C1129" s="1" t="n">
        <v>46078</v>
      </c>
      <c r="D1129" t="inlineStr">
        <is>
          <t>VÄSTERBOTTENS LÄN</t>
        </is>
      </c>
      <c r="E1129" t="inlineStr">
        <is>
          <t>SKELLEFTEÅ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18584-2022</t>
        </is>
      </c>
      <c r="B1130" s="1" t="n">
        <v>44687</v>
      </c>
      <c r="C1130" s="1" t="n">
        <v>46078</v>
      </c>
      <c r="D1130" t="inlineStr">
        <is>
          <t>VÄSTERBOTTENS LÄN</t>
        </is>
      </c>
      <c r="E1130" t="inlineStr">
        <is>
          <t>SKELLEFTEÅ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50369-2025</t>
        </is>
      </c>
      <c r="B1131" s="1" t="n">
        <v>45944.58130787037</v>
      </c>
      <c r="C1131" s="1" t="n">
        <v>46078</v>
      </c>
      <c r="D1131" t="inlineStr">
        <is>
          <t>VÄSTERBOTTENS LÄN</t>
        </is>
      </c>
      <c r="E1131" t="inlineStr">
        <is>
          <t>SKELLEFTEÅ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50381-2025</t>
        </is>
      </c>
      <c r="B1132" s="1" t="n">
        <v>45944.59734953703</v>
      </c>
      <c r="C1132" s="1" t="n">
        <v>46078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31797-2025</t>
        </is>
      </c>
      <c r="B1133" s="1" t="n">
        <v>45834.55078703703</v>
      </c>
      <c r="C1133" s="1" t="n">
        <v>46078</v>
      </c>
      <c r="D1133" t="inlineStr">
        <is>
          <t>VÄSTERBOTTENS LÄN</t>
        </is>
      </c>
      <c r="E1133" t="inlineStr">
        <is>
          <t>SKELLEFTEÅ</t>
        </is>
      </c>
      <c r="G1133" t="n">
        <v>19.1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31938-2025</t>
        </is>
      </c>
      <c r="B1134" s="1" t="n">
        <v>45835.29355324074</v>
      </c>
      <c r="C1134" s="1" t="n">
        <v>46078</v>
      </c>
      <c r="D1134" t="inlineStr">
        <is>
          <t>VÄSTERBOTTENS LÄN</t>
        </is>
      </c>
      <c r="E1134" t="inlineStr">
        <is>
          <t>SKELLEFTEÅ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37819-2022</t>
        </is>
      </c>
      <c r="B1135" s="1" t="n">
        <v>44810</v>
      </c>
      <c r="C1135" s="1" t="n">
        <v>46078</v>
      </c>
      <c r="D1135" t="inlineStr">
        <is>
          <t>VÄSTERBOTTENS LÄN</t>
        </is>
      </c>
      <c r="E1135" t="inlineStr">
        <is>
          <t>SKELLEFTEÅ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50299-2025</t>
        </is>
      </c>
      <c r="B1136" s="1" t="n">
        <v>45944.41221064814</v>
      </c>
      <c r="C1136" s="1" t="n">
        <v>46078</v>
      </c>
      <c r="D1136" t="inlineStr">
        <is>
          <t>VÄSTERBOTTENS LÄN</t>
        </is>
      </c>
      <c r="E1136" t="inlineStr">
        <is>
          <t>SKELLEFTEÅ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32066-2025</t>
        </is>
      </c>
      <c r="B1137" s="1" t="n">
        <v>45835.44824074074</v>
      </c>
      <c r="C1137" s="1" t="n">
        <v>46078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23704-2023</t>
        </is>
      </c>
      <c r="B1138" s="1" t="n">
        <v>45075</v>
      </c>
      <c r="C1138" s="1" t="n">
        <v>46078</v>
      </c>
      <c r="D1138" t="inlineStr">
        <is>
          <t>VÄSTERBOTTENS LÄN</t>
        </is>
      </c>
      <c r="E1138" t="inlineStr">
        <is>
          <t>SKELLEFTEÅ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32780-2025</t>
        </is>
      </c>
      <c r="B1139" s="1" t="n">
        <v>45839.46975694445</v>
      </c>
      <c r="C1139" s="1" t="n">
        <v>46078</v>
      </c>
      <c r="D1139" t="inlineStr">
        <is>
          <t>VÄSTERBOTTENS LÄN</t>
        </is>
      </c>
      <c r="E1139" t="inlineStr">
        <is>
          <t>SKELLEFTEÅ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51592-2024</t>
        </is>
      </c>
      <c r="B1140" s="1" t="n">
        <v>45604.64886574074</v>
      </c>
      <c r="C1140" s="1" t="n">
        <v>46078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Sveaskog</t>
        </is>
      </c>
      <c r="G1140" t="n">
        <v>15.1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32450-2025</t>
        </is>
      </c>
      <c r="B1141" s="1" t="n">
        <v>45838.38953703704</v>
      </c>
      <c r="C1141" s="1" t="n">
        <v>46078</v>
      </c>
      <c r="D1141" t="inlineStr">
        <is>
          <t>VÄSTERBOTTENS LÄN</t>
        </is>
      </c>
      <c r="E1141" t="inlineStr">
        <is>
          <t>SKELLEFTEÅ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50506-2025</t>
        </is>
      </c>
      <c r="B1142" s="1" t="n">
        <v>45945.42958333333</v>
      </c>
      <c r="C1142" s="1" t="n">
        <v>46078</v>
      </c>
      <c r="D1142" t="inlineStr">
        <is>
          <t>VÄSTERBOTTENS LÄN</t>
        </is>
      </c>
      <c r="E1142" t="inlineStr">
        <is>
          <t>SKELLEFTEÅ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32601-2025</t>
        </is>
      </c>
      <c r="B1143" s="1" t="n">
        <v>45838.62275462963</v>
      </c>
      <c r="C1143" s="1" t="n">
        <v>46078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32640-2025</t>
        </is>
      </c>
      <c r="B1144" s="1" t="n">
        <v>45838.65730324074</v>
      </c>
      <c r="C1144" s="1" t="n">
        <v>46078</v>
      </c>
      <c r="D1144" t="inlineStr">
        <is>
          <t>VÄSTERBOTTENS LÄN</t>
        </is>
      </c>
      <c r="E1144" t="inlineStr">
        <is>
          <t>SKELLEFTEÅ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32638-2025</t>
        </is>
      </c>
      <c r="B1145" s="1" t="n">
        <v>45838.65724537037</v>
      </c>
      <c r="C1145" s="1" t="n">
        <v>46078</v>
      </c>
      <c r="D1145" t="inlineStr">
        <is>
          <t>VÄSTERBOTTENS LÄN</t>
        </is>
      </c>
      <c r="E1145" t="inlineStr">
        <is>
          <t>SKELLEFTEÅ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50507-2025</t>
        </is>
      </c>
      <c r="B1146" s="1" t="n">
        <v>45945.43255787037</v>
      </c>
      <c r="C1146" s="1" t="n">
        <v>46078</v>
      </c>
      <c r="D1146" t="inlineStr">
        <is>
          <t>VÄSTERBOTTENS LÄN</t>
        </is>
      </c>
      <c r="E1146" t="inlineStr">
        <is>
          <t>SKELLEFTEÅ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32781-2025</t>
        </is>
      </c>
      <c r="B1147" s="1" t="n">
        <v>45839.47243055556</v>
      </c>
      <c r="C1147" s="1" t="n">
        <v>46078</v>
      </c>
      <c r="D1147" t="inlineStr">
        <is>
          <t>VÄSTERBOTTENS LÄN</t>
        </is>
      </c>
      <c r="E1147" t="inlineStr">
        <is>
          <t>SKELLEFTEÅ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32550-2025</t>
        </is>
      </c>
      <c r="B1148" s="1" t="n">
        <v>45838.54916666666</v>
      </c>
      <c r="C1148" s="1" t="n">
        <v>46078</v>
      </c>
      <c r="D1148" t="inlineStr">
        <is>
          <t>VÄSTERBOTTENS LÄN</t>
        </is>
      </c>
      <c r="E1148" t="inlineStr">
        <is>
          <t>SKELLEFTEÅ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32931-2025</t>
        </is>
      </c>
      <c r="B1149" s="1" t="n">
        <v>45839.66858796297</v>
      </c>
      <c r="C1149" s="1" t="n">
        <v>46078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3265-2022</t>
        </is>
      </c>
      <c r="B1150" s="1" t="n">
        <v>44583.7693287037</v>
      </c>
      <c r="C1150" s="1" t="n">
        <v>46078</v>
      </c>
      <c r="D1150" t="inlineStr">
        <is>
          <t>VÄSTERBOTTENS LÄN</t>
        </is>
      </c>
      <c r="E1150" t="inlineStr">
        <is>
          <t>SKELLEFTEÅ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32955-2025</t>
        </is>
      </c>
      <c r="B1151" s="1" t="n">
        <v>45839</v>
      </c>
      <c r="C1151" s="1" t="n">
        <v>46078</v>
      </c>
      <c r="D1151" t="inlineStr">
        <is>
          <t>VÄSTERBOTTENS LÄN</t>
        </is>
      </c>
      <c r="E1151" t="inlineStr">
        <is>
          <t>SKELLEFTEÅ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21336-2023</t>
        </is>
      </c>
      <c r="B1152" s="1" t="n">
        <v>45062</v>
      </c>
      <c r="C1152" s="1" t="n">
        <v>46078</v>
      </c>
      <c r="D1152" t="inlineStr">
        <is>
          <t>VÄSTERBOTTENS LÄN</t>
        </is>
      </c>
      <c r="E1152" t="inlineStr">
        <is>
          <t>SKELLEFTEÅ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35771-2022</t>
        </is>
      </c>
      <c r="B1153" s="1" t="n">
        <v>44801</v>
      </c>
      <c r="C1153" s="1" t="n">
        <v>46078</v>
      </c>
      <c r="D1153" t="inlineStr">
        <is>
          <t>VÄSTERBOTTENS LÄN</t>
        </is>
      </c>
      <c r="E1153" t="inlineStr">
        <is>
          <t>SKELLEFTEÅ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32329-2025</t>
        </is>
      </c>
      <c r="B1154" s="1" t="n">
        <v>45836.48517361111</v>
      </c>
      <c r="C1154" s="1" t="n">
        <v>46078</v>
      </c>
      <c r="D1154" t="inlineStr">
        <is>
          <t>VÄSTERBOTTENS LÄN</t>
        </is>
      </c>
      <c r="E1154" t="inlineStr">
        <is>
          <t>SKELLEFTEÅ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32551-2025</t>
        </is>
      </c>
      <c r="B1155" s="1" t="n">
        <v>45838.5503587963</v>
      </c>
      <c r="C1155" s="1" t="n">
        <v>46078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6.4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46304-2024</t>
        </is>
      </c>
      <c r="B1156" s="1" t="n">
        <v>45581</v>
      </c>
      <c r="C1156" s="1" t="n">
        <v>46078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Holmen skog AB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35736-2023</t>
        </is>
      </c>
      <c r="B1157" s="1" t="n">
        <v>45147</v>
      </c>
      <c r="C1157" s="1" t="n">
        <v>46078</v>
      </c>
      <c r="D1157" t="inlineStr">
        <is>
          <t>VÄSTERBOTTENS LÄN</t>
        </is>
      </c>
      <c r="E1157" t="inlineStr">
        <is>
          <t>SKELLEFTEÅ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32485-2025</t>
        </is>
      </c>
      <c r="B1158" s="1" t="n">
        <v>45838.43662037037</v>
      </c>
      <c r="C1158" s="1" t="n">
        <v>46078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32486-2025</t>
        </is>
      </c>
      <c r="B1159" s="1" t="n">
        <v>45838.44112268519</v>
      </c>
      <c r="C1159" s="1" t="n">
        <v>46078</v>
      </c>
      <c r="D1159" t="inlineStr">
        <is>
          <t>VÄSTERBOTTENS LÄN</t>
        </is>
      </c>
      <c r="E1159" t="inlineStr">
        <is>
          <t>SKELLEFTEÅ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12928-2021</t>
        </is>
      </c>
      <c r="B1160" s="1" t="n">
        <v>44270</v>
      </c>
      <c r="C1160" s="1" t="n">
        <v>46078</v>
      </c>
      <c r="D1160" t="inlineStr">
        <is>
          <t>VÄSTERBOTTENS LÄN</t>
        </is>
      </c>
      <c r="E1160" t="inlineStr">
        <is>
          <t>SKELLEFTEÅ</t>
        </is>
      </c>
      <c r="G1160" t="n">
        <v>17.8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32639-2025</t>
        </is>
      </c>
      <c r="B1161" s="1" t="n">
        <v>45838.65726851852</v>
      </c>
      <c r="C1161" s="1" t="n">
        <v>46078</v>
      </c>
      <c r="D1161" t="inlineStr">
        <is>
          <t>VÄSTERBOTTENS LÄN</t>
        </is>
      </c>
      <c r="E1161" t="inlineStr">
        <is>
          <t>SKELLEFTEÅ</t>
        </is>
      </c>
      <c r="G1161" t="n">
        <v>9.5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27817-2022</t>
        </is>
      </c>
      <c r="B1162" s="1" t="n">
        <v>44743</v>
      </c>
      <c r="C1162" s="1" t="n">
        <v>46078</v>
      </c>
      <c r="D1162" t="inlineStr">
        <is>
          <t>VÄSTERBOTTENS LÄN</t>
        </is>
      </c>
      <c r="E1162" t="inlineStr">
        <is>
          <t>SKELLEFTEÅ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50548-2025</t>
        </is>
      </c>
      <c r="B1163" s="1" t="n">
        <v>45945.51137731481</v>
      </c>
      <c r="C1163" s="1" t="n">
        <v>46078</v>
      </c>
      <c r="D1163" t="inlineStr">
        <is>
          <t>VÄSTERBOTTENS LÄN</t>
        </is>
      </c>
      <c r="E1163" t="inlineStr">
        <is>
          <t>SKELLEFTEÅ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32451-2025</t>
        </is>
      </c>
      <c r="B1164" s="1" t="n">
        <v>45838.39283564815</v>
      </c>
      <c r="C1164" s="1" t="n">
        <v>46078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32578-2025</t>
        </is>
      </c>
      <c r="B1165" s="1" t="n">
        <v>45838.59311342592</v>
      </c>
      <c r="C1165" s="1" t="n">
        <v>46078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12.3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31955-2025</t>
        </is>
      </c>
      <c r="B1166" s="1" t="n">
        <v>45835</v>
      </c>
      <c r="C1166" s="1" t="n">
        <v>46078</v>
      </c>
      <c r="D1166" t="inlineStr">
        <is>
          <t>VÄSTERBOTTENS LÄN</t>
        </is>
      </c>
      <c r="E1166" t="inlineStr">
        <is>
          <t>SKELLEFTEÅ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41409-2022</t>
        </is>
      </c>
      <c r="B1167" s="1" t="n">
        <v>44826.63581018519</v>
      </c>
      <c r="C1167" s="1" t="n">
        <v>46078</v>
      </c>
      <c r="D1167" t="inlineStr">
        <is>
          <t>VÄSTERBOTTENS LÄN</t>
        </is>
      </c>
      <c r="E1167" t="inlineStr">
        <is>
          <t>SKELLEFTEÅ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32933-2025</t>
        </is>
      </c>
      <c r="B1168" s="1" t="n">
        <v>45839.67144675926</v>
      </c>
      <c r="C1168" s="1" t="n">
        <v>46078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11.9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52444-2023</t>
        </is>
      </c>
      <c r="B1169" s="1" t="n">
        <v>45225.37877314815</v>
      </c>
      <c r="C1169" s="1" t="n">
        <v>46078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Sveaskog</t>
        </is>
      </c>
      <c r="G1169" t="n">
        <v>28.5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50693-2025</t>
        </is>
      </c>
      <c r="B1170" s="1" t="n">
        <v>45945.85396990741</v>
      </c>
      <c r="C1170" s="1" t="n">
        <v>46078</v>
      </c>
      <c r="D1170" t="inlineStr">
        <is>
          <t>VÄSTERBOTTENS LÄN</t>
        </is>
      </c>
      <c r="E1170" t="inlineStr">
        <is>
          <t>SKELLEFTEÅ</t>
        </is>
      </c>
      <c r="G1170" t="n">
        <v>10.7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65009-2023</t>
        </is>
      </c>
      <c r="B1171" s="1" t="n">
        <v>45287.37836805556</v>
      </c>
      <c r="C1171" s="1" t="n">
        <v>46078</v>
      </c>
      <c r="D1171" t="inlineStr">
        <is>
          <t>VÄSTERBOTTENS LÄN</t>
        </is>
      </c>
      <c r="E1171" t="inlineStr">
        <is>
          <t>SKELLEFTEÅ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10291-2023</t>
        </is>
      </c>
      <c r="B1172" s="1" t="n">
        <v>44986</v>
      </c>
      <c r="C1172" s="1" t="n">
        <v>46078</v>
      </c>
      <c r="D1172" t="inlineStr">
        <is>
          <t>VÄSTERBOTTENS LÄN</t>
        </is>
      </c>
      <c r="E1172" t="inlineStr">
        <is>
          <t>SKELLEFTEÅ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33093-2025</t>
        </is>
      </c>
      <c r="B1173" s="1" t="n">
        <v>45840.47180555556</v>
      </c>
      <c r="C1173" s="1" t="n">
        <v>46078</v>
      </c>
      <c r="D1173" t="inlineStr">
        <is>
          <t>VÄSTERBOTTENS LÄN</t>
        </is>
      </c>
      <c r="E1173" t="inlineStr">
        <is>
          <t>SKELLEFTEÅ</t>
        </is>
      </c>
      <c r="G1173" t="n">
        <v>7.3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33304-2025</t>
        </is>
      </c>
      <c r="B1174" s="1" t="n">
        <v>45841.29636574074</v>
      </c>
      <c r="C1174" s="1" t="n">
        <v>46078</v>
      </c>
      <c r="D1174" t="inlineStr">
        <is>
          <t>VÄSTERBOTTENS LÄN</t>
        </is>
      </c>
      <c r="E1174" t="inlineStr">
        <is>
          <t>SKELLEFTEÅ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29263-2025</t>
        </is>
      </c>
      <c r="B1175" s="1" t="n">
        <v>45824.39538194444</v>
      </c>
      <c r="C1175" s="1" t="n">
        <v>46078</v>
      </c>
      <c r="D1175" t="inlineStr">
        <is>
          <t>VÄSTERBOTTENS LÄN</t>
        </is>
      </c>
      <c r="E1175" t="inlineStr">
        <is>
          <t>SKELLEFTEÅ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33073-2025</t>
        </is>
      </c>
      <c r="B1176" s="1" t="n">
        <v>45840.45332175926</v>
      </c>
      <c r="C1176" s="1" t="n">
        <v>46078</v>
      </c>
      <c r="D1176" t="inlineStr">
        <is>
          <t>VÄSTERBOTTENS LÄN</t>
        </is>
      </c>
      <c r="E1176" t="inlineStr">
        <is>
          <t>SKELLEFTEÅ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33303-2025</t>
        </is>
      </c>
      <c r="B1177" s="1" t="n">
        <v>45841.29267361111</v>
      </c>
      <c r="C1177" s="1" t="n">
        <v>46078</v>
      </c>
      <c r="D1177" t="inlineStr">
        <is>
          <t>VÄSTERBOTTENS LÄN</t>
        </is>
      </c>
      <c r="E1177" t="inlineStr">
        <is>
          <t>SKELLEFTEÅ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33305-2025</t>
        </is>
      </c>
      <c r="B1178" s="1" t="n">
        <v>45841.30456018518</v>
      </c>
      <c r="C1178" s="1" t="n">
        <v>46078</v>
      </c>
      <c r="D1178" t="inlineStr">
        <is>
          <t>VÄSTERBOTTENS LÄN</t>
        </is>
      </c>
      <c r="E1178" t="inlineStr">
        <is>
          <t>SKELLEFTEÅ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33579-2025</t>
        </is>
      </c>
      <c r="B1179" s="1" t="n">
        <v>45841.59310185185</v>
      </c>
      <c r="C1179" s="1" t="n">
        <v>46078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10.7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7462-2022</t>
        </is>
      </c>
      <c r="B1180" s="1" t="n">
        <v>44606</v>
      </c>
      <c r="C1180" s="1" t="n">
        <v>46078</v>
      </c>
      <c r="D1180" t="inlineStr">
        <is>
          <t>VÄSTERBOTTENS LÄN</t>
        </is>
      </c>
      <c r="E1180" t="inlineStr">
        <is>
          <t>SKELLEFTEÅ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55063-2022</t>
        </is>
      </c>
      <c r="B1181" s="1" t="n">
        <v>44886</v>
      </c>
      <c r="C1181" s="1" t="n">
        <v>46078</v>
      </c>
      <c r="D1181" t="inlineStr">
        <is>
          <t>VÄSTERBOTTENS LÄN</t>
        </is>
      </c>
      <c r="E1181" t="inlineStr">
        <is>
          <t>SKELLEFTEÅ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33283-2021</t>
        </is>
      </c>
      <c r="B1182" s="1" t="n">
        <v>44377.38222222222</v>
      </c>
      <c r="C1182" s="1" t="n">
        <v>46078</v>
      </c>
      <c r="D1182" t="inlineStr">
        <is>
          <t>VÄSTERBOTTENS LÄN</t>
        </is>
      </c>
      <c r="E1182" t="inlineStr">
        <is>
          <t>SKELLEFTEÅ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51194-2025</t>
        </is>
      </c>
      <c r="B1183" s="1" t="n">
        <v>45947.62954861111</v>
      </c>
      <c r="C1183" s="1" t="n">
        <v>46078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Sveaskog</t>
        </is>
      </c>
      <c r="G1183" t="n">
        <v>10.3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3143-2024</t>
        </is>
      </c>
      <c r="B1184" s="1" t="n">
        <v>45316.58484953704</v>
      </c>
      <c r="C1184" s="1" t="n">
        <v>46078</v>
      </c>
      <c r="D1184" t="inlineStr">
        <is>
          <t>VÄSTERBOTTENS LÄN</t>
        </is>
      </c>
      <c r="E1184" t="inlineStr">
        <is>
          <t>SKELLEFTEÅ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28365-2025</t>
        </is>
      </c>
      <c r="B1185" s="1" t="n">
        <v>45818.83288194444</v>
      </c>
      <c r="C1185" s="1" t="n">
        <v>46078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33104-2025</t>
        </is>
      </c>
      <c r="B1186" s="1" t="n">
        <v>45840.48296296296</v>
      </c>
      <c r="C1186" s="1" t="n">
        <v>46078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33154-2025</t>
        </is>
      </c>
      <c r="B1187" s="1" t="n">
        <v>45840.55459490741</v>
      </c>
      <c r="C1187" s="1" t="n">
        <v>46078</v>
      </c>
      <c r="D1187" t="inlineStr">
        <is>
          <t>VÄSTERBOTTENS LÄN</t>
        </is>
      </c>
      <c r="E1187" t="inlineStr">
        <is>
          <t>SKELLEFTEÅ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19160-2025</t>
        </is>
      </c>
      <c r="B1188" s="1" t="n">
        <v>45769.36587962963</v>
      </c>
      <c r="C1188" s="1" t="n">
        <v>46078</v>
      </c>
      <c r="D1188" t="inlineStr">
        <is>
          <t>VÄSTERBOTTENS LÄN</t>
        </is>
      </c>
      <c r="E1188" t="inlineStr">
        <is>
          <t>SKELLEFTEÅ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34508-2023</t>
        </is>
      </c>
      <c r="B1189" s="1" t="n">
        <v>45133</v>
      </c>
      <c r="C1189" s="1" t="n">
        <v>46078</v>
      </c>
      <c r="D1189" t="inlineStr">
        <is>
          <t>VÄSTERBOTTENS LÄN</t>
        </is>
      </c>
      <c r="E1189" t="inlineStr">
        <is>
          <t>SKELLEFTEÅ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51216-2025</t>
        </is>
      </c>
      <c r="B1190" s="1" t="n">
        <v>45947.6441550926</v>
      </c>
      <c r="C1190" s="1" t="n">
        <v>46078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Sveaskog</t>
        </is>
      </c>
      <c r="G1190" t="n">
        <v>13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51021-2025</t>
        </is>
      </c>
      <c r="B1191" s="1" t="n">
        <v>45947.38876157408</v>
      </c>
      <c r="C1191" s="1" t="n">
        <v>46078</v>
      </c>
      <c r="D1191" t="inlineStr">
        <is>
          <t>VÄSTERBOTTENS LÄN</t>
        </is>
      </c>
      <c r="E1191" t="inlineStr">
        <is>
          <t>SKELLEFTEÅ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50848-2025</t>
        </is>
      </c>
      <c r="B1192" s="1" t="n">
        <v>45946.57664351852</v>
      </c>
      <c r="C1192" s="1" t="n">
        <v>46078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50882-2025</t>
        </is>
      </c>
      <c r="B1193" s="1" t="n">
        <v>45946.63017361111</v>
      </c>
      <c r="C1193" s="1" t="n">
        <v>46078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50872-2022</t>
        </is>
      </c>
      <c r="B1194" s="1" t="n">
        <v>44867</v>
      </c>
      <c r="C1194" s="1" t="n">
        <v>46078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Holmen skog AB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34027-2025</t>
        </is>
      </c>
      <c r="B1195" s="1" t="n">
        <v>45845.35981481482</v>
      </c>
      <c r="C1195" s="1" t="n">
        <v>46078</v>
      </c>
      <c r="D1195" t="inlineStr">
        <is>
          <t>VÄSTERBOTTENS LÄN</t>
        </is>
      </c>
      <c r="E1195" t="inlineStr">
        <is>
          <t>SKELLEFTEÅ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12545-2025</t>
        </is>
      </c>
      <c r="B1196" s="1" t="n">
        <v>45730.86586805555</v>
      </c>
      <c r="C1196" s="1" t="n">
        <v>46078</v>
      </c>
      <c r="D1196" t="inlineStr">
        <is>
          <t>VÄSTERBOTTENS LÄN</t>
        </is>
      </c>
      <c r="E1196" t="inlineStr">
        <is>
          <t>SKELLEFTEÅ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58776-2024</t>
        </is>
      </c>
      <c r="B1197" s="1" t="n">
        <v>45635.80726851852</v>
      </c>
      <c r="C1197" s="1" t="n">
        <v>46078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Sveaskog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33918-2025</t>
        </is>
      </c>
      <c r="B1198" s="1" t="n">
        <v>45842.61505787037</v>
      </c>
      <c r="C1198" s="1" t="n">
        <v>46078</v>
      </c>
      <c r="D1198" t="inlineStr">
        <is>
          <t>VÄSTERBOTTENS LÄN</t>
        </is>
      </c>
      <c r="E1198" t="inlineStr">
        <is>
          <t>SKELLEFTEÅ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33994-2025</t>
        </is>
      </c>
      <c r="B1199" s="1" t="n">
        <v>45843.66199074074</v>
      </c>
      <c r="C1199" s="1" t="n">
        <v>46078</v>
      </c>
      <c r="D1199" t="inlineStr">
        <is>
          <t>VÄSTERBOTTENS LÄN</t>
        </is>
      </c>
      <c r="E1199" t="inlineStr">
        <is>
          <t>SKELLEFTEÅ</t>
        </is>
      </c>
      <c r="G1199" t="n">
        <v>13.2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38301-2023</t>
        </is>
      </c>
      <c r="B1200" s="1" t="n">
        <v>45160</v>
      </c>
      <c r="C1200" s="1" t="n">
        <v>46078</v>
      </c>
      <c r="D1200" t="inlineStr">
        <is>
          <t>VÄSTERBOTTENS LÄN</t>
        </is>
      </c>
      <c r="E1200" t="inlineStr">
        <is>
          <t>SKELLEFTEÅ</t>
        </is>
      </c>
      <c r="G1200" t="n">
        <v>12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25943-2024</t>
        </is>
      </c>
      <c r="B1201" s="1" t="n">
        <v>45467</v>
      </c>
      <c r="C1201" s="1" t="n">
        <v>46078</v>
      </c>
      <c r="D1201" t="inlineStr">
        <is>
          <t>VÄSTERBOTTENS LÄN</t>
        </is>
      </c>
      <c r="E1201" t="inlineStr">
        <is>
          <t>SKELLEFTEÅ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10074-2025</t>
        </is>
      </c>
      <c r="B1202" s="1" t="n">
        <v>45719</v>
      </c>
      <c r="C1202" s="1" t="n">
        <v>46078</v>
      </c>
      <c r="D1202" t="inlineStr">
        <is>
          <t>VÄSTERBOTTENS LÄN</t>
        </is>
      </c>
      <c r="E1202" t="inlineStr">
        <is>
          <t>SKELLEFTEÅ</t>
        </is>
      </c>
      <c r="G1202" t="n">
        <v>9.699999999999999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9470-2024</t>
        </is>
      </c>
      <c r="B1203" s="1" t="n">
        <v>45359.55322916667</v>
      </c>
      <c r="C1203" s="1" t="n">
        <v>46078</v>
      </c>
      <c r="D1203" t="inlineStr">
        <is>
          <t>VÄSTERBOTTENS LÄN</t>
        </is>
      </c>
      <c r="E1203" t="inlineStr">
        <is>
          <t>SKELLEFTEÅ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20559-2024</t>
        </is>
      </c>
      <c r="B1204" s="1" t="n">
        <v>45436</v>
      </c>
      <c r="C1204" s="1" t="n">
        <v>46078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32919-2024</t>
        </is>
      </c>
      <c r="B1205" s="1" t="n">
        <v>45516.95201388889</v>
      </c>
      <c r="C1205" s="1" t="n">
        <v>46078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SCA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33736-2025</t>
        </is>
      </c>
      <c r="B1206" s="1" t="n">
        <v>45842.33180555556</v>
      </c>
      <c r="C1206" s="1" t="n">
        <v>46078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33737-2025</t>
        </is>
      </c>
      <c r="B1207" s="1" t="n">
        <v>45842.33768518519</v>
      </c>
      <c r="C1207" s="1" t="n">
        <v>46078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12759-2024</t>
        </is>
      </c>
      <c r="B1208" s="1" t="n">
        <v>45384</v>
      </c>
      <c r="C1208" s="1" t="n">
        <v>46078</v>
      </c>
      <c r="D1208" t="inlineStr">
        <is>
          <t>VÄSTERBOTTENS LÄN</t>
        </is>
      </c>
      <c r="E1208" t="inlineStr">
        <is>
          <t>SKELLEFTEÅ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33810-2025</t>
        </is>
      </c>
      <c r="B1209" s="1" t="n">
        <v>45842.45144675926</v>
      </c>
      <c r="C1209" s="1" t="n">
        <v>46078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34082-2025</t>
        </is>
      </c>
      <c r="B1210" s="1" t="n">
        <v>45845.46190972222</v>
      </c>
      <c r="C1210" s="1" t="n">
        <v>46078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4447-2023</t>
        </is>
      </c>
      <c r="B1211" s="1" t="n">
        <v>44951</v>
      </c>
      <c r="C1211" s="1" t="n">
        <v>46078</v>
      </c>
      <c r="D1211" t="inlineStr">
        <is>
          <t>VÄSTERBOTTENS LÄN</t>
        </is>
      </c>
      <c r="E1211" t="inlineStr">
        <is>
          <t>SKELLEFTEÅ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33892-2025</t>
        </is>
      </c>
      <c r="B1212" s="1" t="n">
        <v>45842.5753125</v>
      </c>
      <c r="C1212" s="1" t="n">
        <v>46078</v>
      </c>
      <c r="D1212" t="inlineStr">
        <is>
          <t>VÄSTERBOTTENS LÄN</t>
        </is>
      </c>
      <c r="E1212" t="inlineStr">
        <is>
          <t>SKELLEFTEÅ</t>
        </is>
      </c>
      <c r="G1212" t="n">
        <v>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61089-2023</t>
        </is>
      </c>
      <c r="B1213" s="1" t="n">
        <v>45260</v>
      </c>
      <c r="C1213" s="1" t="n">
        <v>46078</v>
      </c>
      <c r="D1213" t="inlineStr">
        <is>
          <t>VÄSTERBOTTENS LÄN</t>
        </is>
      </c>
      <c r="E1213" t="inlineStr">
        <is>
          <t>SKELLEFTEÅ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64598-2023</t>
        </is>
      </c>
      <c r="B1214" s="1" t="n">
        <v>45281</v>
      </c>
      <c r="C1214" s="1" t="n">
        <v>46078</v>
      </c>
      <c r="D1214" t="inlineStr">
        <is>
          <t>VÄSTERBOTTENS LÄN</t>
        </is>
      </c>
      <c r="E1214" t="inlineStr">
        <is>
          <t>SKELLEFTEÅ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18104-2021</t>
        </is>
      </c>
      <c r="B1215" s="1" t="n">
        <v>44302</v>
      </c>
      <c r="C1215" s="1" t="n">
        <v>46078</v>
      </c>
      <c r="D1215" t="inlineStr">
        <is>
          <t>VÄSTERBOTTENS LÄN</t>
        </is>
      </c>
      <c r="E1215" t="inlineStr">
        <is>
          <t>SKELLEFTEÅ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56299-2022</t>
        </is>
      </c>
      <c r="B1216" s="1" t="n">
        <v>44887</v>
      </c>
      <c r="C1216" s="1" t="n">
        <v>46078</v>
      </c>
      <c r="D1216" t="inlineStr">
        <is>
          <t>VÄSTERBOTTENS LÄN</t>
        </is>
      </c>
      <c r="E1216" t="inlineStr">
        <is>
          <t>SKELLEFTEÅ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34056-2025</t>
        </is>
      </c>
      <c r="B1217" s="1" t="n">
        <v>45845.41228009259</v>
      </c>
      <c r="C1217" s="1" t="n">
        <v>46078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11.3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33785-2025</t>
        </is>
      </c>
      <c r="B1218" s="1" t="n">
        <v>45842.40923611111</v>
      </c>
      <c r="C1218" s="1" t="n">
        <v>46078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33800-2025</t>
        </is>
      </c>
      <c r="B1219" s="1" t="n">
        <v>45842.44159722222</v>
      </c>
      <c r="C1219" s="1" t="n">
        <v>46078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34274-2025</t>
        </is>
      </c>
      <c r="B1220" s="1" t="n">
        <v>45845.86229166666</v>
      </c>
      <c r="C1220" s="1" t="n">
        <v>46078</v>
      </c>
      <c r="D1220" t="inlineStr">
        <is>
          <t>VÄSTERBOTTENS LÄN</t>
        </is>
      </c>
      <c r="E1220" t="inlineStr">
        <is>
          <t>SKELLEFTEÅ</t>
        </is>
      </c>
      <c r="G1220" t="n">
        <v>15.3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7800-2024</t>
        </is>
      </c>
      <c r="B1221" s="1" t="n">
        <v>45348</v>
      </c>
      <c r="C1221" s="1" t="n">
        <v>46078</v>
      </c>
      <c r="D1221" t="inlineStr">
        <is>
          <t>VÄSTERBOTTENS LÄN</t>
        </is>
      </c>
      <c r="E1221" t="inlineStr">
        <is>
          <t>SKELLEFTEÅ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7832-2024</t>
        </is>
      </c>
      <c r="B1222" s="1" t="n">
        <v>45349.80663194445</v>
      </c>
      <c r="C1222" s="1" t="n">
        <v>46078</v>
      </c>
      <c r="D1222" t="inlineStr">
        <is>
          <t>VÄSTERBOTTENS LÄN</t>
        </is>
      </c>
      <c r="E1222" t="inlineStr">
        <is>
          <t>SKELLEFTEÅ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34315-2025</t>
        </is>
      </c>
      <c r="B1223" s="1" t="n">
        <v>45846.4034837963</v>
      </c>
      <c r="C1223" s="1" t="n">
        <v>46078</v>
      </c>
      <c r="D1223" t="inlineStr">
        <is>
          <t>VÄSTERBOTTENS LÄN</t>
        </is>
      </c>
      <c r="E1223" t="inlineStr">
        <is>
          <t>SKELLEFTEÅ</t>
        </is>
      </c>
      <c r="G1223" t="n">
        <v>10.8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51290-2025</t>
        </is>
      </c>
      <c r="B1224" s="1" t="n">
        <v>45950.34587962963</v>
      </c>
      <c r="C1224" s="1" t="n">
        <v>46078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SCA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34471-2025</t>
        </is>
      </c>
      <c r="B1225" s="1" t="n">
        <v>45847</v>
      </c>
      <c r="C1225" s="1" t="n">
        <v>46078</v>
      </c>
      <c r="D1225" t="inlineStr">
        <is>
          <t>VÄSTERBOTTENS LÄN</t>
        </is>
      </c>
      <c r="E1225" t="inlineStr">
        <is>
          <t>SKELLEFTEÅ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34273-2025</t>
        </is>
      </c>
      <c r="B1226" s="1" t="n">
        <v>45845.85751157408</v>
      </c>
      <c r="C1226" s="1" t="n">
        <v>46078</v>
      </c>
      <c r="D1226" t="inlineStr">
        <is>
          <t>VÄSTERBOTTENS LÄN</t>
        </is>
      </c>
      <c r="E1226" t="inlineStr">
        <is>
          <t>SKELLEFTEÅ</t>
        </is>
      </c>
      <c r="G1226" t="n">
        <v>28.4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51312-2025</t>
        </is>
      </c>
      <c r="B1227" s="1" t="n">
        <v>45950.37475694445</v>
      </c>
      <c r="C1227" s="1" t="n">
        <v>46078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51641-2025</t>
        </is>
      </c>
      <c r="B1228" s="1" t="n">
        <v>45951.44424768518</v>
      </c>
      <c r="C1228" s="1" t="n">
        <v>46078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51660-2025</t>
        </is>
      </c>
      <c r="B1229" s="1" t="n">
        <v>45951.4765162037</v>
      </c>
      <c r="C1229" s="1" t="n">
        <v>46078</v>
      </c>
      <c r="D1229" t="inlineStr">
        <is>
          <t>VÄSTERBOTTENS LÄN</t>
        </is>
      </c>
      <c r="E1229" t="inlineStr">
        <is>
          <t>SKELLEFTEÅ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51420-2025</t>
        </is>
      </c>
      <c r="B1230" s="1" t="n">
        <v>45950.51708333333</v>
      </c>
      <c r="C1230" s="1" t="n">
        <v>46078</v>
      </c>
      <c r="D1230" t="inlineStr">
        <is>
          <t>VÄSTERBOTTENS LÄN</t>
        </is>
      </c>
      <c r="E1230" t="inlineStr">
        <is>
          <t>SKELLEFTEÅ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51667-2025</t>
        </is>
      </c>
      <c r="B1231" s="1" t="n">
        <v>45951.4958449074</v>
      </c>
      <c r="C1231" s="1" t="n">
        <v>46078</v>
      </c>
      <c r="D1231" t="inlineStr">
        <is>
          <t>VÄSTERBOTTENS LÄN</t>
        </is>
      </c>
      <c r="E1231" t="inlineStr">
        <is>
          <t>SKELLEFTEÅ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51670-2025</t>
        </is>
      </c>
      <c r="B1232" s="1" t="n">
        <v>45951.49685185185</v>
      </c>
      <c r="C1232" s="1" t="n">
        <v>46078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8.9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51350-2025</t>
        </is>
      </c>
      <c r="B1233" s="1" t="n">
        <v>45950.43576388889</v>
      </c>
      <c r="C1233" s="1" t="n">
        <v>46078</v>
      </c>
      <c r="D1233" t="inlineStr">
        <is>
          <t>VÄSTERBOTTENS LÄN</t>
        </is>
      </c>
      <c r="E1233" t="inlineStr">
        <is>
          <t>SKELLEFTEÅ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34362-2025</t>
        </is>
      </c>
      <c r="B1234" s="1" t="n">
        <v>45846.48827546297</v>
      </c>
      <c r="C1234" s="1" t="n">
        <v>46078</v>
      </c>
      <c r="D1234" t="inlineStr">
        <is>
          <t>VÄSTERBOTTENS LÄN</t>
        </is>
      </c>
      <c r="E1234" t="inlineStr">
        <is>
          <t>SKELLEFTEÅ</t>
        </is>
      </c>
      <c r="G1234" t="n">
        <v>9.6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34405-2025</t>
        </is>
      </c>
      <c r="B1235" s="1" t="n">
        <v>45846.6277662037</v>
      </c>
      <c r="C1235" s="1" t="n">
        <v>46078</v>
      </c>
      <c r="D1235" t="inlineStr">
        <is>
          <t>VÄSTERBOTTENS LÄN</t>
        </is>
      </c>
      <c r="E1235" t="inlineStr">
        <is>
          <t>SKELLEFTEÅ</t>
        </is>
      </c>
      <c r="G1235" t="n">
        <v>13.6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51348-2025</t>
        </is>
      </c>
      <c r="B1236" s="1" t="n">
        <v>45950.43511574074</v>
      </c>
      <c r="C1236" s="1" t="n">
        <v>46078</v>
      </c>
      <c r="D1236" t="inlineStr">
        <is>
          <t>VÄSTERBOTTENS LÄN</t>
        </is>
      </c>
      <c r="E1236" t="inlineStr">
        <is>
          <t>SKELLEFTEÅ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34437-2025</t>
        </is>
      </c>
      <c r="B1237" s="1" t="n">
        <v>45846.68461805556</v>
      </c>
      <c r="C1237" s="1" t="n">
        <v>46078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34672-2025</t>
        </is>
      </c>
      <c r="B1238" s="1" t="n">
        <v>45847</v>
      </c>
      <c r="C1238" s="1" t="n">
        <v>46078</v>
      </c>
      <c r="D1238" t="inlineStr">
        <is>
          <t>VÄSTERBOTTENS LÄN</t>
        </is>
      </c>
      <c r="E1238" t="inlineStr">
        <is>
          <t>SKELLEFTEÅ</t>
        </is>
      </c>
      <c r="G1238" t="n">
        <v>12.8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34536-2025</t>
        </is>
      </c>
      <c r="B1239" s="1" t="n">
        <v>45847.5141087963</v>
      </c>
      <c r="C1239" s="1" t="n">
        <v>46078</v>
      </c>
      <c r="D1239" t="inlineStr">
        <is>
          <t>VÄSTERBOTTENS LÄN</t>
        </is>
      </c>
      <c r="E1239" t="inlineStr">
        <is>
          <t>SKELLEFTEÅ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44483-2024</t>
        </is>
      </c>
      <c r="B1240" s="1" t="n">
        <v>45574</v>
      </c>
      <c r="C1240" s="1" t="n">
        <v>46078</v>
      </c>
      <c r="D1240" t="inlineStr">
        <is>
          <t>VÄSTERBOTTENS LÄN</t>
        </is>
      </c>
      <c r="E1240" t="inlineStr">
        <is>
          <t>SKELLEFTEÅ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51289-2025</t>
        </is>
      </c>
      <c r="B1241" s="1" t="n">
        <v>45950.34569444445</v>
      </c>
      <c r="C1241" s="1" t="n">
        <v>46078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SCA</t>
        </is>
      </c>
      <c r="G1241" t="n">
        <v>10.6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51438-2025</t>
        </is>
      </c>
      <c r="B1242" s="1" t="n">
        <v>45950.56954861111</v>
      </c>
      <c r="C1242" s="1" t="n">
        <v>46078</v>
      </c>
      <c r="D1242" t="inlineStr">
        <is>
          <t>VÄSTERBOTTENS LÄN</t>
        </is>
      </c>
      <c r="E1242" t="inlineStr">
        <is>
          <t>SKELLEFTEÅ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28153-2023</t>
        </is>
      </c>
      <c r="B1243" s="1" t="n">
        <v>45096</v>
      </c>
      <c r="C1243" s="1" t="n">
        <v>46078</v>
      </c>
      <c r="D1243" t="inlineStr">
        <is>
          <t>VÄSTERBOTTENS LÄN</t>
        </is>
      </c>
      <c r="E1243" t="inlineStr">
        <is>
          <t>SKELLEFTEÅ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28158-2023</t>
        </is>
      </c>
      <c r="B1244" s="1" t="n">
        <v>45096</v>
      </c>
      <c r="C1244" s="1" t="n">
        <v>46078</v>
      </c>
      <c r="D1244" t="inlineStr">
        <is>
          <t>VÄSTERBOTTENS LÄN</t>
        </is>
      </c>
      <c r="E1244" t="inlineStr">
        <is>
          <t>SKELLEFTEÅ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51250-2025</t>
        </is>
      </c>
      <c r="B1245" s="1" t="n">
        <v>45948.46230324074</v>
      </c>
      <c r="C1245" s="1" t="n">
        <v>46078</v>
      </c>
      <c r="D1245" t="inlineStr">
        <is>
          <t>VÄSTERBOTTENS LÄN</t>
        </is>
      </c>
      <c r="E1245" t="inlineStr">
        <is>
          <t>SKELLEFTEÅ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51594-2025</t>
        </is>
      </c>
      <c r="B1246" s="1" t="n">
        <v>45951.36555555555</v>
      </c>
      <c r="C1246" s="1" t="n">
        <v>46078</v>
      </c>
      <c r="D1246" t="inlineStr">
        <is>
          <t>VÄSTERBOTTENS LÄN</t>
        </is>
      </c>
      <c r="E1246" t="inlineStr">
        <is>
          <t>SKELLEFTEÅ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51351-2025</t>
        </is>
      </c>
      <c r="B1247" s="1" t="n">
        <v>45950.43614583334</v>
      </c>
      <c r="C1247" s="1" t="n">
        <v>46078</v>
      </c>
      <c r="D1247" t="inlineStr">
        <is>
          <t>VÄSTERBOTTENS LÄN</t>
        </is>
      </c>
      <c r="E1247" t="inlineStr">
        <is>
          <t>SKELLEFTEÅ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34678-2025</t>
        </is>
      </c>
      <c r="B1248" s="1" t="n">
        <v>45848.42638888889</v>
      </c>
      <c r="C1248" s="1" t="n">
        <v>46078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51573-2025</t>
        </is>
      </c>
      <c r="B1249" s="1" t="n">
        <v>45951.33599537037</v>
      </c>
      <c r="C1249" s="1" t="n">
        <v>46078</v>
      </c>
      <c r="D1249" t="inlineStr">
        <is>
          <t>VÄSTERBOTTENS LÄN</t>
        </is>
      </c>
      <c r="E1249" t="inlineStr">
        <is>
          <t>SKELLEFTEÅ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34724-2025</t>
        </is>
      </c>
      <c r="B1250" s="1" t="n">
        <v>45848.55504629629</v>
      </c>
      <c r="C1250" s="1" t="n">
        <v>46078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51624-2025</t>
        </is>
      </c>
      <c r="B1251" s="1" t="n">
        <v>45951.41597222222</v>
      </c>
      <c r="C1251" s="1" t="n">
        <v>46078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34657-2025</t>
        </is>
      </c>
      <c r="B1252" s="1" t="n">
        <v>45848.36267361111</v>
      </c>
      <c r="C1252" s="1" t="n">
        <v>46078</v>
      </c>
      <c r="D1252" t="inlineStr">
        <is>
          <t>VÄSTERBOTTENS LÄN</t>
        </is>
      </c>
      <c r="E1252" t="inlineStr">
        <is>
          <t>SKELLEFTEÅ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45200-2024</t>
        </is>
      </c>
      <c r="B1253" s="1" t="n">
        <v>45575.69085648148</v>
      </c>
      <c r="C1253" s="1" t="n">
        <v>46078</v>
      </c>
      <c r="D1253" t="inlineStr">
        <is>
          <t>VÄSTERBOTTENS LÄN</t>
        </is>
      </c>
      <c r="E1253" t="inlineStr">
        <is>
          <t>SKELLEFTEÅ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64370-2023</t>
        </is>
      </c>
      <c r="B1254" s="1" t="n">
        <v>45280</v>
      </c>
      <c r="C1254" s="1" t="n">
        <v>46078</v>
      </c>
      <c r="D1254" t="inlineStr">
        <is>
          <t>VÄSTERBOTTENS LÄN</t>
        </is>
      </c>
      <c r="E1254" t="inlineStr">
        <is>
          <t>SKELLEFTEÅ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34716-2025</t>
        </is>
      </c>
      <c r="B1255" s="1" t="n">
        <v>45848.52747685185</v>
      </c>
      <c r="C1255" s="1" t="n">
        <v>46078</v>
      </c>
      <c r="D1255" t="inlineStr">
        <is>
          <t>VÄSTERBOTTENS LÄN</t>
        </is>
      </c>
      <c r="E1255" t="inlineStr">
        <is>
          <t>SKELLEFTEÅ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34791-2025</t>
        </is>
      </c>
      <c r="B1256" s="1" t="n">
        <v>45848</v>
      </c>
      <c r="C1256" s="1" t="n">
        <v>46078</v>
      </c>
      <c r="D1256" t="inlineStr">
        <is>
          <t>VÄSTERBOTTENS LÄN</t>
        </is>
      </c>
      <c r="E1256" t="inlineStr">
        <is>
          <t>SKELLEFTEÅ</t>
        </is>
      </c>
      <c r="G1256" t="n">
        <v>15.9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53505-2024</t>
        </is>
      </c>
      <c r="B1257" s="1" t="n">
        <v>45614.59049768518</v>
      </c>
      <c r="C1257" s="1" t="n">
        <v>46078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19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51632-2025</t>
        </is>
      </c>
      <c r="B1258" s="1" t="n">
        <v>45951.42534722222</v>
      </c>
      <c r="C1258" s="1" t="n">
        <v>46078</v>
      </c>
      <c r="D1258" t="inlineStr">
        <is>
          <t>VÄSTERBOTTENS LÄN</t>
        </is>
      </c>
      <c r="E1258" t="inlineStr">
        <is>
          <t>SKELLEFTEÅ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51635-2025</t>
        </is>
      </c>
      <c r="B1259" s="1" t="n">
        <v>45951.43149305556</v>
      </c>
      <c r="C1259" s="1" t="n">
        <v>46078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60506-2022</t>
        </is>
      </c>
      <c r="B1260" s="1" t="n">
        <v>44911.44916666667</v>
      </c>
      <c r="C1260" s="1" t="n">
        <v>46078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Sveaskog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51630-2025</t>
        </is>
      </c>
      <c r="B1261" s="1" t="n">
        <v>45951.42327546296</v>
      </c>
      <c r="C1261" s="1" t="n">
        <v>46078</v>
      </c>
      <c r="D1261" t="inlineStr">
        <is>
          <t>VÄSTERBOTTENS LÄN</t>
        </is>
      </c>
      <c r="E1261" t="inlineStr">
        <is>
          <t>SKELLEFTEÅ</t>
        </is>
      </c>
      <c r="F1261" t="inlineStr">
        <is>
          <t>Sveaskog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2720-2023</t>
        </is>
      </c>
      <c r="B1262" s="1" t="n">
        <v>44944</v>
      </c>
      <c r="C1262" s="1" t="n">
        <v>46078</v>
      </c>
      <c r="D1262" t="inlineStr">
        <is>
          <t>VÄSTERBOTTENS LÄN</t>
        </is>
      </c>
      <c r="E1262" t="inlineStr">
        <is>
          <t>SKELLEFTEÅ</t>
        </is>
      </c>
      <c r="G1262" t="n">
        <v>31.7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51502-2025</t>
        </is>
      </c>
      <c r="B1263" s="1" t="n">
        <v>45950.63775462963</v>
      </c>
      <c r="C1263" s="1" t="n">
        <v>46078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64716-2023</t>
        </is>
      </c>
      <c r="B1264" s="1" t="n">
        <v>45281</v>
      </c>
      <c r="C1264" s="1" t="n">
        <v>46078</v>
      </c>
      <c r="D1264" t="inlineStr">
        <is>
          <t>VÄSTERBOTTENS LÄN</t>
        </is>
      </c>
      <c r="E1264" t="inlineStr">
        <is>
          <t>SKELLEFTEÅ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54476-2023</t>
        </is>
      </c>
      <c r="B1265" s="1" t="n">
        <v>45233.47082175926</v>
      </c>
      <c r="C1265" s="1" t="n">
        <v>46078</v>
      </c>
      <c r="D1265" t="inlineStr">
        <is>
          <t>VÄSTERBOTTENS LÄN</t>
        </is>
      </c>
      <c r="E1265" t="inlineStr">
        <is>
          <t>SKELLEFTEÅ</t>
        </is>
      </c>
      <c r="G1265" t="n">
        <v>11.3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35090-2025</t>
        </is>
      </c>
      <c r="B1266" s="1" t="n">
        <v>45852.52563657407</v>
      </c>
      <c r="C1266" s="1" t="n">
        <v>46078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56157-2024</t>
        </is>
      </c>
      <c r="B1267" s="1" t="n">
        <v>45623</v>
      </c>
      <c r="C1267" s="1" t="n">
        <v>46078</v>
      </c>
      <c r="D1267" t="inlineStr">
        <is>
          <t>VÄSTERBOTTENS LÄN</t>
        </is>
      </c>
      <c r="E1267" t="inlineStr">
        <is>
          <t>SKELLEFTEÅ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26031-2022</t>
        </is>
      </c>
      <c r="B1268" s="1" t="n">
        <v>44734.57721064815</v>
      </c>
      <c r="C1268" s="1" t="n">
        <v>46078</v>
      </c>
      <c r="D1268" t="inlineStr">
        <is>
          <t>VÄSTERBOTTENS LÄN</t>
        </is>
      </c>
      <c r="E1268" t="inlineStr">
        <is>
          <t>SKELLEFTEÅ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35223-2025</t>
        </is>
      </c>
      <c r="B1269" s="1" t="n">
        <v>45853.55226851852</v>
      </c>
      <c r="C1269" s="1" t="n">
        <v>46078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6.1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55654-2024</t>
        </is>
      </c>
      <c r="B1270" s="1" t="n">
        <v>45621</v>
      </c>
      <c r="C1270" s="1" t="n">
        <v>46078</v>
      </c>
      <c r="D1270" t="inlineStr">
        <is>
          <t>VÄSTERBOTTENS LÄN</t>
        </is>
      </c>
      <c r="E1270" t="inlineStr">
        <is>
          <t>SKELLEFTEÅ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29264-2025</t>
        </is>
      </c>
      <c r="B1271" s="1" t="n">
        <v>45824.39657407408</v>
      </c>
      <c r="C1271" s="1" t="n">
        <v>46078</v>
      </c>
      <c r="D1271" t="inlineStr">
        <is>
          <t>VÄSTERBOTTENS LÄN</t>
        </is>
      </c>
      <c r="E1271" t="inlineStr">
        <is>
          <t>SKELLEFTEÅ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49171-2024</t>
        </is>
      </c>
      <c r="B1272" s="1" t="n">
        <v>45595.30685185185</v>
      </c>
      <c r="C1272" s="1" t="n">
        <v>46078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Sveaskog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62047-2024</t>
        </is>
      </c>
      <c r="B1273" s="1" t="n">
        <v>45656.36306712963</v>
      </c>
      <c r="C1273" s="1" t="n">
        <v>46078</v>
      </c>
      <c r="D1273" t="inlineStr">
        <is>
          <t>VÄSTERBOTTENS LÄN</t>
        </is>
      </c>
      <c r="E1273" t="inlineStr">
        <is>
          <t>SKELLEFTEÅ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51665-2025</t>
        </is>
      </c>
      <c r="B1274" s="1" t="n">
        <v>45951.49236111111</v>
      </c>
      <c r="C1274" s="1" t="n">
        <v>46078</v>
      </c>
      <c r="D1274" t="inlineStr">
        <is>
          <t>VÄSTERBOTTENS LÄN</t>
        </is>
      </c>
      <c r="E1274" t="inlineStr">
        <is>
          <t>SKELLEFTEÅ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35428-2025</t>
        </is>
      </c>
      <c r="B1275" s="1" t="n">
        <v>45855.44019675926</v>
      </c>
      <c r="C1275" s="1" t="n">
        <v>46078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47496-2024</t>
        </is>
      </c>
      <c r="B1276" s="1" t="n">
        <v>45587</v>
      </c>
      <c r="C1276" s="1" t="n">
        <v>46078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40967-2024</t>
        </is>
      </c>
      <c r="B1277" s="1" t="n">
        <v>45558.67306712963</v>
      </c>
      <c r="C1277" s="1" t="n">
        <v>46078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Sveaskog</t>
        </is>
      </c>
      <c r="G1277" t="n">
        <v>26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35433-2025</t>
        </is>
      </c>
      <c r="B1278" s="1" t="n">
        <v>45855.4525462963</v>
      </c>
      <c r="C1278" s="1" t="n">
        <v>46078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29649-2021</t>
        </is>
      </c>
      <c r="B1279" s="1" t="n">
        <v>44362</v>
      </c>
      <c r="C1279" s="1" t="n">
        <v>46078</v>
      </c>
      <c r="D1279" t="inlineStr">
        <is>
          <t>VÄSTERBOTTENS LÄN</t>
        </is>
      </c>
      <c r="E1279" t="inlineStr">
        <is>
          <t>SKELLEFTEÅ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52095-2025</t>
        </is>
      </c>
      <c r="B1280" s="1" t="n">
        <v>45952.67899305555</v>
      </c>
      <c r="C1280" s="1" t="n">
        <v>46078</v>
      </c>
      <c r="D1280" t="inlineStr">
        <is>
          <t>VÄSTERBOTTENS LÄN</t>
        </is>
      </c>
      <c r="E1280" t="inlineStr">
        <is>
          <t>SKELLEFTEÅ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60601-2023</t>
        </is>
      </c>
      <c r="B1281" s="1" t="n">
        <v>45260</v>
      </c>
      <c r="C1281" s="1" t="n">
        <v>46078</v>
      </c>
      <c r="D1281" t="inlineStr">
        <is>
          <t>VÄSTERBOTTENS LÄN</t>
        </is>
      </c>
      <c r="E1281" t="inlineStr">
        <is>
          <t>SKELLEFTEÅ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42249-2024</t>
        </is>
      </c>
      <c r="B1282" s="1" t="n">
        <v>45562.5778587963</v>
      </c>
      <c r="C1282" s="1" t="n">
        <v>46078</v>
      </c>
      <c r="D1282" t="inlineStr">
        <is>
          <t>VÄSTERBOTTENS LÄN</t>
        </is>
      </c>
      <c r="E1282" t="inlineStr">
        <is>
          <t>SKELLEFTEÅ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29267-2025</t>
        </is>
      </c>
      <c r="B1283" s="1" t="n">
        <v>45824.40275462963</v>
      </c>
      <c r="C1283" s="1" t="n">
        <v>46078</v>
      </c>
      <c r="D1283" t="inlineStr">
        <is>
          <t>VÄSTERBOTTENS LÄN</t>
        </is>
      </c>
      <c r="E1283" t="inlineStr">
        <is>
          <t>SKELLEFTEÅ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56995-2022</t>
        </is>
      </c>
      <c r="B1284" s="1" t="n">
        <v>44894</v>
      </c>
      <c r="C1284" s="1" t="n">
        <v>46078</v>
      </c>
      <c r="D1284" t="inlineStr">
        <is>
          <t>VÄSTERBOTTENS LÄN</t>
        </is>
      </c>
      <c r="E1284" t="inlineStr">
        <is>
          <t>SKELLEFTEÅ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61569-2022</t>
        </is>
      </c>
      <c r="B1285" s="1" t="n">
        <v>44916</v>
      </c>
      <c r="C1285" s="1" t="n">
        <v>46078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Holmen skog AB</t>
        </is>
      </c>
      <c r="G1285" t="n">
        <v>14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55775-2023</t>
        </is>
      </c>
      <c r="B1286" s="1" t="n">
        <v>45232</v>
      </c>
      <c r="C1286" s="1" t="n">
        <v>46078</v>
      </c>
      <c r="D1286" t="inlineStr">
        <is>
          <t>VÄSTERBOTTENS LÄN</t>
        </is>
      </c>
      <c r="E1286" t="inlineStr">
        <is>
          <t>SKELLEFTEÅ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52037-2025</t>
        </is>
      </c>
      <c r="B1287" s="1" t="n">
        <v>45952.61508101852</v>
      </c>
      <c r="C1287" s="1" t="n">
        <v>46078</v>
      </c>
      <c r="D1287" t="inlineStr">
        <is>
          <t>VÄSTERBOTTENS LÄN</t>
        </is>
      </c>
      <c r="E1287" t="inlineStr">
        <is>
          <t>SKELLEFTEÅ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52039-2025</t>
        </is>
      </c>
      <c r="B1288" s="1" t="n">
        <v>45952.61512731481</v>
      </c>
      <c r="C1288" s="1" t="n">
        <v>46078</v>
      </c>
      <c r="D1288" t="inlineStr">
        <is>
          <t>VÄSTERBOTTENS LÄN</t>
        </is>
      </c>
      <c r="E1288" t="inlineStr">
        <is>
          <t>SKELLEFTEÅ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52042-2025</t>
        </is>
      </c>
      <c r="B1289" s="1" t="n">
        <v>45952.61533564814</v>
      </c>
      <c r="C1289" s="1" t="n">
        <v>46078</v>
      </c>
      <c r="D1289" t="inlineStr">
        <is>
          <t>VÄSTERBOTTENS LÄN</t>
        </is>
      </c>
      <c r="E1289" t="inlineStr">
        <is>
          <t>SKELLEFTEÅ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28244-2021</t>
        </is>
      </c>
      <c r="B1290" s="1" t="n">
        <v>44355</v>
      </c>
      <c r="C1290" s="1" t="n">
        <v>46078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59993-2024</t>
        </is>
      </c>
      <c r="B1291" s="1" t="n">
        <v>45642.40476851852</v>
      </c>
      <c r="C1291" s="1" t="n">
        <v>46078</v>
      </c>
      <c r="D1291" t="inlineStr">
        <is>
          <t>VÄSTERBOTTENS LÄN</t>
        </is>
      </c>
      <c r="E1291" t="inlineStr">
        <is>
          <t>SKELLEFTEÅ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24181-2025</t>
        </is>
      </c>
      <c r="B1292" s="1" t="n">
        <v>45796.78885416667</v>
      </c>
      <c r="C1292" s="1" t="n">
        <v>46078</v>
      </c>
      <c r="D1292" t="inlineStr">
        <is>
          <t>VÄSTERBOTTENS LÄN</t>
        </is>
      </c>
      <c r="E1292" t="inlineStr">
        <is>
          <t>SKELLEFTEÅ</t>
        </is>
      </c>
      <c r="G1292" t="n">
        <v>12.5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51977-2025</t>
        </is>
      </c>
      <c r="B1293" s="1" t="n">
        <v>45952.56453703704</v>
      </c>
      <c r="C1293" s="1" t="n">
        <v>46078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Holmen skog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52009-2025</t>
        </is>
      </c>
      <c r="B1294" s="1" t="n">
        <v>45952.59457175926</v>
      </c>
      <c r="C1294" s="1" t="n">
        <v>46078</v>
      </c>
      <c r="D1294" t="inlineStr">
        <is>
          <t>VÄSTERBOTTENS LÄN</t>
        </is>
      </c>
      <c r="E1294" t="inlineStr">
        <is>
          <t>SKELLEFTEÅ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52010-2025</t>
        </is>
      </c>
      <c r="B1295" s="1" t="n">
        <v>45952.59462962963</v>
      </c>
      <c r="C1295" s="1" t="n">
        <v>46078</v>
      </c>
      <c r="D1295" t="inlineStr">
        <is>
          <t>VÄSTERBOTTENS LÄN</t>
        </is>
      </c>
      <c r="E1295" t="inlineStr">
        <is>
          <t>SKELLEFTEÅ</t>
        </is>
      </c>
      <c r="G1295" t="n">
        <v>19.2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41038-2024</t>
        </is>
      </c>
      <c r="B1296" s="1" t="n">
        <v>45559.36113425926</v>
      </c>
      <c r="C1296" s="1" t="n">
        <v>46078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35772-2025</t>
        </is>
      </c>
      <c r="B1297" s="1" t="n">
        <v>45860.67483796296</v>
      </c>
      <c r="C1297" s="1" t="n">
        <v>46078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12.4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54401-2023</t>
        </is>
      </c>
      <c r="B1298" s="1" t="n">
        <v>45226</v>
      </c>
      <c r="C1298" s="1" t="n">
        <v>46078</v>
      </c>
      <c r="D1298" t="inlineStr">
        <is>
          <t>VÄSTERBOTTENS LÄN</t>
        </is>
      </c>
      <c r="E1298" t="inlineStr">
        <is>
          <t>SKELLEFTEÅ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34614-2024</t>
        </is>
      </c>
      <c r="B1299" s="1" t="n">
        <v>45526</v>
      </c>
      <c r="C1299" s="1" t="n">
        <v>46078</v>
      </c>
      <c r="D1299" t="inlineStr">
        <is>
          <t>VÄSTERBOTTENS LÄN</t>
        </is>
      </c>
      <c r="E1299" t="inlineStr">
        <is>
          <t>SKELLEFTEÅ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46302-2023</t>
        </is>
      </c>
      <c r="B1300" s="1" t="n">
        <v>45191</v>
      </c>
      <c r="C1300" s="1" t="n">
        <v>46078</v>
      </c>
      <c r="D1300" t="inlineStr">
        <is>
          <t>VÄSTERBOTTENS LÄN</t>
        </is>
      </c>
      <c r="E1300" t="inlineStr">
        <is>
          <t>SKELLEFTEÅ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35633-2025</t>
        </is>
      </c>
      <c r="B1301" s="1" t="n">
        <v>45859.45072916667</v>
      </c>
      <c r="C1301" s="1" t="n">
        <v>46078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73159-2021</t>
        </is>
      </c>
      <c r="B1302" s="1" t="n">
        <v>44550</v>
      </c>
      <c r="C1302" s="1" t="n">
        <v>46078</v>
      </c>
      <c r="D1302" t="inlineStr">
        <is>
          <t>VÄSTERBOTTENS LÄN</t>
        </is>
      </c>
      <c r="E1302" t="inlineStr">
        <is>
          <t>SKELLEFTEÅ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12694-2025</t>
        </is>
      </c>
      <c r="B1303" s="1" t="n">
        <v>45733.46015046296</v>
      </c>
      <c r="C1303" s="1" t="n">
        <v>46078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Kommuner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1627-2025</t>
        </is>
      </c>
      <c r="B1304" s="1" t="n">
        <v>45670.6259375</v>
      </c>
      <c r="C1304" s="1" t="n">
        <v>46078</v>
      </c>
      <c r="D1304" t="inlineStr">
        <is>
          <t>VÄSTERBOTTENS LÄN</t>
        </is>
      </c>
      <c r="E1304" t="inlineStr">
        <is>
          <t>SKELLEFTEÅ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51934-2025</t>
        </is>
      </c>
      <c r="B1305" s="1" t="n">
        <v>45952.51155092593</v>
      </c>
      <c r="C1305" s="1" t="n">
        <v>46078</v>
      </c>
      <c r="D1305" t="inlineStr">
        <is>
          <t>VÄSTERBOTTENS LÄN</t>
        </is>
      </c>
      <c r="E1305" t="inlineStr">
        <is>
          <t>SKELLEFTEÅ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35811-2025</t>
        </is>
      </c>
      <c r="B1306" s="1" t="n">
        <v>45861.43084490741</v>
      </c>
      <c r="C1306" s="1" t="n">
        <v>46078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21996-2022</t>
        </is>
      </c>
      <c r="B1307" s="1" t="n">
        <v>44711.56952546296</v>
      </c>
      <c r="C1307" s="1" t="n">
        <v>46078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62325-2022</t>
        </is>
      </c>
      <c r="B1308" s="1" t="n">
        <v>44916</v>
      </c>
      <c r="C1308" s="1" t="n">
        <v>46078</v>
      </c>
      <c r="D1308" t="inlineStr">
        <is>
          <t>VÄSTERBOTTENS LÄN</t>
        </is>
      </c>
      <c r="E1308" t="inlineStr">
        <is>
          <t>SKELLEFTEÅ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41320-2024</t>
        </is>
      </c>
      <c r="B1309" s="1" t="n">
        <v>45559</v>
      </c>
      <c r="C1309" s="1" t="n">
        <v>46078</v>
      </c>
      <c r="D1309" t="inlineStr">
        <is>
          <t>VÄSTERBOTTENS LÄN</t>
        </is>
      </c>
      <c r="E1309" t="inlineStr">
        <is>
          <t>SKELLEFTEÅ</t>
        </is>
      </c>
      <c r="G1309" t="n">
        <v>24.7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45039-2023</t>
        </is>
      </c>
      <c r="B1310" s="1" t="n">
        <v>45191.32686342593</v>
      </c>
      <c r="C1310" s="1" t="n">
        <v>46078</v>
      </c>
      <c r="D1310" t="inlineStr">
        <is>
          <t>VÄSTERBOTTENS LÄN</t>
        </is>
      </c>
      <c r="E1310" t="inlineStr">
        <is>
          <t>SKELLEFTEÅ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7052-2022</t>
        </is>
      </c>
      <c r="B1311" s="1" t="n">
        <v>44603</v>
      </c>
      <c r="C1311" s="1" t="n">
        <v>46078</v>
      </c>
      <c r="D1311" t="inlineStr">
        <is>
          <t>VÄSTERBOTTENS LÄN</t>
        </is>
      </c>
      <c r="E1311" t="inlineStr">
        <is>
          <t>SKELLEFTEÅ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35988-2025</t>
        </is>
      </c>
      <c r="B1312" s="1" t="n">
        <v>45863.46273148148</v>
      </c>
      <c r="C1312" s="1" t="n">
        <v>46078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17.8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35923-2025</t>
        </is>
      </c>
      <c r="B1313" s="1" t="n">
        <v>45862.57084490741</v>
      </c>
      <c r="C1313" s="1" t="n">
        <v>46078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35951-2025</t>
        </is>
      </c>
      <c r="B1314" s="1" t="n">
        <v>45863.30952546297</v>
      </c>
      <c r="C1314" s="1" t="n">
        <v>46078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35887-2025</t>
        </is>
      </c>
      <c r="B1315" s="1" t="n">
        <v>45862.43923611111</v>
      </c>
      <c r="C1315" s="1" t="n">
        <v>46078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Holmen skog AB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52094-2025</t>
        </is>
      </c>
      <c r="B1316" s="1" t="n">
        <v>45952.67895833333</v>
      </c>
      <c r="C1316" s="1" t="n">
        <v>46078</v>
      </c>
      <c r="D1316" t="inlineStr">
        <is>
          <t>VÄSTERBOTTENS LÄN</t>
        </is>
      </c>
      <c r="E1316" t="inlineStr">
        <is>
          <t>SKELLEFTEÅ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35925-2025</t>
        </is>
      </c>
      <c r="B1317" s="1" t="n">
        <v>45862.5902662037</v>
      </c>
      <c r="C1317" s="1" t="n">
        <v>46078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11907-2025</t>
        </is>
      </c>
      <c r="B1318" s="1" t="n">
        <v>45728</v>
      </c>
      <c r="C1318" s="1" t="n">
        <v>46078</v>
      </c>
      <c r="D1318" t="inlineStr">
        <is>
          <t>VÄSTERBOTTENS LÄN</t>
        </is>
      </c>
      <c r="E1318" t="inlineStr">
        <is>
          <t>SKELLEFTEÅ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35914-2025</t>
        </is>
      </c>
      <c r="B1319" s="1" t="n">
        <v>45862.5441087963</v>
      </c>
      <c r="C1319" s="1" t="n">
        <v>46078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8.1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5744-2023</t>
        </is>
      </c>
      <c r="B1320" s="1" t="n">
        <v>44962.86746527778</v>
      </c>
      <c r="C1320" s="1" t="n">
        <v>46078</v>
      </c>
      <c r="D1320" t="inlineStr">
        <is>
          <t>VÄSTERBOTTENS LÄN</t>
        </is>
      </c>
      <c r="E1320" t="inlineStr">
        <is>
          <t>SKELLEFTEÅ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35954-2025</t>
        </is>
      </c>
      <c r="B1321" s="1" t="n">
        <v>45863.31778935185</v>
      </c>
      <c r="C1321" s="1" t="n">
        <v>46078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51874-2022</t>
        </is>
      </c>
      <c r="B1322" s="1" t="n">
        <v>44872.59645833333</v>
      </c>
      <c r="C1322" s="1" t="n">
        <v>46078</v>
      </c>
      <c r="D1322" t="inlineStr">
        <is>
          <t>VÄSTERBOTTENS LÄN</t>
        </is>
      </c>
      <c r="E1322" t="inlineStr">
        <is>
          <t>SKELLEFTEÅ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55269-2024</t>
        </is>
      </c>
      <c r="B1323" s="1" t="n">
        <v>45621.61444444444</v>
      </c>
      <c r="C1323" s="1" t="n">
        <v>46078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Sveaskog</t>
        </is>
      </c>
      <c r="G1323" t="n">
        <v>9.6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52025-2025</t>
        </is>
      </c>
      <c r="B1324" s="1" t="n">
        <v>45952.60319444445</v>
      </c>
      <c r="C1324" s="1" t="n">
        <v>46078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52041-2025</t>
        </is>
      </c>
      <c r="B1325" s="1" t="n">
        <v>45952.61530092593</v>
      </c>
      <c r="C1325" s="1" t="n">
        <v>46078</v>
      </c>
      <c r="D1325" t="inlineStr">
        <is>
          <t>VÄSTERBOTTENS LÄN</t>
        </is>
      </c>
      <c r="E1325" t="inlineStr">
        <is>
          <t>SKELLEFTEÅ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1076-2023</t>
        </is>
      </c>
      <c r="B1326" s="1" t="n">
        <v>44929</v>
      </c>
      <c r="C1326" s="1" t="n">
        <v>46078</v>
      </c>
      <c r="D1326" t="inlineStr">
        <is>
          <t>VÄSTERBOTTENS LÄN</t>
        </is>
      </c>
      <c r="E1326" t="inlineStr">
        <is>
          <t>SKELLEFTEÅ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57714-2021</t>
        </is>
      </c>
      <c r="B1327" s="1" t="n">
        <v>44484.48947916667</v>
      </c>
      <c r="C1327" s="1" t="n">
        <v>46078</v>
      </c>
      <c r="D1327" t="inlineStr">
        <is>
          <t>VÄSTERBOTTENS LÄN</t>
        </is>
      </c>
      <c r="E1327" t="inlineStr">
        <is>
          <t>SKELLEFTEÅ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7981-2025</t>
        </is>
      </c>
      <c r="B1328" s="1" t="n">
        <v>45707.46899305555</v>
      </c>
      <c r="C1328" s="1" t="n">
        <v>46078</v>
      </c>
      <c r="D1328" t="inlineStr">
        <is>
          <t>VÄSTERBOTTENS LÄN</t>
        </is>
      </c>
      <c r="E1328" t="inlineStr">
        <is>
          <t>SKELLEFTEÅ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8010-2025</t>
        </is>
      </c>
      <c r="B1329" s="1" t="n">
        <v>45707.55104166667</v>
      </c>
      <c r="C1329" s="1" t="n">
        <v>46078</v>
      </c>
      <c r="D1329" t="inlineStr">
        <is>
          <t>VÄSTERBOTTENS LÄN</t>
        </is>
      </c>
      <c r="E1329" t="inlineStr">
        <is>
          <t>SKELLEFTEÅ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56960-2022</t>
        </is>
      </c>
      <c r="B1330" s="1" t="n">
        <v>44894</v>
      </c>
      <c r="C1330" s="1" t="n">
        <v>46078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59648-2023</t>
        </is>
      </c>
      <c r="B1331" s="1" t="n">
        <v>45253</v>
      </c>
      <c r="C1331" s="1" t="n">
        <v>46078</v>
      </c>
      <c r="D1331" t="inlineStr">
        <is>
          <t>VÄSTERBOTTENS LÄN</t>
        </is>
      </c>
      <c r="E1331" t="inlineStr">
        <is>
          <t>SKELLEFTEÅ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36215-2025</t>
        </is>
      </c>
      <c r="B1332" s="1" t="n">
        <v>45867.49079861111</v>
      </c>
      <c r="C1332" s="1" t="n">
        <v>46078</v>
      </c>
      <c r="D1332" t="inlineStr">
        <is>
          <t>VÄSTERBOTTENS LÄN</t>
        </is>
      </c>
      <c r="E1332" t="inlineStr">
        <is>
          <t>SKELLEFTEÅ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54449-2023</t>
        </is>
      </c>
      <c r="B1333" s="1" t="n">
        <v>45226</v>
      </c>
      <c r="C1333" s="1" t="n">
        <v>46078</v>
      </c>
      <c r="D1333" t="inlineStr">
        <is>
          <t>VÄSTERBOTTENS LÄN</t>
        </is>
      </c>
      <c r="E1333" t="inlineStr">
        <is>
          <t>SKELLEFTEÅ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16156-2025</t>
        </is>
      </c>
      <c r="B1334" s="1" t="n">
        <v>45750.49013888889</v>
      </c>
      <c r="C1334" s="1" t="n">
        <v>46078</v>
      </c>
      <c r="D1334" t="inlineStr">
        <is>
          <t>VÄSTERBOTTENS LÄN</t>
        </is>
      </c>
      <c r="E1334" t="inlineStr">
        <is>
          <t>SKELLEFTEÅ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50821-2023</t>
        </is>
      </c>
      <c r="B1335" s="1" t="n">
        <v>45217.92206018518</v>
      </c>
      <c r="C1335" s="1" t="n">
        <v>46078</v>
      </c>
      <c r="D1335" t="inlineStr">
        <is>
          <t>VÄSTERBOTTENS LÄN</t>
        </is>
      </c>
      <c r="E1335" t="inlineStr">
        <is>
          <t>SKELLEFTEÅ</t>
        </is>
      </c>
      <c r="G1335" t="n">
        <v>19.3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58298-2022</t>
        </is>
      </c>
      <c r="B1336" s="1" t="n">
        <v>44901</v>
      </c>
      <c r="C1336" s="1" t="n">
        <v>46078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Sveaskog</t>
        </is>
      </c>
      <c r="G1336" t="n">
        <v>6.1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28525-2021</t>
        </is>
      </c>
      <c r="B1337" s="1" t="n">
        <v>44356</v>
      </c>
      <c r="C1337" s="1" t="n">
        <v>46078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Kyrkan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52038-2025</t>
        </is>
      </c>
      <c r="B1338" s="1" t="n">
        <v>45952.61511574074</v>
      </c>
      <c r="C1338" s="1" t="n">
        <v>46078</v>
      </c>
      <c r="D1338" t="inlineStr">
        <is>
          <t>VÄSTERBOTTENS LÄN</t>
        </is>
      </c>
      <c r="E1338" t="inlineStr">
        <is>
          <t>SKELLEFTEÅ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9841-2025</t>
        </is>
      </c>
      <c r="B1339" s="1" t="n">
        <v>45716.60512731481</v>
      </c>
      <c r="C1339" s="1" t="n">
        <v>46078</v>
      </c>
      <c r="D1339" t="inlineStr">
        <is>
          <t>VÄSTERBOTTENS LÄN</t>
        </is>
      </c>
      <c r="E1339" t="inlineStr">
        <is>
          <t>SKELLEFTEÅ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31672-2023</t>
        </is>
      </c>
      <c r="B1340" s="1" t="n">
        <v>45117.65966435185</v>
      </c>
      <c r="C1340" s="1" t="n">
        <v>46078</v>
      </c>
      <c r="D1340" t="inlineStr">
        <is>
          <t>VÄSTERBOTTENS LÄN</t>
        </is>
      </c>
      <c r="E1340" t="inlineStr">
        <is>
          <t>SKELLEFTEÅ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10825-2024</t>
        </is>
      </c>
      <c r="B1341" s="1" t="n">
        <v>45369</v>
      </c>
      <c r="C1341" s="1" t="n">
        <v>46078</v>
      </c>
      <c r="D1341" t="inlineStr">
        <is>
          <t>VÄSTERBOTTENS LÄN</t>
        </is>
      </c>
      <c r="E1341" t="inlineStr">
        <is>
          <t>SKELLEFTEÅ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52040-2025</t>
        </is>
      </c>
      <c r="B1342" s="1" t="n">
        <v>45952.61515046296</v>
      </c>
      <c r="C1342" s="1" t="n">
        <v>46078</v>
      </c>
      <c r="D1342" t="inlineStr">
        <is>
          <t>VÄSTERBOTTENS LÄN</t>
        </is>
      </c>
      <c r="E1342" t="inlineStr">
        <is>
          <t>SKELLEFTEÅ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11314-2025</t>
        </is>
      </c>
      <c r="B1343" s="1" t="n">
        <v>45726.45561342593</v>
      </c>
      <c r="C1343" s="1" t="n">
        <v>46078</v>
      </c>
      <c r="D1343" t="inlineStr">
        <is>
          <t>VÄSTERBOTTENS LÄN</t>
        </is>
      </c>
      <c r="E1343" t="inlineStr">
        <is>
          <t>SKELLEFTEÅ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5996-2023</t>
        </is>
      </c>
      <c r="B1344" s="1" t="n">
        <v>44959</v>
      </c>
      <c r="C1344" s="1" t="n">
        <v>46078</v>
      </c>
      <c r="D1344" t="inlineStr">
        <is>
          <t>VÄSTERBOTTENS LÄN</t>
        </is>
      </c>
      <c r="E1344" t="inlineStr">
        <is>
          <t>SKELLEFTEÅ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52748-2025</t>
        </is>
      </c>
      <c r="B1345" s="1" t="n">
        <v>45957</v>
      </c>
      <c r="C1345" s="1" t="n">
        <v>46078</v>
      </c>
      <c r="D1345" t="inlineStr">
        <is>
          <t>VÄSTERBOTTENS LÄN</t>
        </is>
      </c>
      <c r="E1345" t="inlineStr">
        <is>
          <t>SKELLEFTEÅ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52956-2025</t>
        </is>
      </c>
      <c r="B1346" s="1" t="n">
        <v>45957.65681712963</v>
      </c>
      <c r="C1346" s="1" t="n">
        <v>46078</v>
      </c>
      <c r="D1346" t="inlineStr">
        <is>
          <t>VÄSTERBOTTENS LÄN</t>
        </is>
      </c>
      <c r="E1346" t="inlineStr">
        <is>
          <t>SKELLEFTEÅ</t>
        </is>
      </c>
      <c r="G1346" t="n">
        <v>9.1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47984-2022</t>
        </is>
      </c>
      <c r="B1347" s="1" t="n">
        <v>44853</v>
      </c>
      <c r="C1347" s="1" t="n">
        <v>46078</v>
      </c>
      <c r="D1347" t="inlineStr">
        <is>
          <t>VÄSTERBOTTENS LÄN</t>
        </is>
      </c>
      <c r="E1347" t="inlineStr">
        <is>
          <t>SKELLEFTEÅ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47988-2022</t>
        </is>
      </c>
      <c r="B1348" s="1" t="n">
        <v>44853</v>
      </c>
      <c r="C1348" s="1" t="n">
        <v>46078</v>
      </c>
      <c r="D1348" t="inlineStr">
        <is>
          <t>VÄSTERBOTTENS LÄN</t>
        </is>
      </c>
      <c r="E1348" t="inlineStr">
        <is>
          <t>SKELLEFTEÅ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42789-2023</t>
        </is>
      </c>
      <c r="B1349" s="1" t="n">
        <v>45181</v>
      </c>
      <c r="C1349" s="1" t="n">
        <v>46078</v>
      </c>
      <c r="D1349" t="inlineStr">
        <is>
          <t>VÄSTERBOTTENS LÄN</t>
        </is>
      </c>
      <c r="E1349" t="inlineStr">
        <is>
          <t>SKELLEFTEÅ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36761-2025</t>
        </is>
      </c>
      <c r="B1350" s="1" t="n">
        <v>45873.57328703703</v>
      </c>
      <c r="C1350" s="1" t="n">
        <v>46078</v>
      </c>
      <c r="D1350" t="inlineStr">
        <is>
          <t>VÄSTERBOTTENS LÄN</t>
        </is>
      </c>
      <c r="E1350" t="inlineStr">
        <is>
          <t>SKELLEFTEÅ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60502-2022</t>
        </is>
      </c>
      <c r="B1351" s="1" t="n">
        <v>44911.44655092592</v>
      </c>
      <c r="C1351" s="1" t="n">
        <v>46078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Sveaskog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18081-2022</t>
        </is>
      </c>
      <c r="B1352" s="1" t="n">
        <v>44684</v>
      </c>
      <c r="C1352" s="1" t="n">
        <v>46078</v>
      </c>
      <c r="D1352" t="inlineStr">
        <is>
          <t>VÄSTERBOTTENS LÄN</t>
        </is>
      </c>
      <c r="E1352" t="inlineStr">
        <is>
          <t>SKELLEFTEÅ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36640-2025</t>
        </is>
      </c>
      <c r="B1353" s="1" t="n">
        <v>45871.05299768518</v>
      </c>
      <c r="C1353" s="1" t="n">
        <v>46078</v>
      </c>
      <c r="D1353" t="inlineStr">
        <is>
          <t>VÄSTERBOTTENS LÄN</t>
        </is>
      </c>
      <c r="E1353" t="inlineStr">
        <is>
          <t>SKELLEFTEÅ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52864-2025</t>
        </is>
      </c>
      <c r="B1354" s="1" t="n">
        <v>45954</v>
      </c>
      <c r="C1354" s="1" t="n">
        <v>46078</v>
      </c>
      <c r="D1354" t="inlineStr">
        <is>
          <t>VÄSTERBOTTENS LÄN</t>
        </is>
      </c>
      <c r="E1354" t="inlineStr">
        <is>
          <t>SKELLEFTEÅ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52872-2025</t>
        </is>
      </c>
      <c r="B1355" s="1" t="n">
        <v>45957.52386574074</v>
      </c>
      <c r="C1355" s="1" t="n">
        <v>46078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52661-2025</t>
        </is>
      </c>
      <c r="B1356" s="1" t="n">
        <v>45955.46943287037</v>
      </c>
      <c r="C1356" s="1" t="n">
        <v>46078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SCA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58752-2023</t>
        </is>
      </c>
      <c r="B1357" s="1" t="n">
        <v>45251.92969907408</v>
      </c>
      <c r="C1357" s="1" t="n">
        <v>46078</v>
      </c>
      <c r="D1357" t="inlineStr">
        <is>
          <t>VÄSTERBOTTENS LÄN</t>
        </is>
      </c>
      <c r="E1357" t="inlineStr">
        <is>
          <t>SKELLEFTEÅ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58755-2023</t>
        </is>
      </c>
      <c r="B1358" s="1" t="n">
        <v>45251</v>
      </c>
      <c r="C1358" s="1" t="n">
        <v>46078</v>
      </c>
      <c r="D1358" t="inlineStr">
        <is>
          <t>VÄSTERBOTTENS LÄN</t>
        </is>
      </c>
      <c r="E1358" t="inlineStr">
        <is>
          <t>SKELLEFTEÅ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52984-2025</t>
        </is>
      </c>
      <c r="B1359" s="1" t="n">
        <v>45957</v>
      </c>
      <c r="C1359" s="1" t="n">
        <v>46078</v>
      </c>
      <c r="D1359" t="inlineStr">
        <is>
          <t>VÄSTERBOTTENS LÄN</t>
        </is>
      </c>
      <c r="E1359" t="inlineStr">
        <is>
          <t>SKELLEFTEÅ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52660-2025</t>
        </is>
      </c>
      <c r="B1360" s="1" t="n">
        <v>45955.46928240741</v>
      </c>
      <c r="C1360" s="1" t="n">
        <v>46078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SCA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3674-2025</t>
        </is>
      </c>
      <c r="B1361" s="1" t="n">
        <v>45681.43738425926</v>
      </c>
      <c r="C1361" s="1" t="n">
        <v>46078</v>
      </c>
      <c r="D1361" t="inlineStr">
        <is>
          <t>VÄSTERBOTTENS LÄN</t>
        </is>
      </c>
      <c r="E1361" t="inlineStr">
        <is>
          <t>SKELLEFTEÅ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39918-2022</t>
        </is>
      </c>
      <c r="B1362" s="1" t="n">
        <v>44819.8053125</v>
      </c>
      <c r="C1362" s="1" t="n">
        <v>46078</v>
      </c>
      <c r="D1362" t="inlineStr">
        <is>
          <t>VÄSTERBOTTENS LÄN</t>
        </is>
      </c>
      <c r="E1362" t="inlineStr">
        <is>
          <t>SKELLEFTEÅ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34670-2023</t>
        </is>
      </c>
      <c r="B1363" s="1" t="n">
        <v>45140.83440972222</v>
      </c>
      <c r="C1363" s="1" t="n">
        <v>46078</v>
      </c>
      <c r="D1363" t="inlineStr">
        <is>
          <t>VÄSTERBOTTENS LÄN</t>
        </is>
      </c>
      <c r="E1363" t="inlineStr">
        <is>
          <t>SKELLEFTEÅ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34672-2023</t>
        </is>
      </c>
      <c r="B1364" s="1" t="n">
        <v>45140.84226851852</v>
      </c>
      <c r="C1364" s="1" t="n">
        <v>46078</v>
      </c>
      <c r="D1364" t="inlineStr">
        <is>
          <t>VÄSTERBOTTENS LÄN</t>
        </is>
      </c>
      <c r="E1364" t="inlineStr">
        <is>
          <t>SKELLEFTEÅ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52558-2025</t>
        </is>
      </c>
      <c r="B1365" s="1" t="n">
        <v>45954.56898148148</v>
      </c>
      <c r="C1365" s="1" t="n">
        <v>46078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6.1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36763-2025</t>
        </is>
      </c>
      <c r="B1366" s="1" t="n">
        <v>45873.5733912037</v>
      </c>
      <c r="C1366" s="1" t="n">
        <v>46078</v>
      </c>
      <c r="D1366" t="inlineStr">
        <is>
          <t>VÄSTERBOTTENS LÄN</t>
        </is>
      </c>
      <c r="E1366" t="inlineStr">
        <is>
          <t>SKELLEFTEÅ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43474-2023</t>
        </is>
      </c>
      <c r="B1367" s="1" t="n">
        <v>45184.42844907408</v>
      </c>
      <c r="C1367" s="1" t="n">
        <v>46078</v>
      </c>
      <c r="D1367" t="inlineStr">
        <is>
          <t>VÄSTERBOTTENS LÄN</t>
        </is>
      </c>
      <c r="E1367" t="inlineStr">
        <is>
          <t>SKELLEFTEÅ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36888-2025</t>
        </is>
      </c>
      <c r="B1368" s="1" t="n">
        <v>45874.44873842593</v>
      </c>
      <c r="C1368" s="1" t="n">
        <v>46078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56983-2024</t>
        </is>
      </c>
      <c r="B1369" s="1" t="n">
        <v>45628.69109953703</v>
      </c>
      <c r="C1369" s="1" t="n">
        <v>46078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57003-2024</t>
        </is>
      </c>
      <c r="B1370" s="1" t="n">
        <v>45628.73037037037</v>
      </c>
      <c r="C1370" s="1" t="n">
        <v>46078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59932-2024</t>
        </is>
      </c>
      <c r="B1371" s="1" t="n">
        <v>45642.31251157408</v>
      </c>
      <c r="C1371" s="1" t="n">
        <v>46078</v>
      </c>
      <c r="D1371" t="inlineStr">
        <is>
          <t>VÄSTERBOTTENS LÄN</t>
        </is>
      </c>
      <c r="E1371" t="inlineStr">
        <is>
          <t>SKELLEFTEÅ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52245-2024</t>
        </is>
      </c>
      <c r="B1372" s="1" t="n">
        <v>45608.62322916667</v>
      </c>
      <c r="C1372" s="1" t="n">
        <v>46078</v>
      </c>
      <c r="D1372" t="inlineStr">
        <is>
          <t>VÄSTERBOTTENS LÄN</t>
        </is>
      </c>
      <c r="E1372" t="inlineStr">
        <is>
          <t>SKELLEFTEÅ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36954-2025</t>
        </is>
      </c>
      <c r="B1373" s="1" t="n">
        <v>45874.61121527778</v>
      </c>
      <c r="C1373" s="1" t="n">
        <v>46078</v>
      </c>
      <c r="D1373" t="inlineStr">
        <is>
          <t>VÄSTERBOTTENS LÄN</t>
        </is>
      </c>
      <c r="E1373" t="inlineStr">
        <is>
          <t>SKELLEFTEÅ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26999-2022</t>
        </is>
      </c>
      <c r="B1374" s="1" t="n">
        <v>44740</v>
      </c>
      <c r="C1374" s="1" t="n">
        <v>46078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21152-2024</t>
        </is>
      </c>
      <c r="B1375" s="1" t="n">
        <v>45440</v>
      </c>
      <c r="C1375" s="1" t="n">
        <v>46078</v>
      </c>
      <c r="D1375" t="inlineStr">
        <is>
          <t>VÄSTERBOTTENS LÄN</t>
        </is>
      </c>
      <c r="E1375" t="inlineStr">
        <is>
          <t>SKELLEFTEÅ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52388-2025</t>
        </is>
      </c>
      <c r="B1376" s="1" t="n">
        <v>45954.32572916667</v>
      </c>
      <c r="C1376" s="1" t="n">
        <v>46078</v>
      </c>
      <c r="D1376" t="inlineStr">
        <is>
          <t>VÄSTERBOTTENS LÄN</t>
        </is>
      </c>
      <c r="E1376" t="inlineStr">
        <is>
          <t>SKELLEFTEÅ</t>
        </is>
      </c>
      <c r="G1376" t="n">
        <v>8.699999999999999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52793-2025</t>
        </is>
      </c>
      <c r="B1377" s="1" t="n">
        <v>45957.43465277777</v>
      </c>
      <c r="C1377" s="1" t="n">
        <v>46078</v>
      </c>
      <c r="D1377" t="inlineStr">
        <is>
          <t>VÄSTERBOTTENS LÄN</t>
        </is>
      </c>
      <c r="E1377" t="inlineStr">
        <is>
          <t>SKELLEFTEÅ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36903-2025</t>
        </is>
      </c>
      <c r="B1378" s="1" t="n">
        <v>45874.48923611111</v>
      </c>
      <c r="C1378" s="1" t="n">
        <v>46078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Sveaskog</t>
        </is>
      </c>
      <c r="G1378" t="n">
        <v>20.5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36848-2025</t>
        </is>
      </c>
      <c r="B1379" s="1" t="n">
        <v>45874.38707175926</v>
      </c>
      <c r="C1379" s="1" t="n">
        <v>46078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52736-2025</t>
        </is>
      </c>
      <c r="B1380" s="1" t="n">
        <v>45957.37329861111</v>
      </c>
      <c r="C1380" s="1" t="n">
        <v>46078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1667-2025</t>
        </is>
      </c>
      <c r="B1381" s="1" t="n">
        <v>45670</v>
      </c>
      <c r="C1381" s="1" t="n">
        <v>46078</v>
      </c>
      <c r="D1381" t="inlineStr">
        <is>
          <t>VÄSTERBOTTENS LÄN</t>
        </is>
      </c>
      <c r="E1381" t="inlineStr">
        <is>
          <t>SKELLEFTEÅ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37192-2025</t>
        </is>
      </c>
      <c r="B1382" s="1" t="n">
        <v>45875.65143518519</v>
      </c>
      <c r="C1382" s="1" t="n">
        <v>46078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Sveaskog</t>
        </is>
      </c>
      <c r="G1382" t="n">
        <v>24.8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11078-2024</t>
        </is>
      </c>
      <c r="B1383" s="1" t="n">
        <v>45370</v>
      </c>
      <c r="C1383" s="1" t="n">
        <v>46078</v>
      </c>
      <c r="D1383" t="inlineStr">
        <is>
          <t>VÄSTERBOTTENS LÄN</t>
        </is>
      </c>
      <c r="E1383" t="inlineStr">
        <is>
          <t>SKELLEFTEÅ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36762-2025</t>
        </is>
      </c>
      <c r="B1384" s="1" t="n">
        <v>45873.57332175926</v>
      </c>
      <c r="C1384" s="1" t="n">
        <v>46078</v>
      </c>
      <c r="D1384" t="inlineStr">
        <is>
          <t>VÄSTERBOTTENS LÄN</t>
        </is>
      </c>
      <c r="E1384" t="inlineStr">
        <is>
          <t>SKELLEFTEÅ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900-2023</t>
        </is>
      </c>
      <c r="B1385" s="1" t="n">
        <v>44931.9255324074</v>
      </c>
      <c r="C1385" s="1" t="n">
        <v>46078</v>
      </c>
      <c r="D1385" t="inlineStr">
        <is>
          <t>VÄSTERBOTTENS LÄN</t>
        </is>
      </c>
      <c r="E1385" t="inlineStr">
        <is>
          <t>SKELLEFTEÅ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53311-2023</t>
        </is>
      </c>
      <c r="B1386" s="1" t="n">
        <v>45229.59980324074</v>
      </c>
      <c r="C1386" s="1" t="n">
        <v>46078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9.800000000000001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52657-2025</t>
        </is>
      </c>
      <c r="B1387" s="1" t="n">
        <v>45955.42762731481</v>
      </c>
      <c r="C1387" s="1" t="n">
        <v>46078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SCA</t>
        </is>
      </c>
      <c r="G1387" t="n">
        <v>10.2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36925-2025</t>
        </is>
      </c>
      <c r="B1388" s="1" t="n">
        <v>45874.5504050926</v>
      </c>
      <c r="C1388" s="1" t="n">
        <v>46078</v>
      </c>
      <c r="D1388" t="inlineStr">
        <is>
          <t>VÄSTERBOTTENS LÄN</t>
        </is>
      </c>
      <c r="E1388" t="inlineStr">
        <is>
          <t>SKELLEFTEÅ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36962-2025</t>
        </is>
      </c>
      <c r="B1389" s="1" t="n">
        <v>45874.63052083334</v>
      </c>
      <c r="C1389" s="1" t="n">
        <v>46078</v>
      </c>
      <c r="D1389" t="inlineStr">
        <is>
          <t>VÄSTERBOTTENS LÄN</t>
        </is>
      </c>
      <c r="E1389" t="inlineStr">
        <is>
          <t>SKELLEFTEÅ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52889-2025</t>
        </is>
      </c>
      <c r="B1390" s="1" t="n">
        <v>45957.57303240741</v>
      </c>
      <c r="C1390" s="1" t="n">
        <v>46078</v>
      </c>
      <c r="D1390" t="inlineStr">
        <is>
          <t>VÄSTERBOTTENS LÄN</t>
        </is>
      </c>
      <c r="E1390" t="inlineStr">
        <is>
          <t>SKELLEFTEÅ</t>
        </is>
      </c>
      <c r="G1390" t="n">
        <v>9.699999999999999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52419-2025</t>
        </is>
      </c>
      <c r="B1391" s="1" t="n">
        <v>45954.36858796296</v>
      </c>
      <c r="C1391" s="1" t="n">
        <v>46078</v>
      </c>
      <c r="D1391" t="inlineStr">
        <is>
          <t>VÄSTERBOTTENS LÄN</t>
        </is>
      </c>
      <c r="E1391" t="inlineStr">
        <is>
          <t>SKELLEFTEÅ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52588-2025</t>
        </is>
      </c>
      <c r="B1392" s="1" t="n">
        <v>45954.6333912037</v>
      </c>
      <c r="C1392" s="1" t="n">
        <v>46078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52596-2025</t>
        </is>
      </c>
      <c r="B1393" s="1" t="n">
        <v>45954.65212962963</v>
      </c>
      <c r="C1393" s="1" t="n">
        <v>46078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Holmen skog AB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46282-2024</t>
        </is>
      </c>
      <c r="B1394" s="1" t="n">
        <v>45581.6378587963</v>
      </c>
      <c r="C1394" s="1" t="n">
        <v>46078</v>
      </c>
      <c r="D1394" t="inlineStr">
        <is>
          <t>VÄSTERBOTTENS LÄN</t>
        </is>
      </c>
      <c r="E1394" t="inlineStr">
        <is>
          <t>SKELLEFTEÅ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65206-2023</t>
        </is>
      </c>
      <c r="B1395" s="1" t="n">
        <v>45289.45186342593</v>
      </c>
      <c r="C1395" s="1" t="n">
        <v>46078</v>
      </c>
      <c r="D1395" t="inlineStr">
        <is>
          <t>VÄSTERBOTTENS LÄN</t>
        </is>
      </c>
      <c r="E1395" t="inlineStr">
        <is>
          <t>SKELLEFTEÅ</t>
        </is>
      </c>
      <c r="G1395" t="n">
        <v>19.2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37313-2025</t>
        </is>
      </c>
      <c r="B1396" s="1" t="n">
        <v>45876.60814814815</v>
      </c>
      <c r="C1396" s="1" t="n">
        <v>46078</v>
      </c>
      <c r="D1396" t="inlineStr">
        <is>
          <t>VÄSTERBOTTENS LÄN</t>
        </is>
      </c>
      <c r="E1396" t="inlineStr">
        <is>
          <t>SKELLEFTEÅ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53026-2025</t>
        </is>
      </c>
      <c r="B1397" s="1" t="n">
        <v>45958.34028935185</v>
      </c>
      <c r="C1397" s="1" t="n">
        <v>46078</v>
      </c>
      <c r="D1397" t="inlineStr">
        <is>
          <t>VÄSTERBOTTENS LÄN</t>
        </is>
      </c>
      <c r="E1397" t="inlineStr">
        <is>
          <t>SKELLEFTEÅ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34242-2024</t>
        </is>
      </c>
      <c r="B1398" s="1" t="n">
        <v>45524.58086805556</v>
      </c>
      <c r="C1398" s="1" t="n">
        <v>46078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19.8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53050-2025</t>
        </is>
      </c>
      <c r="B1399" s="1" t="n">
        <v>45958.3625462963</v>
      </c>
      <c r="C1399" s="1" t="n">
        <v>46078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37318-2025</t>
        </is>
      </c>
      <c r="B1400" s="1" t="n">
        <v>45876.61952546296</v>
      </c>
      <c r="C1400" s="1" t="n">
        <v>46078</v>
      </c>
      <c r="D1400" t="inlineStr">
        <is>
          <t>VÄSTERBOTTENS LÄN</t>
        </is>
      </c>
      <c r="E1400" t="inlineStr">
        <is>
          <t>SKELLEFTEÅ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53376-2025</t>
        </is>
      </c>
      <c r="B1401" s="1" t="n">
        <v>45959.52413194445</v>
      </c>
      <c r="C1401" s="1" t="n">
        <v>46078</v>
      </c>
      <c r="D1401" t="inlineStr">
        <is>
          <t>VÄSTERBOTTENS LÄN</t>
        </is>
      </c>
      <c r="E1401" t="inlineStr">
        <is>
          <t>SKELLEFTEÅ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53515-2025</t>
        </is>
      </c>
      <c r="B1402" s="1" t="n">
        <v>45959</v>
      </c>
      <c r="C1402" s="1" t="n">
        <v>46078</v>
      </c>
      <c r="D1402" t="inlineStr">
        <is>
          <t>VÄSTERBOTTENS LÄN</t>
        </is>
      </c>
      <c r="E1402" t="inlineStr">
        <is>
          <t>SKELLEFTEÅ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11454-2021</t>
        </is>
      </c>
      <c r="B1403" s="1" t="n">
        <v>44264</v>
      </c>
      <c r="C1403" s="1" t="n">
        <v>46078</v>
      </c>
      <c r="D1403" t="inlineStr">
        <is>
          <t>VÄSTERBOTTENS LÄN</t>
        </is>
      </c>
      <c r="E1403" t="inlineStr">
        <is>
          <t>SKELLEFTEÅ</t>
        </is>
      </c>
      <c r="G1403" t="n">
        <v>14.6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11499-2021</t>
        </is>
      </c>
      <c r="B1404" s="1" t="n">
        <v>44264.37333333334</v>
      </c>
      <c r="C1404" s="1" t="n">
        <v>46078</v>
      </c>
      <c r="D1404" t="inlineStr">
        <is>
          <t>VÄSTERBOTTENS LÄN</t>
        </is>
      </c>
      <c r="E1404" t="inlineStr">
        <is>
          <t>SKELLEFTEÅ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37429-2025</t>
        </is>
      </c>
      <c r="B1405" s="1" t="n">
        <v>45877.50601851852</v>
      </c>
      <c r="C1405" s="1" t="n">
        <v>46078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13.4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53469-2025</t>
        </is>
      </c>
      <c r="B1406" s="1" t="n">
        <v>45959.70898148148</v>
      </c>
      <c r="C1406" s="1" t="n">
        <v>46078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Sveaskog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37322-2025</t>
        </is>
      </c>
      <c r="B1407" s="1" t="n">
        <v>45876.62466435185</v>
      </c>
      <c r="C1407" s="1" t="n">
        <v>46078</v>
      </c>
      <c r="D1407" t="inlineStr">
        <is>
          <t>VÄSTERBOTTENS LÄN</t>
        </is>
      </c>
      <c r="E1407" t="inlineStr">
        <is>
          <t>SKELLEFTEÅ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52634-2025</t>
        </is>
      </c>
      <c r="B1408" s="1" t="n">
        <v>45953</v>
      </c>
      <c r="C1408" s="1" t="n">
        <v>46078</v>
      </c>
      <c r="D1408" t="inlineStr">
        <is>
          <t>VÄSTERBOTTENS LÄN</t>
        </is>
      </c>
      <c r="E1408" t="inlineStr">
        <is>
          <t>SKELLEFTEÅ</t>
        </is>
      </c>
      <c r="G1408" t="n">
        <v>8.300000000000001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53023-2025</t>
        </is>
      </c>
      <c r="B1409" s="1" t="n">
        <v>45958.3203125</v>
      </c>
      <c r="C1409" s="1" t="n">
        <v>46078</v>
      </c>
      <c r="D1409" t="inlineStr">
        <is>
          <t>VÄSTERBOTTENS LÄN</t>
        </is>
      </c>
      <c r="E1409" t="inlineStr">
        <is>
          <t>SKELLEFTEÅ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21343-2025</t>
        </is>
      </c>
      <c r="B1410" s="1" t="n">
        <v>45782.39872685185</v>
      </c>
      <c r="C1410" s="1" t="n">
        <v>46078</v>
      </c>
      <c r="D1410" t="inlineStr">
        <is>
          <t>VÄSTERBOTTENS LÄN</t>
        </is>
      </c>
      <c r="E1410" t="inlineStr">
        <is>
          <t>SKELLEFTEÅ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11624-2023</t>
        </is>
      </c>
      <c r="B1411" s="1" t="n">
        <v>44994.42565972222</v>
      </c>
      <c r="C1411" s="1" t="n">
        <v>46078</v>
      </c>
      <c r="D1411" t="inlineStr">
        <is>
          <t>VÄSTERBOTTENS LÄN</t>
        </is>
      </c>
      <c r="E1411" t="inlineStr">
        <is>
          <t>SKELLEFTEÅ</t>
        </is>
      </c>
      <c r="G1411" t="n">
        <v>47.6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10287-2025</t>
        </is>
      </c>
      <c r="B1412" s="1" t="n">
        <v>45720</v>
      </c>
      <c r="C1412" s="1" t="n">
        <v>46078</v>
      </c>
      <c r="D1412" t="inlineStr">
        <is>
          <t>VÄSTERBOTTENS LÄN</t>
        </is>
      </c>
      <c r="E1412" t="inlineStr">
        <is>
          <t>SKELLEFTEÅ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53415-2025</t>
        </is>
      </c>
      <c r="B1413" s="1" t="n">
        <v>45959.58013888889</v>
      </c>
      <c r="C1413" s="1" t="n">
        <v>46078</v>
      </c>
      <c r="D1413" t="inlineStr">
        <is>
          <t>VÄSTERBOTTENS LÄN</t>
        </is>
      </c>
      <c r="E1413" t="inlineStr">
        <is>
          <t>SKELLEFTEÅ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37962-2025</t>
        </is>
      </c>
      <c r="B1414" s="1" t="n">
        <v>45881</v>
      </c>
      <c r="C1414" s="1" t="n">
        <v>46078</v>
      </c>
      <c r="D1414" t="inlineStr">
        <is>
          <t>VÄSTERBOTTENS LÄN</t>
        </is>
      </c>
      <c r="E1414" t="inlineStr">
        <is>
          <t>SKELLEFTEÅ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37702-2025</t>
        </is>
      </c>
      <c r="B1415" s="1" t="n">
        <v>45880.58201388889</v>
      </c>
      <c r="C1415" s="1" t="n">
        <v>46078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26920-2024</t>
        </is>
      </c>
      <c r="B1416" s="1" t="n">
        <v>45470.9305787037</v>
      </c>
      <c r="C1416" s="1" t="n">
        <v>46078</v>
      </c>
      <c r="D1416" t="inlineStr">
        <is>
          <t>VÄSTERBOTTENS LÄN</t>
        </is>
      </c>
      <c r="E1416" t="inlineStr">
        <is>
          <t>SKELLEFTEÅ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37711-2025</t>
        </is>
      </c>
      <c r="B1417" s="1" t="n">
        <v>45880.59618055556</v>
      </c>
      <c r="C1417" s="1" t="n">
        <v>46078</v>
      </c>
      <c r="D1417" t="inlineStr">
        <is>
          <t>VÄSTERBOTTENS LÄN</t>
        </is>
      </c>
      <c r="E1417" t="inlineStr">
        <is>
          <t>SKELLEFTEÅ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17751-2024</t>
        </is>
      </c>
      <c r="B1418" s="1" t="n">
        <v>45418.59936342593</v>
      </c>
      <c r="C1418" s="1" t="n">
        <v>46078</v>
      </c>
      <c r="D1418" t="inlineStr">
        <is>
          <t>VÄSTERBOTTENS LÄN</t>
        </is>
      </c>
      <c r="E1418" t="inlineStr">
        <is>
          <t>SKELLEFTEÅ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30432-2025</t>
        </is>
      </c>
      <c r="B1419" s="1" t="n">
        <v>45827.6325462963</v>
      </c>
      <c r="C1419" s="1" t="n">
        <v>46078</v>
      </c>
      <c r="D1419" t="inlineStr">
        <is>
          <t>VÄSTERBOTTENS LÄN</t>
        </is>
      </c>
      <c r="E1419" t="inlineStr">
        <is>
          <t>SKELLEFTEÅ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62052-2024</t>
        </is>
      </c>
      <c r="B1420" s="1" t="n">
        <v>45656.3674537037</v>
      </c>
      <c r="C1420" s="1" t="n">
        <v>46078</v>
      </c>
      <c r="D1420" t="inlineStr">
        <is>
          <t>VÄSTERBOTTENS LÄN</t>
        </is>
      </c>
      <c r="E1420" t="inlineStr">
        <is>
          <t>SKELLEFTEÅ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1249-2025</t>
        </is>
      </c>
      <c r="B1421" s="1" t="n">
        <v>45667.4634375</v>
      </c>
      <c r="C1421" s="1" t="n">
        <v>46078</v>
      </c>
      <c r="D1421" t="inlineStr">
        <is>
          <t>VÄSTERBOTTENS LÄN</t>
        </is>
      </c>
      <c r="E1421" t="inlineStr">
        <is>
          <t>SKELLEFTEÅ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3193-2025</t>
        </is>
      </c>
      <c r="B1422" s="1" t="n">
        <v>45679.42042824074</v>
      </c>
      <c r="C1422" s="1" t="n">
        <v>46078</v>
      </c>
      <c r="D1422" t="inlineStr">
        <is>
          <t>VÄSTERBOTTENS LÄN</t>
        </is>
      </c>
      <c r="E1422" t="inlineStr">
        <is>
          <t>SKELLEFTEÅ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17874-2025</t>
        </is>
      </c>
      <c r="B1423" s="1" t="n">
        <v>45758.64266203704</v>
      </c>
      <c r="C1423" s="1" t="n">
        <v>46078</v>
      </c>
      <c r="D1423" t="inlineStr">
        <is>
          <t>VÄSTERBOTTENS LÄN</t>
        </is>
      </c>
      <c r="E1423" t="inlineStr">
        <is>
          <t>SKELLEFTEÅ</t>
        </is>
      </c>
      <c r="G1423" t="n">
        <v>7.2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53375-2025</t>
        </is>
      </c>
      <c r="B1424" s="1" t="n">
        <v>45959.52104166667</v>
      </c>
      <c r="C1424" s="1" t="n">
        <v>46078</v>
      </c>
      <c r="D1424" t="inlineStr">
        <is>
          <t>VÄSTERBOTTENS LÄN</t>
        </is>
      </c>
      <c r="E1424" t="inlineStr">
        <is>
          <t>SKELLEFTEÅ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  <c r="U1424">
        <f>HYPERLINK("https://klasma.github.io/Logging_2482/knärot/A 53375-2025 karta knärot.png", "A 53375-2025")</f>
        <v/>
      </c>
      <c r="V1424">
        <f>HYPERLINK("https://klasma.github.io/Logging_2482/klagomål/A 53375-2025 FSC-klagomål.docx", "A 53375-2025")</f>
        <v/>
      </c>
      <c r="W1424">
        <f>HYPERLINK("https://klasma.github.io/Logging_2482/klagomålsmail/A 53375-2025 FSC-klagomål mail.docx", "A 53375-2025")</f>
        <v/>
      </c>
      <c r="X1424">
        <f>HYPERLINK("https://klasma.github.io/Logging_2482/tillsyn/A 53375-2025 tillsynsbegäran.docx", "A 53375-2025")</f>
        <v/>
      </c>
      <c r="Y1424">
        <f>HYPERLINK("https://klasma.github.io/Logging_2482/tillsynsmail/A 53375-2025 tillsynsbegäran mail.docx", "A 53375-2025")</f>
        <v/>
      </c>
    </row>
    <row r="1425" ht="15" customHeight="1">
      <c r="A1425" t="inlineStr">
        <is>
          <t>A 16519-2024</t>
        </is>
      </c>
      <c r="B1425" s="1" t="n">
        <v>45408</v>
      </c>
      <c r="C1425" s="1" t="n">
        <v>46078</v>
      </c>
      <c r="D1425" t="inlineStr">
        <is>
          <t>VÄSTERBOTTENS LÄN</t>
        </is>
      </c>
      <c r="E1425" t="inlineStr">
        <is>
          <t>SKELLEFTEÅ</t>
        </is>
      </c>
      <c r="G1425" t="n">
        <v>0.1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37900-2025</t>
        </is>
      </c>
      <c r="B1426" s="1" t="n">
        <v>45881.56103009259</v>
      </c>
      <c r="C1426" s="1" t="n">
        <v>46078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4.7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19752-2025</t>
        </is>
      </c>
      <c r="B1427" s="1" t="n">
        <v>45771.38605324074</v>
      </c>
      <c r="C1427" s="1" t="n">
        <v>46078</v>
      </c>
      <c r="D1427" t="inlineStr">
        <is>
          <t>VÄSTERBOTTENS LÄN</t>
        </is>
      </c>
      <c r="E1427" t="inlineStr">
        <is>
          <t>SKELLEFTEÅ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23925-2024</t>
        </is>
      </c>
      <c r="B1428" s="1" t="n">
        <v>45455.93157407407</v>
      </c>
      <c r="C1428" s="1" t="n">
        <v>46078</v>
      </c>
      <c r="D1428" t="inlineStr">
        <is>
          <t>VÄSTERBOTTENS LÄN</t>
        </is>
      </c>
      <c r="E1428" t="inlineStr">
        <is>
          <t>SKELLEFTEÅ</t>
        </is>
      </c>
      <c r="G1428" t="n">
        <v>6.8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49573-2023</t>
        </is>
      </c>
      <c r="B1429" s="1" t="n">
        <v>45205</v>
      </c>
      <c r="C1429" s="1" t="n">
        <v>46078</v>
      </c>
      <c r="D1429" t="inlineStr">
        <is>
          <t>VÄSTERBOTTENS LÄN</t>
        </is>
      </c>
      <c r="E1429" t="inlineStr">
        <is>
          <t>SKELLEFTEÅ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50081-2023</t>
        </is>
      </c>
      <c r="B1430" s="1" t="n">
        <v>45215.58771990741</v>
      </c>
      <c r="C1430" s="1" t="n">
        <v>46078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53410-2025</t>
        </is>
      </c>
      <c r="B1431" s="1" t="n">
        <v>45959.57429398148</v>
      </c>
      <c r="C1431" s="1" t="n">
        <v>46078</v>
      </c>
      <c r="D1431" t="inlineStr">
        <is>
          <t>VÄSTERBOTTENS LÄN</t>
        </is>
      </c>
      <c r="E1431" t="inlineStr">
        <is>
          <t>SKELLEFTEÅ</t>
        </is>
      </c>
      <c r="G1431" t="n">
        <v>9.300000000000001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53027-2025</t>
        </is>
      </c>
      <c r="B1432" s="1" t="n">
        <v>45958.34142361111</v>
      </c>
      <c r="C1432" s="1" t="n">
        <v>46078</v>
      </c>
      <c r="D1432" t="inlineStr">
        <is>
          <t>VÄSTERBOTTENS LÄN</t>
        </is>
      </c>
      <c r="E1432" t="inlineStr">
        <is>
          <t>SKELLEFTEÅ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37689-2025</t>
        </is>
      </c>
      <c r="B1433" s="1" t="n">
        <v>45880.56694444444</v>
      </c>
      <c r="C1433" s="1" t="n">
        <v>46078</v>
      </c>
      <c r="D1433" t="inlineStr">
        <is>
          <t>VÄSTERBOTTENS LÄN</t>
        </is>
      </c>
      <c r="E1433" t="inlineStr">
        <is>
          <t>SKELLEFTEÅ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37692-2025</t>
        </is>
      </c>
      <c r="B1434" s="1" t="n">
        <v>45880.57291666666</v>
      </c>
      <c r="C1434" s="1" t="n">
        <v>46078</v>
      </c>
      <c r="D1434" t="inlineStr">
        <is>
          <t>VÄSTERBOTTENS LÄN</t>
        </is>
      </c>
      <c r="E1434" t="inlineStr">
        <is>
          <t>SKELLEFTEÅ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24079-2025</t>
        </is>
      </c>
      <c r="B1435" s="1" t="n">
        <v>45796.5531712963</v>
      </c>
      <c r="C1435" s="1" t="n">
        <v>46078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47312-2023</t>
        </is>
      </c>
      <c r="B1436" s="1" t="n">
        <v>45202</v>
      </c>
      <c r="C1436" s="1" t="n">
        <v>46078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13207-2025</t>
        </is>
      </c>
      <c r="B1437" s="1" t="n">
        <v>45735.43693287037</v>
      </c>
      <c r="C1437" s="1" t="n">
        <v>46078</v>
      </c>
      <c r="D1437" t="inlineStr">
        <is>
          <t>VÄSTERBOTTENS LÄN</t>
        </is>
      </c>
      <c r="E1437" t="inlineStr">
        <is>
          <t>SKELLEFTEÅ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53512-2025</t>
        </is>
      </c>
      <c r="B1438" s="1" t="n">
        <v>45960.34540509259</v>
      </c>
      <c r="C1438" s="1" t="n">
        <v>46078</v>
      </c>
      <c r="D1438" t="inlineStr">
        <is>
          <t>VÄSTERBOTTENS LÄN</t>
        </is>
      </c>
      <c r="E1438" t="inlineStr">
        <is>
          <t>SKELLEFTEÅ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37964-2025</t>
        </is>
      </c>
      <c r="B1439" s="1" t="n">
        <v>45881</v>
      </c>
      <c r="C1439" s="1" t="n">
        <v>46078</v>
      </c>
      <c r="D1439" t="inlineStr">
        <is>
          <t>VÄSTERBOTTENS LÄN</t>
        </is>
      </c>
      <c r="E1439" t="inlineStr">
        <is>
          <t>SKELLEFTEÅ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39690-2024</t>
        </is>
      </c>
      <c r="B1440" s="1" t="n">
        <v>45552</v>
      </c>
      <c r="C1440" s="1" t="n">
        <v>46078</v>
      </c>
      <c r="D1440" t="inlineStr">
        <is>
          <t>VÄSTERBOTTENS LÄN</t>
        </is>
      </c>
      <c r="E1440" t="inlineStr">
        <is>
          <t>SKELLEFTEÅ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39691-2024</t>
        </is>
      </c>
      <c r="B1441" s="1" t="n">
        <v>45552</v>
      </c>
      <c r="C1441" s="1" t="n">
        <v>46078</v>
      </c>
      <c r="D1441" t="inlineStr">
        <is>
          <t>VÄSTERBOTTENS LÄN</t>
        </is>
      </c>
      <c r="E1441" t="inlineStr">
        <is>
          <t>SKELLEFTEÅ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38004-2025</t>
        </is>
      </c>
      <c r="B1442" s="1" t="n">
        <v>45881.92792824074</v>
      </c>
      <c r="C1442" s="1" t="n">
        <v>46078</v>
      </c>
      <c r="D1442" t="inlineStr">
        <is>
          <t>VÄSTERBOTTENS LÄN</t>
        </is>
      </c>
      <c r="E1442" t="inlineStr">
        <is>
          <t>SKELLEFTEÅ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58993-2024</t>
        </is>
      </c>
      <c r="B1443" s="1" t="n">
        <v>45636.63711805556</v>
      </c>
      <c r="C1443" s="1" t="n">
        <v>46078</v>
      </c>
      <c r="D1443" t="inlineStr">
        <is>
          <t>VÄSTERBOTTENS LÄN</t>
        </is>
      </c>
      <c r="E1443" t="inlineStr">
        <is>
          <t>SKELLEFTEÅ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4791-2022</t>
        </is>
      </c>
      <c r="B1444" s="1" t="n">
        <v>44592</v>
      </c>
      <c r="C1444" s="1" t="n">
        <v>46078</v>
      </c>
      <c r="D1444" t="inlineStr">
        <is>
          <t>VÄSTERBOTTENS LÄN</t>
        </is>
      </c>
      <c r="E1444" t="inlineStr">
        <is>
          <t>SKELLEFTEÅ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33680-2021</t>
        </is>
      </c>
      <c r="B1445" s="1" t="n">
        <v>44378.41619212963</v>
      </c>
      <c r="C1445" s="1" t="n">
        <v>46078</v>
      </c>
      <c r="D1445" t="inlineStr">
        <is>
          <t>VÄSTERBOTTENS LÄN</t>
        </is>
      </c>
      <c r="E1445" t="inlineStr">
        <is>
          <t>SKELLEFTEÅ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57186-2024</t>
        </is>
      </c>
      <c r="B1446" s="1" t="n">
        <v>45629.45423611111</v>
      </c>
      <c r="C1446" s="1" t="n">
        <v>46078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57199-2024</t>
        </is>
      </c>
      <c r="B1447" s="1" t="n">
        <v>45628</v>
      </c>
      <c r="C1447" s="1" t="n">
        <v>46078</v>
      </c>
      <c r="D1447" t="inlineStr">
        <is>
          <t>VÄSTERBOTTENS LÄN</t>
        </is>
      </c>
      <c r="E1447" t="inlineStr">
        <is>
          <t>SKELLEFTEÅ</t>
        </is>
      </c>
      <c r="G1447" t="n">
        <v>8.800000000000001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38216-2025</t>
        </is>
      </c>
      <c r="B1448" s="1" t="n">
        <v>45883.29847222222</v>
      </c>
      <c r="C1448" s="1" t="n">
        <v>46078</v>
      </c>
      <c r="D1448" t="inlineStr">
        <is>
          <t>VÄSTERBOTTENS LÄN</t>
        </is>
      </c>
      <c r="E1448" t="inlineStr">
        <is>
          <t>SKELLEFTEÅ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53531-2025</t>
        </is>
      </c>
      <c r="B1449" s="1" t="n">
        <v>45960.36533564814</v>
      </c>
      <c r="C1449" s="1" t="n">
        <v>46078</v>
      </c>
      <c r="D1449" t="inlineStr">
        <is>
          <t>VÄSTERBOTTENS LÄN</t>
        </is>
      </c>
      <c r="E1449" t="inlineStr">
        <is>
          <t>SKELLEFTEÅ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53533-2025</t>
        </is>
      </c>
      <c r="B1450" s="1" t="n">
        <v>45960.36548611111</v>
      </c>
      <c r="C1450" s="1" t="n">
        <v>46078</v>
      </c>
      <c r="D1450" t="inlineStr">
        <is>
          <t>VÄSTERBOTTENS LÄN</t>
        </is>
      </c>
      <c r="E1450" t="inlineStr">
        <is>
          <t>SKELLEFTEÅ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38070-2025</t>
        </is>
      </c>
      <c r="B1451" s="1" t="n">
        <v>45882.43864583333</v>
      </c>
      <c r="C1451" s="1" t="n">
        <v>46078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24430-2023</t>
        </is>
      </c>
      <c r="B1452" s="1" t="n">
        <v>45076</v>
      </c>
      <c r="C1452" s="1" t="n">
        <v>46078</v>
      </c>
      <c r="D1452" t="inlineStr">
        <is>
          <t>VÄSTERBOTTENS LÄN</t>
        </is>
      </c>
      <c r="E1452" t="inlineStr">
        <is>
          <t>SKELLEFTEÅ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7884-2024</t>
        </is>
      </c>
      <c r="B1453" s="1" t="n">
        <v>45349</v>
      </c>
      <c r="C1453" s="1" t="n">
        <v>46078</v>
      </c>
      <c r="D1453" t="inlineStr">
        <is>
          <t>VÄSTERBOTTENS LÄN</t>
        </is>
      </c>
      <c r="E1453" t="inlineStr">
        <is>
          <t>SKELLEFTEÅ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53959-2025</t>
        </is>
      </c>
      <c r="B1454" s="1" t="n">
        <v>45961.53371527778</v>
      </c>
      <c r="C1454" s="1" t="n">
        <v>46078</v>
      </c>
      <c r="D1454" t="inlineStr">
        <is>
          <t>VÄSTERBOTTENS LÄN</t>
        </is>
      </c>
      <c r="E1454" t="inlineStr">
        <is>
          <t>SKELLEFTEÅ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53385-2025</t>
        </is>
      </c>
      <c r="B1455" s="1" t="n">
        <v>45959.54261574074</v>
      </c>
      <c r="C1455" s="1" t="n">
        <v>46078</v>
      </c>
      <c r="D1455" t="inlineStr">
        <is>
          <t>VÄSTERBOTTENS LÄN</t>
        </is>
      </c>
      <c r="E1455" t="inlineStr">
        <is>
          <t>SKELLEFTEÅ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42791-2024</t>
        </is>
      </c>
      <c r="B1456" s="1" t="n">
        <v>45566</v>
      </c>
      <c r="C1456" s="1" t="n">
        <v>46078</v>
      </c>
      <c r="D1456" t="inlineStr">
        <is>
          <t>VÄSTERBOTTENS LÄN</t>
        </is>
      </c>
      <c r="E1456" t="inlineStr">
        <is>
          <t>SKELLEFTEÅ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37816-2025</t>
        </is>
      </c>
      <c r="B1457" s="1" t="n">
        <v>45881.38435185186</v>
      </c>
      <c r="C1457" s="1" t="n">
        <v>46078</v>
      </c>
      <c r="D1457" t="inlineStr">
        <is>
          <t>VÄSTERBOTTENS LÄN</t>
        </is>
      </c>
      <c r="E1457" t="inlineStr">
        <is>
          <t>SKELLEFTEÅ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53514-2025</t>
        </is>
      </c>
      <c r="B1458" s="1" t="n">
        <v>45960.34552083333</v>
      </c>
      <c r="C1458" s="1" t="n">
        <v>46078</v>
      </c>
      <c r="D1458" t="inlineStr">
        <is>
          <t>VÄSTERBOTTENS LÄN</t>
        </is>
      </c>
      <c r="E1458" t="inlineStr">
        <is>
          <t>SKELLEFTEÅ</t>
        </is>
      </c>
      <c r="G1458" t="n">
        <v>18.1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38214-2025</t>
        </is>
      </c>
      <c r="B1459" s="1" t="n">
        <v>45883.27512731482</v>
      </c>
      <c r="C1459" s="1" t="n">
        <v>46078</v>
      </c>
      <c r="D1459" t="inlineStr">
        <is>
          <t>VÄSTERBOTTENS LÄN</t>
        </is>
      </c>
      <c r="E1459" t="inlineStr">
        <is>
          <t>SKELLEFTEÅ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53767-2025</t>
        </is>
      </c>
      <c r="B1460" s="1" t="n">
        <v>45960.67798611111</v>
      </c>
      <c r="C1460" s="1" t="n">
        <v>46078</v>
      </c>
      <c r="D1460" t="inlineStr">
        <is>
          <t>VÄSTERBOTTENS LÄN</t>
        </is>
      </c>
      <c r="E1460" t="inlineStr">
        <is>
          <t>SKELLEFTEÅ</t>
        </is>
      </c>
      <c r="G1460" t="n">
        <v>6.9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62056-2024</t>
        </is>
      </c>
      <c r="B1461" s="1" t="n">
        <v>45656.37664351852</v>
      </c>
      <c r="C1461" s="1" t="n">
        <v>46078</v>
      </c>
      <c r="D1461" t="inlineStr">
        <is>
          <t>VÄSTERBOTTENS LÄN</t>
        </is>
      </c>
      <c r="E1461" t="inlineStr">
        <is>
          <t>SKELLEFTEÅ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53775-2025</t>
        </is>
      </c>
      <c r="B1462" s="1" t="n">
        <v>45960.68865740741</v>
      </c>
      <c r="C1462" s="1" t="n">
        <v>46078</v>
      </c>
      <c r="D1462" t="inlineStr">
        <is>
          <t>VÄSTERBOTTENS LÄN</t>
        </is>
      </c>
      <c r="E1462" t="inlineStr">
        <is>
          <t>SKELLEFTEÅ</t>
        </is>
      </c>
      <c r="G1462" t="n">
        <v>15.2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1419-2023</t>
        </is>
      </c>
      <c r="B1463" s="1" t="n">
        <v>44936</v>
      </c>
      <c r="C1463" s="1" t="n">
        <v>46078</v>
      </c>
      <c r="D1463" t="inlineStr">
        <is>
          <t>VÄSTERBOTTENS LÄN</t>
        </is>
      </c>
      <c r="E1463" t="inlineStr">
        <is>
          <t>SKELLEFTEÅ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54557-2025</t>
        </is>
      </c>
      <c r="B1464" s="1" t="n">
        <v>45965.66099537037</v>
      </c>
      <c r="C1464" s="1" t="n">
        <v>46078</v>
      </c>
      <c r="D1464" t="inlineStr">
        <is>
          <t>VÄSTERBOTTENS LÄN</t>
        </is>
      </c>
      <c r="E1464" t="inlineStr">
        <is>
          <t>SKELLEFTEÅ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54552-2025</t>
        </is>
      </c>
      <c r="B1465" s="1" t="n">
        <v>45965.658125</v>
      </c>
      <c r="C1465" s="1" t="n">
        <v>46078</v>
      </c>
      <c r="D1465" t="inlineStr">
        <is>
          <t>VÄSTERBOTTENS LÄN</t>
        </is>
      </c>
      <c r="E1465" t="inlineStr">
        <is>
          <t>SKELLEFTEÅ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3947-2024</t>
        </is>
      </c>
      <c r="B1466" s="1" t="n">
        <v>45322</v>
      </c>
      <c r="C1466" s="1" t="n">
        <v>46078</v>
      </c>
      <c r="D1466" t="inlineStr">
        <is>
          <t>VÄSTERBOTTENS LÄN</t>
        </is>
      </c>
      <c r="E1466" t="inlineStr">
        <is>
          <t>SKELLEFTEÅ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54287-2025</t>
        </is>
      </c>
      <c r="B1467" s="1" t="n">
        <v>45964.80555555555</v>
      </c>
      <c r="C1467" s="1" t="n">
        <v>46078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Sveaskog</t>
        </is>
      </c>
      <c r="G1467" t="n">
        <v>15.9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3370-2025</t>
        </is>
      </c>
      <c r="B1468" s="1" t="n">
        <v>45679</v>
      </c>
      <c r="C1468" s="1" t="n">
        <v>46078</v>
      </c>
      <c r="D1468" t="inlineStr">
        <is>
          <t>VÄSTERBOTTENS LÄN</t>
        </is>
      </c>
      <c r="E1468" t="inlineStr">
        <is>
          <t>SKELLEFTEÅ</t>
        </is>
      </c>
      <c r="G1468" t="n">
        <v>15.7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17010-2025</t>
        </is>
      </c>
      <c r="B1469" s="1" t="n">
        <v>45754</v>
      </c>
      <c r="C1469" s="1" t="n">
        <v>46078</v>
      </c>
      <c r="D1469" t="inlineStr">
        <is>
          <t>VÄSTERBOTTENS LÄN</t>
        </is>
      </c>
      <c r="E1469" t="inlineStr">
        <is>
          <t>SKELLEFTEÅ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51526-2023</t>
        </is>
      </c>
      <c r="B1470" s="1" t="n">
        <v>45222</v>
      </c>
      <c r="C1470" s="1" t="n">
        <v>46078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14.1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52500-2022</t>
        </is>
      </c>
      <c r="B1471" s="1" t="n">
        <v>44869</v>
      </c>
      <c r="C1471" s="1" t="n">
        <v>46078</v>
      </c>
      <c r="D1471" t="inlineStr">
        <is>
          <t>VÄSTERBOTTENS LÄN</t>
        </is>
      </c>
      <c r="E1471" t="inlineStr">
        <is>
          <t>SKELLEFTEÅ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49811-2024</t>
        </is>
      </c>
      <c r="B1472" s="1" t="n">
        <v>45597.39033564815</v>
      </c>
      <c r="C1472" s="1" t="n">
        <v>46078</v>
      </c>
      <c r="D1472" t="inlineStr">
        <is>
          <t>VÄSTERBOTTENS LÄN</t>
        </is>
      </c>
      <c r="E1472" t="inlineStr">
        <is>
          <t>SKELLEFTEÅ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10892-2024</t>
        </is>
      </c>
      <c r="B1473" s="1" t="n">
        <v>45370.34435185185</v>
      </c>
      <c r="C1473" s="1" t="n">
        <v>46078</v>
      </c>
      <c r="D1473" t="inlineStr">
        <is>
          <t>VÄSTERBOTTENS LÄN</t>
        </is>
      </c>
      <c r="E1473" t="inlineStr">
        <is>
          <t>SKELLEFTEÅ</t>
        </is>
      </c>
      <c r="G1473" t="n">
        <v>6.1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54109-2025</t>
        </is>
      </c>
      <c r="B1474" s="1" t="n">
        <v>45964.43076388889</v>
      </c>
      <c r="C1474" s="1" t="n">
        <v>46078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62300-2023</t>
        </is>
      </c>
      <c r="B1475" s="1" t="n">
        <v>45266</v>
      </c>
      <c r="C1475" s="1" t="n">
        <v>46078</v>
      </c>
      <c r="D1475" t="inlineStr">
        <is>
          <t>VÄSTERBOTTENS LÄN</t>
        </is>
      </c>
      <c r="E1475" t="inlineStr">
        <is>
          <t>SKELLEFTEÅ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25626-2023</t>
        </is>
      </c>
      <c r="B1476" s="1" t="n">
        <v>45084</v>
      </c>
      <c r="C1476" s="1" t="n">
        <v>46078</v>
      </c>
      <c r="D1476" t="inlineStr">
        <is>
          <t>VÄSTERBOTTENS LÄN</t>
        </is>
      </c>
      <c r="E1476" t="inlineStr">
        <is>
          <t>SKELLEFTEÅ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11527-2024</t>
        </is>
      </c>
      <c r="B1477" s="1" t="n">
        <v>45372</v>
      </c>
      <c r="C1477" s="1" t="n">
        <v>46078</v>
      </c>
      <c r="D1477" t="inlineStr">
        <is>
          <t>VÄSTERBOTTENS LÄN</t>
        </is>
      </c>
      <c r="E1477" t="inlineStr">
        <is>
          <t>SKELLEFTEÅ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54102-2025</t>
        </is>
      </c>
      <c r="B1478" s="1" t="n">
        <v>45964.42568287037</v>
      </c>
      <c r="C1478" s="1" t="n">
        <v>46078</v>
      </c>
      <c r="D1478" t="inlineStr">
        <is>
          <t>VÄSTERBOTTENS LÄN</t>
        </is>
      </c>
      <c r="E1478" t="inlineStr">
        <is>
          <t>SKELLEFTEÅ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54108-2025</t>
        </is>
      </c>
      <c r="B1479" s="1" t="n">
        <v>45964.43061342592</v>
      </c>
      <c r="C1479" s="1" t="n">
        <v>46078</v>
      </c>
      <c r="D1479" t="inlineStr">
        <is>
          <t>VÄSTERBOTTENS LÄN</t>
        </is>
      </c>
      <c r="E1479" t="inlineStr">
        <is>
          <t>SKELLEFTEÅ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54459-2025</t>
        </is>
      </c>
      <c r="B1480" s="1" t="n">
        <v>45965.55995370371</v>
      </c>
      <c r="C1480" s="1" t="n">
        <v>46078</v>
      </c>
      <c r="D1480" t="inlineStr">
        <is>
          <t>VÄSTERBOTTENS LÄN</t>
        </is>
      </c>
      <c r="E1480" t="inlineStr">
        <is>
          <t>SKELLEFTEÅ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38590-2025</t>
        </is>
      </c>
      <c r="B1481" s="1" t="n">
        <v>45884.47512731481</v>
      </c>
      <c r="C1481" s="1" t="n">
        <v>46078</v>
      </c>
      <c r="D1481" t="inlineStr">
        <is>
          <t>VÄSTERBOTTENS LÄN</t>
        </is>
      </c>
      <c r="E1481" t="inlineStr">
        <is>
          <t>SKELLEFTEÅ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13641-2023</t>
        </is>
      </c>
      <c r="B1482" s="1" t="n">
        <v>45006</v>
      </c>
      <c r="C1482" s="1" t="n">
        <v>46078</v>
      </c>
      <c r="D1482" t="inlineStr">
        <is>
          <t>VÄSTERBOTTENS LÄN</t>
        </is>
      </c>
      <c r="E1482" t="inlineStr">
        <is>
          <t>SKELLEFTEÅ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54572-2025</t>
        </is>
      </c>
      <c r="B1483" s="1" t="n">
        <v>45965</v>
      </c>
      <c r="C1483" s="1" t="n">
        <v>46078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Kyrkan</t>
        </is>
      </c>
      <c r="G1483" t="n">
        <v>12.8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54464-2025</t>
        </is>
      </c>
      <c r="B1484" s="1" t="n">
        <v>45965.56611111111</v>
      </c>
      <c r="C1484" s="1" t="n">
        <v>46078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Sveaskog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54036-2025</t>
        </is>
      </c>
      <c r="B1485" s="1" t="n">
        <v>45963.46949074074</v>
      </c>
      <c r="C1485" s="1" t="n">
        <v>46078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54288-2025</t>
        </is>
      </c>
      <c r="B1486" s="1" t="n">
        <v>45964.80960648148</v>
      </c>
      <c r="C1486" s="1" t="n">
        <v>46078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Sveaskog</t>
        </is>
      </c>
      <c r="G1486" t="n">
        <v>18.2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54969-2025</t>
        </is>
      </c>
      <c r="B1487" s="1" t="n">
        <v>45967.49447916666</v>
      </c>
      <c r="C1487" s="1" t="n">
        <v>46078</v>
      </c>
      <c r="D1487" t="inlineStr">
        <is>
          <t>VÄSTERBOTTENS LÄN</t>
        </is>
      </c>
      <c r="E1487" t="inlineStr">
        <is>
          <t>SKELLEFTEÅ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54985-2025</t>
        </is>
      </c>
      <c r="B1488" s="1" t="n">
        <v>45967.55665509259</v>
      </c>
      <c r="C1488" s="1" t="n">
        <v>46078</v>
      </c>
      <c r="D1488" t="inlineStr">
        <is>
          <t>VÄSTERBOTTENS LÄN</t>
        </is>
      </c>
      <c r="E1488" t="inlineStr">
        <is>
          <t>SKELLEFTEÅ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54967-2025</t>
        </is>
      </c>
      <c r="B1489" s="1" t="n">
        <v>45967.49174768518</v>
      </c>
      <c r="C1489" s="1" t="n">
        <v>46078</v>
      </c>
      <c r="D1489" t="inlineStr">
        <is>
          <t>VÄSTERBOTTENS LÄN</t>
        </is>
      </c>
      <c r="E1489" t="inlineStr">
        <is>
          <t>SKELLEFTEÅ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25632-2023</t>
        </is>
      </c>
      <c r="B1490" s="1" t="n">
        <v>45084</v>
      </c>
      <c r="C1490" s="1" t="n">
        <v>46078</v>
      </c>
      <c r="D1490" t="inlineStr">
        <is>
          <t>VÄSTERBOTTENS LÄN</t>
        </is>
      </c>
      <c r="E1490" t="inlineStr">
        <is>
          <t>SKELLEFTEÅ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58821-2023</t>
        </is>
      </c>
      <c r="B1491" s="1" t="n">
        <v>45247</v>
      </c>
      <c r="C1491" s="1" t="n">
        <v>46078</v>
      </c>
      <c r="D1491" t="inlineStr">
        <is>
          <t>VÄSTERBOTTENS LÄN</t>
        </is>
      </c>
      <c r="E1491" t="inlineStr">
        <is>
          <t>SKELLEFTEÅ</t>
        </is>
      </c>
      <c r="G1491" t="n">
        <v>15.6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54795-2025</t>
        </is>
      </c>
      <c r="B1492" s="1" t="n">
        <v>45966.63616898148</v>
      </c>
      <c r="C1492" s="1" t="n">
        <v>46078</v>
      </c>
      <c r="D1492" t="inlineStr">
        <is>
          <t>VÄSTERBOTTENS LÄN</t>
        </is>
      </c>
      <c r="E1492" t="inlineStr">
        <is>
          <t>SKELLEFTEÅ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54180-2025</t>
        </is>
      </c>
      <c r="B1493" s="1" t="n">
        <v>45964</v>
      </c>
      <c r="C1493" s="1" t="n">
        <v>46078</v>
      </c>
      <c r="D1493" t="inlineStr">
        <is>
          <t>VÄSTERBOTTENS LÄN</t>
        </is>
      </c>
      <c r="E1493" t="inlineStr">
        <is>
          <t>SKELLEFTEÅ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55241-2024</t>
        </is>
      </c>
      <c r="B1494" s="1" t="n">
        <v>45621.5884375</v>
      </c>
      <c r="C1494" s="1" t="n">
        <v>46078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1498-2024</t>
        </is>
      </c>
      <c r="B1495" s="1" t="n">
        <v>45306</v>
      </c>
      <c r="C1495" s="1" t="n">
        <v>46078</v>
      </c>
      <c r="D1495" t="inlineStr">
        <is>
          <t>VÄSTERBOTTENS LÄN</t>
        </is>
      </c>
      <c r="E1495" t="inlineStr">
        <is>
          <t>SKELLEFTEÅ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9840-2025</t>
        </is>
      </c>
      <c r="B1496" s="1" t="n">
        <v>45716</v>
      </c>
      <c r="C1496" s="1" t="n">
        <v>46078</v>
      </c>
      <c r="D1496" t="inlineStr">
        <is>
          <t>VÄSTERBOTTENS LÄN</t>
        </is>
      </c>
      <c r="E1496" t="inlineStr">
        <is>
          <t>SKELLEFTEÅ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54889-2025</t>
        </is>
      </c>
      <c r="B1497" s="1" t="n">
        <v>45967</v>
      </c>
      <c r="C1497" s="1" t="n">
        <v>46078</v>
      </c>
      <c r="D1497" t="inlineStr">
        <is>
          <t>VÄSTERBOTTENS LÄN</t>
        </is>
      </c>
      <c r="E1497" t="inlineStr">
        <is>
          <t>SKELLEFTEÅ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54921-2025</t>
        </is>
      </c>
      <c r="B1498" s="1" t="n">
        <v>45967.39020833333</v>
      </c>
      <c r="C1498" s="1" t="n">
        <v>46078</v>
      </c>
      <c r="D1498" t="inlineStr">
        <is>
          <t>VÄSTERBOTTENS LÄN</t>
        </is>
      </c>
      <c r="E1498" t="inlineStr">
        <is>
          <t>SKELLEFTEÅ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31384-2024</t>
        </is>
      </c>
      <c r="B1499" s="1" t="n">
        <v>45505</v>
      </c>
      <c r="C1499" s="1" t="n">
        <v>46078</v>
      </c>
      <c r="D1499" t="inlineStr">
        <is>
          <t>VÄSTERBOTTENS LÄN</t>
        </is>
      </c>
      <c r="E1499" t="inlineStr">
        <is>
          <t>SKELLEFTEÅ</t>
        </is>
      </c>
      <c r="G1499" t="n">
        <v>19.9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58775-2024</t>
        </is>
      </c>
      <c r="B1500" s="1" t="n">
        <v>45635.80533564815</v>
      </c>
      <c r="C1500" s="1" t="n">
        <v>46078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Sveaskog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12939-2025</t>
        </is>
      </c>
      <c r="B1501" s="1" t="n">
        <v>45734.36378472222</v>
      </c>
      <c r="C1501" s="1" t="n">
        <v>46078</v>
      </c>
      <c r="D1501" t="inlineStr">
        <is>
          <t>VÄSTERBOTTENS LÄN</t>
        </is>
      </c>
      <c r="E1501" t="inlineStr">
        <is>
          <t>SKELLEFTEÅ</t>
        </is>
      </c>
      <c r="G1501" t="n">
        <v>10.6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38954-2025</t>
        </is>
      </c>
      <c r="B1502" s="1" t="n">
        <v>45887.66715277778</v>
      </c>
      <c r="C1502" s="1" t="n">
        <v>46078</v>
      </c>
      <c r="D1502" t="inlineStr">
        <is>
          <t>VÄSTERBOTTENS LÄN</t>
        </is>
      </c>
      <c r="E1502" t="inlineStr">
        <is>
          <t>SKELLEFTEÅ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39089-2025</t>
        </is>
      </c>
      <c r="B1503" s="1" t="n">
        <v>45887</v>
      </c>
      <c r="C1503" s="1" t="n">
        <v>46078</v>
      </c>
      <c r="D1503" t="inlineStr">
        <is>
          <t>VÄSTERBOTTENS LÄN</t>
        </is>
      </c>
      <c r="E1503" t="inlineStr">
        <is>
          <t>SKELLEFTEÅ</t>
        </is>
      </c>
      <c r="G1503" t="n">
        <v>31.5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55051-2025</t>
        </is>
      </c>
      <c r="B1504" s="1" t="n">
        <v>45967.67128472222</v>
      </c>
      <c r="C1504" s="1" t="n">
        <v>46078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Sveaskog</t>
        </is>
      </c>
      <c r="G1504" t="n">
        <v>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36800-2024</t>
        </is>
      </c>
      <c r="B1505" s="1" t="n">
        <v>45538.45694444444</v>
      </c>
      <c r="C1505" s="1" t="n">
        <v>46078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38778-2025</t>
        </is>
      </c>
      <c r="B1506" s="1" t="n">
        <v>45887.43694444445</v>
      </c>
      <c r="C1506" s="1" t="n">
        <v>46078</v>
      </c>
      <c r="D1506" t="inlineStr">
        <is>
          <t>VÄSTERBOTTENS LÄN</t>
        </is>
      </c>
      <c r="E1506" t="inlineStr">
        <is>
          <t>SKELLEFTEÅ</t>
        </is>
      </c>
      <c r="G1506" t="n">
        <v>19.7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54469-2023</t>
        </is>
      </c>
      <c r="B1507" s="1" t="n">
        <v>45226</v>
      </c>
      <c r="C1507" s="1" t="n">
        <v>46078</v>
      </c>
      <c r="D1507" t="inlineStr">
        <is>
          <t>VÄSTERBOTTENS LÄN</t>
        </is>
      </c>
      <c r="E1507" t="inlineStr">
        <is>
          <t>SKELLEFTEÅ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54915-2025</t>
        </is>
      </c>
      <c r="B1508" s="1" t="n">
        <v>45967.38572916666</v>
      </c>
      <c r="C1508" s="1" t="n">
        <v>46078</v>
      </c>
      <c r="D1508" t="inlineStr">
        <is>
          <t>VÄSTERBOTTENS LÄN</t>
        </is>
      </c>
      <c r="E1508" t="inlineStr">
        <is>
          <t>SKELLEFTEÅ</t>
        </is>
      </c>
      <c r="G1508" t="n">
        <v>6.5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55030-2025</t>
        </is>
      </c>
      <c r="B1509" s="1" t="n">
        <v>45967.64042824074</v>
      </c>
      <c r="C1509" s="1" t="n">
        <v>46078</v>
      </c>
      <c r="D1509" t="inlineStr">
        <is>
          <t>VÄSTERBOTTENS LÄN</t>
        </is>
      </c>
      <c r="E1509" t="inlineStr">
        <is>
          <t>SKELLEFTEÅ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38500-2025</t>
        </is>
      </c>
      <c r="B1510" s="1" t="n">
        <v>45884.37513888889</v>
      </c>
      <c r="C1510" s="1" t="n">
        <v>46078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41190-2024</t>
        </is>
      </c>
      <c r="B1511" s="1" t="n">
        <v>45559.50627314814</v>
      </c>
      <c r="C1511" s="1" t="n">
        <v>46078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55020-2025</t>
        </is>
      </c>
      <c r="B1512" s="1" t="n">
        <v>45967.62662037037</v>
      </c>
      <c r="C1512" s="1" t="n">
        <v>46078</v>
      </c>
      <c r="D1512" t="inlineStr">
        <is>
          <t>VÄSTERBOTTENS LÄN</t>
        </is>
      </c>
      <c r="E1512" t="inlineStr">
        <is>
          <t>SKELLEFTEÅ</t>
        </is>
      </c>
      <c r="G1512" t="n">
        <v>7.2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54690-2025</t>
        </is>
      </c>
      <c r="B1513" s="1" t="n">
        <v>45966.45320601852</v>
      </c>
      <c r="C1513" s="1" t="n">
        <v>46078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Sveaskog</t>
        </is>
      </c>
      <c r="G1513" t="n">
        <v>12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54658-2025</t>
        </is>
      </c>
      <c r="B1514" s="1" t="n">
        <v>45966.40230324074</v>
      </c>
      <c r="C1514" s="1" t="n">
        <v>46078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42946-2022</t>
        </is>
      </c>
      <c r="B1515" s="1" t="n">
        <v>44833.38583333333</v>
      </c>
      <c r="C1515" s="1" t="n">
        <v>46078</v>
      </c>
      <c r="D1515" t="inlineStr">
        <is>
          <t>VÄSTERBOTTENS LÄN</t>
        </is>
      </c>
      <c r="E1515" t="inlineStr">
        <is>
          <t>SKELLEFTEÅ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55394-2025</t>
        </is>
      </c>
      <c r="B1516" s="1" t="n">
        <v>45971.4484837963</v>
      </c>
      <c r="C1516" s="1" t="n">
        <v>46078</v>
      </c>
      <c r="D1516" t="inlineStr">
        <is>
          <t>VÄSTERBOTTENS LÄN</t>
        </is>
      </c>
      <c r="E1516" t="inlineStr">
        <is>
          <t>SKELLEFTEÅ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11528-2024</t>
        </is>
      </c>
      <c r="B1517" s="1" t="n">
        <v>45372</v>
      </c>
      <c r="C1517" s="1" t="n">
        <v>46078</v>
      </c>
      <c r="D1517" t="inlineStr">
        <is>
          <t>VÄSTERBOTTENS LÄN</t>
        </is>
      </c>
      <c r="E1517" t="inlineStr">
        <is>
          <t>SKELLEFTEÅ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55552-2025</t>
        </is>
      </c>
      <c r="B1518" s="1" t="n">
        <v>45971.64434027778</v>
      </c>
      <c r="C1518" s="1" t="n">
        <v>46078</v>
      </c>
      <c r="D1518" t="inlineStr">
        <is>
          <t>VÄSTERBOTTENS LÄN</t>
        </is>
      </c>
      <c r="E1518" t="inlineStr">
        <is>
          <t>SKELLEFTEÅ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55558-2025</t>
        </is>
      </c>
      <c r="B1519" s="1" t="n">
        <v>45971.64960648148</v>
      </c>
      <c r="C1519" s="1" t="n">
        <v>46078</v>
      </c>
      <c r="D1519" t="inlineStr">
        <is>
          <t>VÄSTERBOTTENS LÄN</t>
        </is>
      </c>
      <c r="E1519" t="inlineStr">
        <is>
          <t>SKELLEFTEÅ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5639-2024</t>
        </is>
      </c>
      <c r="B1520" s="1" t="n">
        <v>45334.61408564815</v>
      </c>
      <c r="C1520" s="1" t="n">
        <v>46078</v>
      </c>
      <c r="D1520" t="inlineStr">
        <is>
          <t>VÄSTERBOTTENS LÄN</t>
        </is>
      </c>
      <c r="E1520" t="inlineStr">
        <is>
          <t>SKELLEFTEÅ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55393-2025</t>
        </is>
      </c>
      <c r="B1521" s="1" t="n">
        <v>45971.44847222222</v>
      </c>
      <c r="C1521" s="1" t="n">
        <v>46078</v>
      </c>
      <c r="D1521" t="inlineStr">
        <is>
          <t>VÄSTERBOTTENS LÄN</t>
        </is>
      </c>
      <c r="E1521" t="inlineStr">
        <is>
          <t>SKELLEFTEÅ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62227-2021</t>
        </is>
      </c>
      <c r="B1522" s="1" t="n">
        <v>44501</v>
      </c>
      <c r="C1522" s="1" t="n">
        <v>46078</v>
      </c>
      <c r="D1522" t="inlineStr">
        <is>
          <t>VÄSTERBOTTENS LÄN</t>
        </is>
      </c>
      <c r="E1522" t="inlineStr">
        <is>
          <t>SKELLEFTEÅ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31392-2024</t>
        </is>
      </c>
      <c r="B1523" s="1" t="n">
        <v>45505.4709375</v>
      </c>
      <c r="C1523" s="1" t="n">
        <v>46078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55464-2025</t>
        </is>
      </c>
      <c r="B1524" s="1" t="n">
        <v>45971</v>
      </c>
      <c r="C1524" s="1" t="n">
        <v>46078</v>
      </c>
      <c r="D1524" t="inlineStr">
        <is>
          <t>VÄSTERBOTTENS LÄN</t>
        </is>
      </c>
      <c r="E1524" t="inlineStr">
        <is>
          <t>SKELLEFTEÅ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55469-2025</t>
        </is>
      </c>
      <c r="B1525" s="1" t="n">
        <v>45971.53099537037</v>
      </c>
      <c r="C1525" s="1" t="n">
        <v>46078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17.5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54971-2024</t>
        </is>
      </c>
      <c r="B1526" s="1" t="n">
        <v>45620</v>
      </c>
      <c r="C1526" s="1" t="n">
        <v>46078</v>
      </c>
      <c r="D1526" t="inlineStr">
        <is>
          <t>VÄSTERBOTTENS LÄN</t>
        </is>
      </c>
      <c r="E1526" t="inlineStr">
        <is>
          <t>SKELLEFTEÅ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3844-2025</t>
        </is>
      </c>
      <c r="B1527" s="1" t="n">
        <v>45683.67905092592</v>
      </c>
      <c r="C1527" s="1" t="n">
        <v>46078</v>
      </c>
      <c r="D1527" t="inlineStr">
        <is>
          <t>VÄSTERBOTTENS LÄN</t>
        </is>
      </c>
      <c r="E1527" t="inlineStr">
        <is>
          <t>SKELLEFTEÅ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3892-2025</t>
        </is>
      </c>
      <c r="B1528" s="1" t="n">
        <v>45684.37506944445</v>
      </c>
      <c r="C1528" s="1" t="n">
        <v>46078</v>
      </c>
      <c r="D1528" t="inlineStr">
        <is>
          <t>VÄSTERBOTTENS LÄN</t>
        </is>
      </c>
      <c r="E1528" t="inlineStr">
        <is>
          <t>SKELLEFTEÅ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42367-2021</t>
        </is>
      </c>
      <c r="B1529" s="1" t="n">
        <v>44427</v>
      </c>
      <c r="C1529" s="1" t="n">
        <v>46078</v>
      </c>
      <c r="D1529" t="inlineStr">
        <is>
          <t>VÄSTERBOTTENS LÄN</t>
        </is>
      </c>
      <c r="E1529" t="inlineStr">
        <is>
          <t>SKELLEFTEÅ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44398-2022</t>
        </is>
      </c>
      <c r="B1530" s="1" t="n">
        <v>44839</v>
      </c>
      <c r="C1530" s="1" t="n">
        <v>46078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22.3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55247-2025</t>
        </is>
      </c>
      <c r="B1531" s="1" t="n">
        <v>45968.62555555555</v>
      </c>
      <c r="C1531" s="1" t="n">
        <v>46078</v>
      </c>
      <c r="D1531" t="inlineStr">
        <is>
          <t>VÄSTERBOTTENS LÄN</t>
        </is>
      </c>
      <c r="E1531" t="inlineStr">
        <is>
          <t>SKELLEFTEÅ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55251-2025</t>
        </is>
      </c>
      <c r="B1532" s="1" t="n">
        <v>45968</v>
      </c>
      <c r="C1532" s="1" t="n">
        <v>46078</v>
      </c>
      <c r="D1532" t="inlineStr">
        <is>
          <t>VÄSTERBOTTENS LÄN</t>
        </is>
      </c>
      <c r="E1532" t="inlineStr">
        <is>
          <t>SKELLEFTEÅ</t>
        </is>
      </c>
      <c r="G1532" t="n">
        <v>12.6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55252-2025</t>
        </is>
      </c>
      <c r="B1533" s="1" t="n">
        <v>45968.63385416667</v>
      </c>
      <c r="C1533" s="1" t="n">
        <v>46078</v>
      </c>
      <c r="D1533" t="inlineStr">
        <is>
          <t>VÄSTERBOTTENS LÄN</t>
        </is>
      </c>
      <c r="E1533" t="inlineStr">
        <is>
          <t>SKELLEFTEÅ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61559-2024</t>
        </is>
      </c>
      <c r="B1534" s="1" t="n">
        <v>45646.61180555556</v>
      </c>
      <c r="C1534" s="1" t="n">
        <v>46078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Sveaskog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7028-2025</t>
        </is>
      </c>
      <c r="B1535" s="1" t="n">
        <v>45701.63065972222</v>
      </c>
      <c r="C1535" s="1" t="n">
        <v>46078</v>
      </c>
      <c r="D1535" t="inlineStr">
        <is>
          <t>VÄSTERBOTTENS LÄN</t>
        </is>
      </c>
      <c r="E1535" t="inlineStr">
        <is>
          <t>SKELLEFTEÅ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55088-2025</t>
        </is>
      </c>
      <c r="B1536" s="1" t="n">
        <v>45968.33479166667</v>
      </c>
      <c r="C1536" s="1" t="n">
        <v>46078</v>
      </c>
      <c r="D1536" t="inlineStr">
        <is>
          <t>VÄSTERBOTTENS LÄN</t>
        </is>
      </c>
      <c r="E1536" t="inlineStr">
        <is>
          <t>SKELLEFTEÅ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9425-2024</t>
        </is>
      </c>
      <c r="B1537" s="1" t="n">
        <v>45359</v>
      </c>
      <c r="C1537" s="1" t="n">
        <v>46078</v>
      </c>
      <c r="D1537" t="inlineStr">
        <is>
          <t>VÄSTERBOTTENS LÄN</t>
        </is>
      </c>
      <c r="E1537" t="inlineStr">
        <is>
          <t>SKELLEFTEÅ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55231-2025</t>
        </is>
      </c>
      <c r="B1538" s="1" t="n">
        <v>45968.60631944444</v>
      </c>
      <c r="C1538" s="1" t="n">
        <v>46078</v>
      </c>
      <c r="D1538" t="inlineStr">
        <is>
          <t>VÄSTERBOTTENS LÄN</t>
        </is>
      </c>
      <c r="E1538" t="inlineStr">
        <is>
          <t>SKELLEFTEÅ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19658-2025</t>
        </is>
      </c>
      <c r="B1539" s="1" t="n">
        <v>45770</v>
      </c>
      <c r="C1539" s="1" t="n">
        <v>46078</v>
      </c>
      <c r="D1539" t="inlineStr">
        <is>
          <t>VÄSTERBOTTENS LÄN</t>
        </is>
      </c>
      <c r="E1539" t="inlineStr">
        <is>
          <t>SKELLEFTEÅ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55145-2025</t>
        </is>
      </c>
      <c r="B1540" s="1" t="n">
        <v>45968</v>
      </c>
      <c r="C1540" s="1" t="n">
        <v>46078</v>
      </c>
      <c r="D1540" t="inlineStr">
        <is>
          <t>VÄSTERBOTTENS LÄN</t>
        </is>
      </c>
      <c r="E1540" t="inlineStr">
        <is>
          <t>SKELLEFTEÅ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54825-2022</t>
        </is>
      </c>
      <c r="B1541" s="1" t="n">
        <v>44883</v>
      </c>
      <c r="C1541" s="1" t="n">
        <v>46078</v>
      </c>
      <c r="D1541" t="inlineStr">
        <is>
          <t>VÄSTERBOTTENS LÄN</t>
        </is>
      </c>
      <c r="E1541" t="inlineStr">
        <is>
          <t>SKELLEFTEÅ</t>
        </is>
      </c>
      <c r="G1541" t="n">
        <v>11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61631-2022</t>
        </is>
      </c>
      <c r="B1542" s="1" t="n">
        <v>44916.69783564815</v>
      </c>
      <c r="C1542" s="1" t="n">
        <v>46078</v>
      </c>
      <c r="D1542" t="inlineStr">
        <is>
          <t>VÄSTERBOTTENS LÄN</t>
        </is>
      </c>
      <c r="E1542" t="inlineStr">
        <is>
          <t>SKELLEFTEÅ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61635-2022</t>
        </is>
      </c>
      <c r="B1543" s="1" t="n">
        <v>44916.71002314815</v>
      </c>
      <c r="C1543" s="1" t="n">
        <v>46078</v>
      </c>
      <c r="D1543" t="inlineStr">
        <is>
          <t>VÄSTERBOTTENS LÄN</t>
        </is>
      </c>
      <c r="E1543" t="inlineStr">
        <is>
          <t>SKELLEFTEÅ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55550-2025</t>
        </is>
      </c>
      <c r="B1544" s="1" t="n">
        <v>45971.63837962963</v>
      </c>
      <c r="C1544" s="1" t="n">
        <v>46078</v>
      </c>
      <c r="D1544" t="inlineStr">
        <is>
          <t>VÄSTERBOTTENS LÄN</t>
        </is>
      </c>
      <c r="E1544" t="inlineStr">
        <is>
          <t>SKELLEFTEÅ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55205-2025</t>
        </is>
      </c>
      <c r="B1545" s="1" t="n">
        <v>45968.57340277778</v>
      </c>
      <c r="C1545" s="1" t="n">
        <v>46078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7.7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11685-2022</t>
        </is>
      </c>
      <c r="B1546" s="1" t="n">
        <v>44634.31503472223</v>
      </c>
      <c r="C1546" s="1" t="n">
        <v>46078</v>
      </c>
      <c r="D1546" t="inlineStr">
        <is>
          <t>VÄSTERBOTTENS LÄN</t>
        </is>
      </c>
      <c r="E1546" t="inlineStr">
        <is>
          <t>SKELLEFTEÅ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34455-2023</t>
        </is>
      </c>
      <c r="B1547" s="1" t="n">
        <v>45139.68733796296</v>
      </c>
      <c r="C1547" s="1" t="n">
        <v>46078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66500-2021</t>
        </is>
      </c>
      <c r="B1548" s="1" t="n">
        <v>44519.3160300926</v>
      </c>
      <c r="C1548" s="1" t="n">
        <v>46078</v>
      </c>
      <c r="D1548" t="inlineStr">
        <is>
          <t>VÄSTERBOTTENS LÄN</t>
        </is>
      </c>
      <c r="E1548" t="inlineStr">
        <is>
          <t>SKELLEFTEÅ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55403-2025</t>
        </is>
      </c>
      <c r="B1549" s="1" t="n">
        <v>45971</v>
      </c>
      <c r="C1549" s="1" t="n">
        <v>46078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55392-2025</t>
        </is>
      </c>
      <c r="B1550" s="1" t="n">
        <v>45971.44846064815</v>
      </c>
      <c r="C1550" s="1" t="n">
        <v>46078</v>
      </c>
      <c r="D1550" t="inlineStr">
        <is>
          <t>VÄSTERBOTTENS LÄN</t>
        </is>
      </c>
      <c r="E1550" t="inlineStr">
        <is>
          <t>SKELLEFTEÅ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11790-2022</t>
        </is>
      </c>
      <c r="B1551" s="1" t="n">
        <v>44634</v>
      </c>
      <c r="C1551" s="1" t="n">
        <v>46078</v>
      </c>
      <c r="D1551" t="inlineStr">
        <is>
          <t>VÄSTERBOTTENS LÄN</t>
        </is>
      </c>
      <c r="E1551" t="inlineStr">
        <is>
          <t>SKELLEFTEÅ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55462-2025</t>
        </is>
      </c>
      <c r="B1552" s="1" t="n">
        <v>45971</v>
      </c>
      <c r="C1552" s="1" t="n">
        <v>46078</v>
      </c>
      <c r="D1552" t="inlineStr">
        <is>
          <t>VÄSTERBOTTENS LÄN</t>
        </is>
      </c>
      <c r="E1552" t="inlineStr">
        <is>
          <t>SKELLEFTEÅ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55463-2025</t>
        </is>
      </c>
      <c r="B1553" s="1" t="n">
        <v>45971</v>
      </c>
      <c r="C1553" s="1" t="n">
        <v>46078</v>
      </c>
      <c r="D1553" t="inlineStr">
        <is>
          <t>VÄSTERBOTTENS LÄN</t>
        </is>
      </c>
      <c r="E1553" t="inlineStr">
        <is>
          <t>SKELLEFTEÅ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55346-2025</t>
        </is>
      </c>
      <c r="B1554" s="1" t="n">
        <v>45971.35061342592</v>
      </c>
      <c r="C1554" s="1" t="n">
        <v>46078</v>
      </c>
      <c r="D1554" t="inlineStr">
        <is>
          <t>VÄSTERBOTTENS LÄN</t>
        </is>
      </c>
      <c r="E1554" t="inlineStr">
        <is>
          <t>SKELLEFTEÅ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55349-2025</t>
        </is>
      </c>
      <c r="B1555" s="1" t="n">
        <v>45971.35710648148</v>
      </c>
      <c r="C1555" s="1" t="n">
        <v>46078</v>
      </c>
      <c r="D1555" t="inlineStr">
        <is>
          <t>VÄSTERBOTTENS LÄN</t>
        </is>
      </c>
      <c r="E1555" t="inlineStr">
        <is>
          <t>SKELLEFTEÅ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55839-2025</t>
        </is>
      </c>
      <c r="B1556" s="1" t="n">
        <v>45972.90993055556</v>
      </c>
      <c r="C1556" s="1" t="n">
        <v>46078</v>
      </c>
      <c r="D1556" t="inlineStr">
        <is>
          <t>VÄSTERBOTTENS LÄN</t>
        </is>
      </c>
      <c r="E1556" t="inlineStr">
        <is>
          <t>SKELLEFTEÅ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55946-2025</t>
        </is>
      </c>
      <c r="B1557" s="1" t="n">
        <v>45973.46240740741</v>
      </c>
      <c r="C1557" s="1" t="n">
        <v>46078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55899-2025</t>
        </is>
      </c>
      <c r="B1558" s="1" t="n">
        <v>45973.3863425926</v>
      </c>
      <c r="C1558" s="1" t="n">
        <v>46078</v>
      </c>
      <c r="D1558" t="inlineStr">
        <is>
          <t>VÄSTERBOTTENS LÄN</t>
        </is>
      </c>
      <c r="E1558" t="inlineStr">
        <is>
          <t>SKELLEFTEÅ</t>
        </is>
      </c>
      <c r="G1558" t="n">
        <v>6.4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55731-2025</t>
        </is>
      </c>
      <c r="B1559" s="1" t="n">
        <v>45972.54170138889</v>
      </c>
      <c r="C1559" s="1" t="n">
        <v>46078</v>
      </c>
      <c r="D1559" t="inlineStr">
        <is>
          <t>VÄSTERBOTTENS LÄN</t>
        </is>
      </c>
      <c r="E1559" t="inlineStr">
        <is>
          <t>SKELLEFTEÅ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55791-2025</t>
        </is>
      </c>
      <c r="B1560" s="1" t="n">
        <v>45972.64734953704</v>
      </c>
      <c r="C1560" s="1" t="n">
        <v>46078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Kommuner</t>
        </is>
      </c>
      <c r="G1560" t="n">
        <v>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37474-2023</t>
        </is>
      </c>
      <c r="B1561" s="1" t="n">
        <v>45156.92446759259</v>
      </c>
      <c r="C1561" s="1" t="n">
        <v>46078</v>
      </c>
      <c r="D1561" t="inlineStr">
        <is>
          <t>VÄSTERBOTTENS LÄN</t>
        </is>
      </c>
      <c r="E1561" t="inlineStr">
        <is>
          <t>SKELLEFTEÅ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55979-2025</t>
        </is>
      </c>
      <c r="B1562" s="1" t="n">
        <v>45973</v>
      </c>
      <c r="C1562" s="1" t="n">
        <v>46078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Kommuner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56104-2025</t>
        </is>
      </c>
      <c r="B1563" s="1" t="n">
        <v>45973.72788194445</v>
      </c>
      <c r="C1563" s="1" t="n">
        <v>46078</v>
      </c>
      <c r="D1563" t="inlineStr">
        <is>
          <t>VÄSTERBOTTENS LÄN</t>
        </is>
      </c>
      <c r="E1563" t="inlineStr">
        <is>
          <t>SKELLEFTEÅ</t>
        </is>
      </c>
      <c r="G1563" t="n">
        <v>6.6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55727-2025</t>
        </is>
      </c>
      <c r="B1564" s="1" t="n">
        <v>45972.53814814815</v>
      </c>
      <c r="C1564" s="1" t="n">
        <v>46078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Holmen skog AB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45111-2024</t>
        </is>
      </c>
      <c r="B1565" s="1" t="n">
        <v>45575</v>
      </c>
      <c r="C1565" s="1" t="n">
        <v>46078</v>
      </c>
      <c r="D1565" t="inlineStr">
        <is>
          <t>VÄSTERBOTTENS LÄN</t>
        </is>
      </c>
      <c r="E1565" t="inlineStr">
        <is>
          <t>SKELLEFTEÅ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15479-2023</t>
        </is>
      </c>
      <c r="B1566" s="1" t="n">
        <v>45020.45726851852</v>
      </c>
      <c r="C1566" s="1" t="n">
        <v>46078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Sveaskog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1233-2025</t>
        </is>
      </c>
      <c r="B1567" s="1" t="n">
        <v>45667.44528935185</v>
      </c>
      <c r="C1567" s="1" t="n">
        <v>46078</v>
      </c>
      <c r="D1567" t="inlineStr">
        <is>
          <t>VÄSTERBOTTENS LÄN</t>
        </is>
      </c>
      <c r="E1567" t="inlineStr">
        <is>
          <t>SKELLEFTEÅ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55841-2025</t>
        </is>
      </c>
      <c r="B1568" s="1" t="n">
        <v>45973.28767361111</v>
      </c>
      <c r="C1568" s="1" t="n">
        <v>46078</v>
      </c>
      <c r="D1568" t="inlineStr">
        <is>
          <t>VÄSTERBOTTENS LÄN</t>
        </is>
      </c>
      <c r="E1568" t="inlineStr">
        <is>
          <t>SKELLEFTEÅ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14096-2022</t>
        </is>
      </c>
      <c r="B1569" s="1" t="n">
        <v>44651</v>
      </c>
      <c r="C1569" s="1" t="n">
        <v>46078</v>
      </c>
      <c r="D1569" t="inlineStr">
        <is>
          <t>VÄSTERBOTTENS LÄN</t>
        </is>
      </c>
      <c r="E1569" t="inlineStr">
        <is>
          <t>SKELLEFTEÅ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23709-2023</t>
        </is>
      </c>
      <c r="B1570" s="1" t="n">
        <v>45075</v>
      </c>
      <c r="C1570" s="1" t="n">
        <v>46078</v>
      </c>
      <c r="D1570" t="inlineStr">
        <is>
          <t>VÄSTERBOTTENS LÄN</t>
        </is>
      </c>
      <c r="E1570" t="inlineStr">
        <is>
          <t>SKELLEFTEÅ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23760-2023</t>
        </is>
      </c>
      <c r="B1571" s="1" t="n">
        <v>45077</v>
      </c>
      <c r="C1571" s="1" t="n">
        <v>46078</v>
      </c>
      <c r="D1571" t="inlineStr">
        <is>
          <t>VÄSTERBOTTENS LÄN</t>
        </is>
      </c>
      <c r="E1571" t="inlineStr">
        <is>
          <t>SKELLEFTEÅ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23761-2023</t>
        </is>
      </c>
      <c r="B1572" s="1" t="n">
        <v>45077</v>
      </c>
      <c r="C1572" s="1" t="n">
        <v>46078</v>
      </c>
      <c r="D1572" t="inlineStr">
        <is>
          <t>VÄSTERBOTTENS LÄN</t>
        </is>
      </c>
      <c r="E1572" t="inlineStr">
        <is>
          <t>SKELLEFTEÅ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57131-2024</t>
        </is>
      </c>
      <c r="B1573" s="1" t="n">
        <v>45629.38340277778</v>
      </c>
      <c r="C1573" s="1" t="n">
        <v>46078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55915-2025</t>
        </is>
      </c>
      <c r="B1574" s="1" t="n">
        <v>45973.40667824074</v>
      </c>
      <c r="C1574" s="1" t="n">
        <v>46078</v>
      </c>
      <c r="D1574" t="inlineStr">
        <is>
          <t>VÄSTERBOTTENS LÄN</t>
        </is>
      </c>
      <c r="E1574" t="inlineStr">
        <is>
          <t>SKELLEFTEÅ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55916-2025</t>
        </is>
      </c>
      <c r="B1575" s="1" t="n">
        <v>45973.40679398148</v>
      </c>
      <c r="C1575" s="1" t="n">
        <v>46078</v>
      </c>
      <c r="D1575" t="inlineStr">
        <is>
          <t>VÄSTERBOTTENS LÄN</t>
        </is>
      </c>
      <c r="E1575" t="inlineStr">
        <is>
          <t>SKELLEFTEÅ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55864-2025</t>
        </is>
      </c>
      <c r="B1576" s="1" t="n">
        <v>45973.3483449074</v>
      </c>
      <c r="C1576" s="1" t="n">
        <v>46078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32593-2024</t>
        </is>
      </c>
      <c r="B1577" s="1" t="n">
        <v>45513.60165509259</v>
      </c>
      <c r="C1577" s="1" t="n">
        <v>46078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9.300000000000001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39156-2023</t>
        </is>
      </c>
      <c r="B1578" s="1" t="n">
        <v>45166</v>
      </c>
      <c r="C1578" s="1" t="n">
        <v>46078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Sveaskog</t>
        </is>
      </c>
      <c r="G1578" t="n">
        <v>43.7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42764-2024</t>
        </is>
      </c>
      <c r="B1579" s="1" t="n">
        <v>45566.50524305556</v>
      </c>
      <c r="C1579" s="1" t="n">
        <v>46078</v>
      </c>
      <c r="D1579" t="inlineStr">
        <is>
          <t>VÄSTERBOTTENS LÄN</t>
        </is>
      </c>
      <c r="E1579" t="inlineStr">
        <is>
          <t>SKELLEFTEÅ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56079-2025</t>
        </is>
      </c>
      <c r="B1580" s="1" t="n">
        <v>45973.65923611111</v>
      </c>
      <c r="C1580" s="1" t="n">
        <v>46078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55651-2025</t>
        </is>
      </c>
      <c r="B1581" s="1" t="n">
        <v>45972.37232638889</v>
      </c>
      <c r="C1581" s="1" t="n">
        <v>46078</v>
      </c>
      <c r="D1581" t="inlineStr">
        <is>
          <t>VÄSTERBOTTENS LÄN</t>
        </is>
      </c>
      <c r="E1581" t="inlineStr">
        <is>
          <t>SKELLEFTEÅ</t>
        </is>
      </c>
      <c r="G1581" t="n">
        <v>9.800000000000001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55717-2025</t>
        </is>
      </c>
      <c r="B1582" s="1" t="n">
        <v>45972.49903935185</v>
      </c>
      <c r="C1582" s="1" t="n">
        <v>46078</v>
      </c>
      <c r="D1582" t="inlineStr">
        <is>
          <t>VÄSTERBOTTENS LÄN</t>
        </is>
      </c>
      <c r="E1582" t="inlineStr">
        <is>
          <t>SKELLEFTEÅ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56558-2025</t>
        </is>
      </c>
      <c r="B1583" s="1" t="n">
        <v>45975.49052083334</v>
      </c>
      <c r="C1583" s="1" t="n">
        <v>46078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Holmen skog AB</t>
        </is>
      </c>
      <c r="G1583" t="n">
        <v>8.9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56390-2025</t>
        </is>
      </c>
      <c r="B1584" s="1" t="n">
        <v>45974.72736111111</v>
      </c>
      <c r="C1584" s="1" t="n">
        <v>46078</v>
      </c>
      <c r="D1584" t="inlineStr">
        <is>
          <t>VÄSTERBOTTENS LÄN</t>
        </is>
      </c>
      <c r="E1584" t="inlineStr">
        <is>
          <t>SKELLEFTEÅ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12137-2023</t>
        </is>
      </c>
      <c r="B1585" s="1" t="n">
        <v>44995</v>
      </c>
      <c r="C1585" s="1" t="n">
        <v>46078</v>
      </c>
      <c r="D1585" t="inlineStr">
        <is>
          <t>VÄSTERBOTTENS LÄN</t>
        </is>
      </c>
      <c r="E1585" t="inlineStr">
        <is>
          <t>SKELLEFTEÅ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42248-2024</t>
        </is>
      </c>
      <c r="B1586" s="1" t="n">
        <v>45562.57457175926</v>
      </c>
      <c r="C1586" s="1" t="n">
        <v>46078</v>
      </c>
      <c r="D1586" t="inlineStr">
        <is>
          <t>VÄSTERBOTTENS LÄN</t>
        </is>
      </c>
      <c r="E1586" t="inlineStr">
        <is>
          <t>SKELLEFTEÅ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59404-2023</t>
        </is>
      </c>
      <c r="B1587" s="1" t="n">
        <v>45253.9267824074</v>
      </c>
      <c r="C1587" s="1" t="n">
        <v>46078</v>
      </c>
      <c r="D1587" t="inlineStr">
        <is>
          <t>VÄSTERBOTTENS LÄN</t>
        </is>
      </c>
      <c r="E1587" t="inlineStr">
        <is>
          <t>SKELLEFTEÅ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59405-2023</t>
        </is>
      </c>
      <c r="B1588" s="1" t="n">
        <v>45253.9268287037</v>
      </c>
      <c r="C1588" s="1" t="n">
        <v>46078</v>
      </c>
      <c r="D1588" t="inlineStr">
        <is>
          <t>VÄSTERBOTTENS LÄN</t>
        </is>
      </c>
      <c r="E1588" t="inlineStr">
        <is>
          <t>SKELLEFTEÅ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52203-2023</t>
        </is>
      </c>
      <c r="B1589" s="1" t="n">
        <v>45224.42537037037</v>
      </c>
      <c r="C1589" s="1" t="n">
        <v>46078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Sveaskog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56567-2025</t>
        </is>
      </c>
      <c r="B1590" s="1" t="n">
        <v>45975.51262731481</v>
      </c>
      <c r="C1590" s="1" t="n">
        <v>46078</v>
      </c>
      <c r="D1590" t="inlineStr">
        <is>
          <t>VÄSTERBOTTENS LÄN</t>
        </is>
      </c>
      <c r="E1590" t="inlineStr">
        <is>
          <t>SKELLEFTEÅ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56446-2025</t>
        </is>
      </c>
      <c r="B1591" s="1" t="n">
        <v>45975.34840277778</v>
      </c>
      <c r="C1591" s="1" t="n">
        <v>46078</v>
      </c>
      <c r="D1591" t="inlineStr">
        <is>
          <t>VÄSTERBOTTENS LÄN</t>
        </is>
      </c>
      <c r="E1591" t="inlineStr">
        <is>
          <t>SKELLEFTEÅ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54662-2024</t>
        </is>
      </c>
      <c r="B1592" s="1" t="n">
        <v>45618.31710648148</v>
      </c>
      <c r="C1592" s="1" t="n">
        <v>46078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Sveaskog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55233-2025</t>
        </is>
      </c>
      <c r="B1593" s="1" t="n">
        <v>45968</v>
      </c>
      <c r="C1593" s="1" t="n">
        <v>46078</v>
      </c>
      <c r="D1593" t="inlineStr">
        <is>
          <t>VÄSTERBOTTENS LÄN</t>
        </is>
      </c>
      <c r="E1593" t="inlineStr">
        <is>
          <t>SKELLEFTEÅ</t>
        </is>
      </c>
      <c r="G1593" t="n">
        <v>11.9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60209-2024</t>
        </is>
      </c>
      <c r="B1594" s="1" t="n">
        <v>45642</v>
      </c>
      <c r="C1594" s="1" t="n">
        <v>46078</v>
      </c>
      <c r="D1594" t="inlineStr">
        <is>
          <t>VÄSTERBOTTENS LÄN</t>
        </is>
      </c>
      <c r="E1594" t="inlineStr">
        <is>
          <t>SKELLEFTEÅ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18700-2025</t>
        </is>
      </c>
      <c r="B1595" s="1" t="n">
        <v>45763.62945601852</v>
      </c>
      <c r="C1595" s="1" t="n">
        <v>46078</v>
      </c>
      <c r="D1595" t="inlineStr">
        <is>
          <t>VÄSTERBOTTENS LÄN</t>
        </is>
      </c>
      <c r="E1595" t="inlineStr">
        <is>
          <t>SKELLEFTEÅ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6012-2023</t>
        </is>
      </c>
      <c r="B1596" s="1" t="n">
        <v>44959</v>
      </c>
      <c r="C1596" s="1" t="n">
        <v>46078</v>
      </c>
      <c r="D1596" t="inlineStr">
        <is>
          <t>VÄSTERBOTTENS LÄN</t>
        </is>
      </c>
      <c r="E1596" t="inlineStr">
        <is>
          <t>SKELLEFTEÅ</t>
        </is>
      </c>
      <c r="G1596" t="n">
        <v>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22020-2023</t>
        </is>
      </c>
      <c r="B1597" s="1" t="n">
        <v>45069</v>
      </c>
      <c r="C1597" s="1" t="n">
        <v>46078</v>
      </c>
      <c r="D1597" t="inlineStr">
        <is>
          <t>VÄSTERBOTTENS LÄN</t>
        </is>
      </c>
      <c r="E1597" t="inlineStr">
        <is>
          <t>SKELLEFTEÅ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56447-2025</t>
        </is>
      </c>
      <c r="B1598" s="1" t="n">
        <v>45975.34850694444</v>
      </c>
      <c r="C1598" s="1" t="n">
        <v>46078</v>
      </c>
      <c r="D1598" t="inlineStr">
        <is>
          <t>VÄSTERBOTTENS LÄN</t>
        </is>
      </c>
      <c r="E1598" t="inlineStr">
        <is>
          <t>SKELLEFTEÅ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5830-2025</t>
        </is>
      </c>
      <c r="B1599" s="1" t="n">
        <v>45694</v>
      </c>
      <c r="C1599" s="1" t="n">
        <v>46078</v>
      </c>
      <c r="D1599" t="inlineStr">
        <is>
          <t>VÄSTERBOTTENS LÄN</t>
        </is>
      </c>
      <c r="E1599" t="inlineStr">
        <is>
          <t>SKELLEFTEÅ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5831-2025</t>
        </is>
      </c>
      <c r="B1600" s="1" t="n">
        <v>45694</v>
      </c>
      <c r="C1600" s="1" t="n">
        <v>46078</v>
      </c>
      <c r="D1600" t="inlineStr">
        <is>
          <t>VÄSTERBOTTENS LÄN</t>
        </is>
      </c>
      <c r="E1600" t="inlineStr">
        <is>
          <t>SKELLEFTEÅ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56202-2025</t>
        </is>
      </c>
      <c r="B1601" s="1" t="n">
        <v>45974.46417824074</v>
      </c>
      <c r="C1601" s="1" t="n">
        <v>46078</v>
      </c>
      <c r="D1601" t="inlineStr">
        <is>
          <t>VÄSTERBOTTENS LÄN</t>
        </is>
      </c>
      <c r="E1601" t="inlineStr">
        <is>
          <t>SKELLEFTEÅ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56662-2025</t>
        </is>
      </c>
      <c r="B1602" s="1" t="n">
        <v>45975.65717592592</v>
      </c>
      <c r="C1602" s="1" t="n">
        <v>46078</v>
      </c>
      <c r="D1602" t="inlineStr">
        <is>
          <t>VÄSTERBOTTENS LÄN</t>
        </is>
      </c>
      <c r="E1602" t="inlineStr">
        <is>
          <t>SKELLEFTEÅ</t>
        </is>
      </c>
      <c r="G1602" t="n">
        <v>6.1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56571-2025</t>
        </is>
      </c>
      <c r="B1603" s="1" t="n">
        <v>45975.52336805555</v>
      </c>
      <c r="C1603" s="1" t="n">
        <v>46078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53255-2023</t>
        </is>
      </c>
      <c r="B1604" s="1" t="n">
        <v>45229.5280787037</v>
      </c>
      <c r="C1604" s="1" t="n">
        <v>46078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Sveaskog</t>
        </is>
      </c>
      <c r="G1604" t="n">
        <v>7.4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56661-2025</t>
        </is>
      </c>
      <c r="B1605" s="1" t="n">
        <v>45975.65702546296</v>
      </c>
      <c r="C1605" s="1" t="n">
        <v>46078</v>
      </c>
      <c r="D1605" t="inlineStr">
        <is>
          <t>VÄSTERBOTTENS LÄN</t>
        </is>
      </c>
      <c r="E1605" t="inlineStr">
        <is>
          <t>SKELLEFTEÅ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64323-2023</t>
        </is>
      </c>
      <c r="B1606" s="1" t="n">
        <v>45280.40798611111</v>
      </c>
      <c r="C1606" s="1" t="n">
        <v>46078</v>
      </c>
      <c r="D1606" t="inlineStr">
        <is>
          <t>VÄSTERBOTTENS LÄN</t>
        </is>
      </c>
      <c r="E1606" t="inlineStr">
        <is>
          <t>SKELLEFTEÅ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15846-2024</t>
        </is>
      </c>
      <c r="B1607" s="1" t="n">
        <v>45404.84630787037</v>
      </c>
      <c r="C1607" s="1" t="n">
        <v>46078</v>
      </c>
      <c r="D1607" t="inlineStr">
        <is>
          <t>VÄSTERBOTTENS LÄN</t>
        </is>
      </c>
      <c r="E1607" t="inlineStr">
        <is>
          <t>SKELLEFTEÅ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15848-2024</t>
        </is>
      </c>
      <c r="B1608" s="1" t="n">
        <v>45404</v>
      </c>
      <c r="C1608" s="1" t="n">
        <v>46078</v>
      </c>
      <c r="D1608" t="inlineStr">
        <is>
          <t>VÄSTERBOTTENS LÄN</t>
        </is>
      </c>
      <c r="E1608" t="inlineStr">
        <is>
          <t>SKELLEFTEÅ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56284-2025</t>
        </is>
      </c>
      <c r="B1609" s="1" t="n">
        <v>45974.59427083333</v>
      </c>
      <c r="C1609" s="1" t="n">
        <v>46078</v>
      </c>
      <c r="D1609" t="inlineStr">
        <is>
          <t>VÄSTERBOTTENS LÄN</t>
        </is>
      </c>
      <c r="E1609" t="inlineStr">
        <is>
          <t>SKELLEFTEÅ</t>
        </is>
      </c>
      <c r="G1609" t="n">
        <v>5.4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3268-2022</t>
        </is>
      </c>
      <c r="B1610" s="1" t="n">
        <v>44583.89641203704</v>
      </c>
      <c r="C1610" s="1" t="n">
        <v>46078</v>
      </c>
      <c r="D1610" t="inlineStr">
        <is>
          <t>VÄSTERBOTTENS LÄN</t>
        </is>
      </c>
      <c r="E1610" t="inlineStr">
        <is>
          <t>SKELLEFTEÅ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56993-2025</t>
        </is>
      </c>
      <c r="B1611" s="1" t="n">
        <v>45977</v>
      </c>
      <c r="C1611" s="1" t="n">
        <v>46078</v>
      </c>
      <c r="D1611" t="inlineStr">
        <is>
          <t>VÄSTERBOTTENS LÄN</t>
        </is>
      </c>
      <c r="E1611" t="inlineStr">
        <is>
          <t>SKELLEFTEÅ</t>
        </is>
      </c>
      <c r="G1611" t="n">
        <v>5.3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56709-2025</t>
        </is>
      </c>
      <c r="B1612" s="1" t="n">
        <v>45977.77412037037</v>
      </c>
      <c r="C1612" s="1" t="n">
        <v>46078</v>
      </c>
      <c r="D1612" t="inlineStr">
        <is>
          <t>VÄSTERBOTTENS LÄN</t>
        </is>
      </c>
      <c r="E1612" t="inlineStr">
        <is>
          <t>SKELLEFTEÅ</t>
        </is>
      </c>
      <c r="G1612" t="n">
        <v>10.3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64761-2021</t>
        </is>
      </c>
      <c r="B1613" s="1" t="n">
        <v>44511</v>
      </c>
      <c r="C1613" s="1" t="n">
        <v>46078</v>
      </c>
      <c r="D1613" t="inlineStr">
        <is>
          <t>VÄSTERBOTTENS LÄN</t>
        </is>
      </c>
      <c r="E1613" t="inlineStr">
        <is>
          <t>SKELLEFTEÅ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25404-2022</t>
        </is>
      </c>
      <c r="B1614" s="1" t="n">
        <v>44732</v>
      </c>
      <c r="C1614" s="1" t="n">
        <v>46078</v>
      </c>
      <c r="D1614" t="inlineStr">
        <is>
          <t>VÄSTERBOTTENS LÄN</t>
        </is>
      </c>
      <c r="E1614" t="inlineStr">
        <is>
          <t>SKELLEFTEÅ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57180-2025</t>
        </is>
      </c>
      <c r="B1615" s="1" t="n">
        <v>45979.56042824074</v>
      </c>
      <c r="C1615" s="1" t="n">
        <v>46078</v>
      </c>
      <c r="D1615" t="inlineStr">
        <is>
          <t>VÄSTERBOTTENS LÄN</t>
        </is>
      </c>
      <c r="E1615" t="inlineStr">
        <is>
          <t>SKELLEFTEÅ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57234-2025</t>
        </is>
      </c>
      <c r="B1616" s="1" t="n">
        <v>45979.6216087963</v>
      </c>
      <c r="C1616" s="1" t="n">
        <v>46078</v>
      </c>
      <c r="D1616" t="inlineStr">
        <is>
          <t>VÄSTERBOTTENS LÄN</t>
        </is>
      </c>
      <c r="E1616" t="inlineStr">
        <is>
          <t>SKELLEFTEÅ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57222-2025</t>
        </is>
      </c>
      <c r="B1617" s="1" t="n">
        <v>45979.61474537037</v>
      </c>
      <c r="C1617" s="1" t="n">
        <v>46078</v>
      </c>
      <c r="D1617" t="inlineStr">
        <is>
          <t>VÄSTERBOTTENS LÄN</t>
        </is>
      </c>
      <c r="E1617" t="inlineStr">
        <is>
          <t>SKELLEFTEÅ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56883-2025</t>
        </is>
      </c>
      <c r="B1618" s="1" t="n">
        <v>45978.55603009259</v>
      </c>
      <c r="C1618" s="1" t="n">
        <v>46078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8.1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3209-2025</t>
        </is>
      </c>
      <c r="B1619" s="1" t="n">
        <v>45679.45376157408</v>
      </c>
      <c r="C1619" s="1" t="n">
        <v>46078</v>
      </c>
      <c r="D1619" t="inlineStr">
        <is>
          <t>VÄSTERBOTTENS LÄN</t>
        </is>
      </c>
      <c r="E1619" t="inlineStr">
        <is>
          <t>SKELLEFTEÅ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57126-2025</t>
        </is>
      </c>
      <c r="B1620" s="1" t="n">
        <v>45979.47136574074</v>
      </c>
      <c r="C1620" s="1" t="n">
        <v>46078</v>
      </c>
      <c r="D1620" t="inlineStr">
        <is>
          <t>VÄSTERBOTTENS LÄN</t>
        </is>
      </c>
      <c r="E1620" t="inlineStr">
        <is>
          <t>SKELLEFTEÅ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56935-2025</t>
        </is>
      </c>
      <c r="B1621" s="1" t="n">
        <v>45978.61539351852</v>
      </c>
      <c r="C1621" s="1" t="n">
        <v>46078</v>
      </c>
      <c r="D1621" t="inlineStr">
        <is>
          <t>VÄSTERBOTTENS LÄN</t>
        </is>
      </c>
      <c r="E1621" t="inlineStr">
        <is>
          <t>SKELLEFTEÅ</t>
        </is>
      </c>
      <c r="G1621" t="n">
        <v>26.8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54456-2022</t>
        </is>
      </c>
      <c r="B1622" s="1" t="n">
        <v>44880</v>
      </c>
      <c r="C1622" s="1" t="n">
        <v>46078</v>
      </c>
      <c r="D1622" t="inlineStr">
        <is>
          <t>VÄSTERBOTTENS LÄN</t>
        </is>
      </c>
      <c r="E1622" t="inlineStr">
        <is>
          <t>SKELLEFTEÅ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57141-2025</t>
        </is>
      </c>
      <c r="B1623" s="1" t="n">
        <v>45979.48398148148</v>
      </c>
      <c r="C1623" s="1" t="n">
        <v>46078</v>
      </c>
      <c r="D1623" t="inlineStr">
        <is>
          <t>VÄSTERBOTTENS LÄN</t>
        </is>
      </c>
      <c r="E1623" t="inlineStr">
        <is>
          <t>SKELLEFTEÅ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57441-2025</t>
        </is>
      </c>
      <c r="B1624" s="1" t="n">
        <v>45979</v>
      </c>
      <c r="C1624" s="1" t="n">
        <v>46078</v>
      </c>
      <c r="D1624" t="inlineStr">
        <is>
          <t>VÄSTERBOTTENS LÄN</t>
        </is>
      </c>
      <c r="E1624" t="inlineStr">
        <is>
          <t>SKELLEFTEÅ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57249-2025</t>
        </is>
      </c>
      <c r="B1625" s="1" t="n">
        <v>45979.63585648148</v>
      </c>
      <c r="C1625" s="1" t="n">
        <v>46078</v>
      </c>
      <c r="D1625" t="inlineStr">
        <is>
          <t>VÄSTERBOTTENS LÄN</t>
        </is>
      </c>
      <c r="E1625" t="inlineStr">
        <is>
          <t>SKELLEFTEÅ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14013-2025</t>
        </is>
      </c>
      <c r="B1626" s="1" t="n">
        <v>45740.31539351852</v>
      </c>
      <c r="C1626" s="1" t="n">
        <v>46078</v>
      </c>
      <c r="D1626" t="inlineStr">
        <is>
          <t>VÄSTERBOTTENS LÄN</t>
        </is>
      </c>
      <c r="E1626" t="inlineStr">
        <is>
          <t>SKELLEFTEÅ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10986-2025</t>
        </is>
      </c>
      <c r="B1627" s="1" t="n">
        <v>45723.41918981481</v>
      </c>
      <c r="C1627" s="1" t="n">
        <v>46078</v>
      </c>
      <c r="D1627" t="inlineStr">
        <is>
          <t>VÄSTERBOTTENS LÄN</t>
        </is>
      </c>
      <c r="E1627" t="inlineStr">
        <is>
          <t>SKELLEFTEÅ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56988-2025</t>
        </is>
      </c>
      <c r="B1628" s="1" t="n">
        <v>45977</v>
      </c>
      <c r="C1628" s="1" t="n">
        <v>46078</v>
      </c>
      <c r="D1628" t="inlineStr">
        <is>
          <t>VÄSTERBOTTENS LÄN</t>
        </is>
      </c>
      <c r="E1628" t="inlineStr">
        <is>
          <t>SKELLEFTEÅ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4617-2024</t>
        </is>
      </c>
      <c r="B1629" s="1" t="n">
        <v>45327</v>
      </c>
      <c r="C1629" s="1" t="n">
        <v>46078</v>
      </c>
      <c r="D1629" t="inlineStr">
        <is>
          <t>VÄSTERBOTTENS LÄN</t>
        </is>
      </c>
      <c r="E1629" t="inlineStr">
        <is>
          <t>SKELLEFTEÅ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4656-2024</t>
        </is>
      </c>
      <c r="B1630" s="1" t="n">
        <v>45327</v>
      </c>
      <c r="C1630" s="1" t="n">
        <v>46078</v>
      </c>
      <c r="D1630" t="inlineStr">
        <is>
          <t>VÄSTERBOTTENS LÄN</t>
        </is>
      </c>
      <c r="E1630" t="inlineStr">
        <is>
          <t>SKELLEFTEÅ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28113-2023</t>
        </is>
      </c>
      <c r="B1631" s="1" t="n">
        <v>45096</v>
      </c>
      <c r="C1631" s="1" t="n">
        <v>46078</v>
      </c>
      <c r="D1631" t="inlineStr">
        <is>
          <t>VÄSTERBOTTENS LÄN</t>
        </is>
      </c>
      <c r="E1631" t="inlineStr">
        <is>
          <t>SKELLEFTEÅ</t>
        </is>
      </c>
      <c r="G1631" t="n">
        <v>4.4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56713-2025</t>
        </is>
      </c>
      <c r="B1632" s="1" t="n">
        <v>45977.84247685185</v>
      </c>
      <c r="C1632" s="1" t="n">
        <v>46078</v>
      </c>
      <c r="D1632" t="inlineStr">
        <is>
          <t>VÄSTERBOTTENS LÄN</t>
        </is>
      </c>
      <c r="E1632" t="inlineStr">
        <is>
          <t>SKELLEFTEÅ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57228-2025</t>
        </is>
      </c>
      <c r="B1633" s="1" t="n">
        <v>45979.6162962963</v>
      </c>
      <c r="C1633" s="1" t="n">
        <v>46078</v>
      </c>
      <c r="D1633" t="inlineStr">
        <is>
          <t>VÄSTERBOTTENS LÄN</t>
        </is>
      </c>
      <c r="E1633" t="inlineStr">
        <is>
          <t>SKELLEFTEÅ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57232-2025</t>
        </is>
      </c>
      <c r="B1634" s="1" t="n">
        <v>45979.62033564815</v>
      </c>
      <c r="C1634" s="1" t="n">
        <v>46078</v>
      </c>
      <c r="D1634" t="inlineStr">
        <is>
          <t>VÄSTERBOTTENS LÄN</t>
        </is>
      </c>
      <c r="E1634" t="inlineStr">
        <is>
          <t>SKELLEFTEÅ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18979-2024</t>
        </is>
      </c>
      <c r="B1635" s="1" t="n">
        <v>45427</v>
      </c>
      <c r="C1635" s="1" t="n">
        <v>46078</v>
      </c>
      <c r="D1635" t="inlineStr">
        <is>
          <t>VÄSTERBOTTENS LÄN</t>
        </is>
      </c>
      <c r="E1635" t="inlineStr">
        <is>
          <t>SKELLEFTEÅ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57217-2025</t>
        </is>
      </c>
      <c r="B1636" s="1" t="n">
        <v>45979.61125</v>
      </c>
      <c r="C1636" s="1" t="n">
        <v>46078</v>
      </c>
      <c r="D1636" t="inlineStr">
        <is>
          <t>VÄSTERBOTTENS LÄN</t>
        </is>
      </c>
      <c r="E1636" t="inlineStr">
        <is>
          <t>SKELLEFTEÅ</t>
        </is>
      </c>
      <c r="G1636" t="n">
        <v>6.9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56712-2025</t>
        </is>
      </c>
      <c r="B1637" s="1" t="n">
        <v>45977.83019675926</v>
      </c>
      <c r="C1637" s="1" t="n">
        <v>46078</v>
      </c>
      <c r="D1637" t="inlineStr">
        <is>
          <t>VÄSTERBOTTENS LÄN</t>
        </is>
      </c>
      <c r="E1637" t="inlineStr">
        <is>
          <t>SKELLEFTEÅ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56843-2025</t>
        </is>
      </c>
      <c r="B1638" s="1" t="n">
        <v>45978.48373842592</v>
      </c>
      <c r="C1638" s="1" t="n">
        <v>46078</v>
      </c>
      <c r="D1638" t="inlineStr">
        <is>
          <t>VÄSTERBOTTENS LÄN</t>
        </is>
      </c>
      <c r="E1638" t="inlineStr">
        <is>
          <t>SKELLEFTEÅ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57848-2022</t>
        </is>
      </c>
      <c r="B1639" s="1" t="n">
        <v>44898.00032407408</v>
      </c>
      <c r="C1639" s="1" t="n">
        <v>46078</v>
      </c>
      <c r="D1639" t="inlineStr">
        <is>
          <t>VÄSTERBOTTENS LÄN</t>
        </is>
      </c>
      <c r="E1639" t="inlineStr">
        <is>
          <t>SKELLEFTEÅ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1859-2023</t>
        </is>
      </c>
      <c r="B1640" s="1" t="n">
        <v>44938.92320601852</v>
      </c>
      <c r="C1640" s="1" t="n">
        <v>46078</v>
      </c>
      <c r="D1640" t="inlineStr">
        <is>
          <t>VÄSTERBOTTENS LÄN</t>
        </is>
      </c>
      <c r="E1640" t="inlineStr">
        <is>
          <t>SKELLEFTEÅ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26154-2023</t>
        </is>
      </c>
      <c r="B1641" s="1" t="n">
        <v>45091.50071759259</v>
      </c>
      <c r="C1641" s="1" t="n">
        <v>46078</v>
      </c>
      <c r="D1641" t="inlineStr">
        <is>
          <t>VÄSTERBOTTENS LÄN</t>
        </is>
      </c>
      <c r="E1641" t="inlineStr">
        <is>
          <t>SKELLEFTEÅ</t>
        </is>
      </c>
      <c r="G1641" t="n">
        <v>8.1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5876-2025</t>
        </is>
      </c>
      <c r="B1642" s="1" t="n">
        <v>45694</v>
      </c>
      <c r="C1642" s="1" t="n">
        <v>46078</v>
      </c>
      <c r="D1642" t="inlineStr">
        <is>
          <t>VÄSTERBOTTENS LÄN</t>
        </is>
      </c>
      <c r="E1642" t="inlineStr">
        <is>
          <t>SKELLEFTEÅ</t>
        </is>
      </c>
      <c r="G1642" t="n">
        <v>60.7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57021-2025</t>
        </is>
      </c>
      <c r="B1643" s="1" t="n">
        <v>45978.88092592593</v>
      </c>
      <c r="C1643" s="1" t="n">
        <v>46078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Sveaskog</t>
        </is>
      </c>
      <c r="G1643" t="n">
        <v>6.4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28160-2023</t>
        </is>
      </c>
      <c r="B1644" s="1" t="n">
        <v>45099.49787037037</v>
      </c>
      <c r="C1644" s="1" t="n">
        <v>46078</v>
      </c>
      <c r="D1644" t="inlineStr">
        <is>
          <t>VÄSTERBOTTENS LÄN</t>
        </is>
      </c>
      <c r="E1644" t="inlineStr">
        <is>
          <t>SKELLEFTEÅ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28192-2023</t>
        </is>
      </c>
      <c r="B1645" s="1" t="n">
        <v>45096</v>
      </c>
      <c r="C1645" s="1" t="n">
        <v>46078</v>
      </c>
      <c r="D1645" t="inlineStr">
        <is>
          <t>VÄSTERBOTTENS LÄN</t>
        </is>
      </c>
      <c r="E1645" t="inlineStr">
        <is>
          <t>SKELLEFTEÅ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49949-2023</t>
        </is>
      </c>
      <c r="B1646" s="1" t="n">
        <v>45215.36532407408</v>
      </c>
      <c r="C1646" s="1" t="n">
        <v>46078</v>
      </c>
      <c r="D1646" t="inlineStr">
        <is>
          <t>VÄSTERBOTTENS LÄN</t>
        </is>
      </c>
      <c r="E1646" t="inlineStr">
        <is>
          <t>SKELLEFTEÅ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57436-2025</t>
        </is>
      </c>
      <c r="B1647" s="1" t="n">
        <v>45979</v>
      </c>
      <c r="C1647" s="1" t="n">
        <v>46078</v>
      </c>
      <c r="D1647" t="inlineStr">
        <is>
          <t>VÄSTERBOTTENS LÄN</t>
        </is>
      </c>
      <c r="E1647" t="inlineStr">
        <is>
          <t>SKELLEFTEÅ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57449-2025</t>
        </is>
      </c>
      <c r="B1648" s="1" t="n">
        <v>45979</v>
      </c>
      <c r="C1648" s="1" t="n">
        <v>46078</v>
      </c>
      <c r="D1648" t="inlineStr">
        <is>
          <t>VÄSTERBOTTENS LÄN</t>
        </is>
      </c>
      <c r="E1648" t="inlineStr">
        <is>
          <t>SKELLEFTEÅ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2963-2025</t>
        </is>
      </c>
      <c r="B1649" s="1" t="n">
        <v>45678.45770833334</v>
      </c>
      <c r="C1649" s="1" t="n">
        <v>46078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57378-2025</t>
        </is>
      </c>
      <c r="B1650" s="1" t="n">
        <v>45980.40011574074</v>
      </c>
      <c r="C1650" s="1" t="n">
        <v>46078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Sveaskog</t>
        </is>
      </c>
      <c r="G1650" t="n">
        <v>19.1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4638-2025</t>
        </is>
      </c>
      <c r="B1651" s="1" t="n">
        <v>45687.64986111111</v>
      </c>
      <c r="C1651" s="1" t="n">
        <v>46078</v>
      </c>
      <c r="D1651" t="inlineStr">
        <is>
          <t>VÄSTERBOTTENS LÄN</t>
        </is>
      </c>
      <c r="E1651" t="inlineStr">
        <is>
          <t>SKELLEFTEÅ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57328-2025</t>
        </is>
      </c>
      <c r="B1652" s="1" t="n">
        <v>45980.34083333334</v>
      </c>
      <c r="C1652" s="1" t="n">
        <v>46078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Sveaskog</t>
        </is>
      </c>
      <c r="G1652" t="n">
        <v>14.2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57340-2025</t>
        </is>
      </c>
      <c r="B1653" s="1" t="n">
        <v>45980.34586805556</v>
      </c>
      <c r="C1653" s="1" t="n">
        <v>46078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Sveaskog</t>
        </is>
      </c>
      <c r="G1653" t="n">
        <v>24.1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  <c r="U1653">
        <f>HYPERLINK("https://klasma.github.io/Logging_2482/knärot/A 57340-2025 karta knärot.png", "A 57340-2025")</f>
        <v/>
      </c>
      <c r="V1653">
        <f>HYPERLINK("https://klasma.github.io/Logging_2482/klagomål/A 57340-2025 FSC-klagomål.docx", "A 57340-2025")</f>
        <v/>
      </c>
      <c r="W1653">
        <f>HYPERLINK("https://klasma.github.io/Logging_2482/klagomålsmail/A 57340-2025 FSC-klagomål mail.docx", "A 57340-2025")</f>
        <v/>
      </c>
      <c r="X1653">
        <f>HYPERLINK("https://klasma.github.io/Logging_2482/tillsyn/A 57340-2025 tillsynsbegäran.docx", "A 57340-2025")</f>
        <v/>
      </c>
      <c r="Y1653">
        <f>HYPERLINK("https://klasma.github.io/Logging_2482/tillsynsmail/A 57340-2025 tillsynsbegäran mail.docx", "A 57340-2025")</f>
        <v/>
      </c>
    </row>
    <row r="1654" ht="15" customHeight="1">
      <c r="A1654" t="inlineStr">
        <is>
          <t>A 57630-2025</t>
        </is>
      </c>
      <c r="B1654" s="1" t="n">
        <v>45981.34608796296</v>
      </c>
      <c r="C1654" s="1" t="n">
        <v>46078</v>
      </c>
      <c r="D1654" t="inlineStr">
        <is>
          <t>VÄSTERBOTTENS LÄN</t>
        </is>
      </c>
      <c r="E1654" t="inlineStr">
        <is>
          <t>SKELLEFTEÅ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57350-2025</t>
        </is>
      </c>
      <c r="B1655" s="1" t="n">
        <v>45980.36420138889</v>
      </c>
      <c r="C1655" s="1" t="n">
        <v>46078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Sveaskog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57376-2025</t>
        </is>
      </c>
      <c r="B1656" s="1" t="n">
        <v>45980.39418981481</v>
      </c>
      <c r="C1656" s="1" t="n">
        <v>46078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Sveaskog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57382-2025</t>
        </is>
      </c>
      <c r="B1657" s="1" t="n">
        <v>45980.40696759259</v>
      </c>
      <c r="C1657" s="1" t="n">
        <v>46078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Sveaskog</t>
        </is>
      </c>
      <c r="G1657" t="n">
        <v>16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57406-2025</t>
        </is>
      </c>
      <c r="B1658" s="1" t="n">
        <v>45980.44347222222</v>
      </c>
      <c r="C1658" s="1" t="n">
        <v>46078</v>
      </c>
      <c r="D1658" t="inlineStr">
        <is>
          <t>VÄSTERBOTTENS LÄN</t>
        </is>
      </c>
      <c r="E1658" t="inlineStr">
        <is>
          <t>SKELLEFTEÅ</t>
        </is>
      </c>
      <c r="G1658" t="n">
        <v>18.7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57685-2025</t>
        </is>
      </c>
      <c r="B1659" s="1" t="n">
        <v>45980.31484953704</v>
      </c>
      <c r="C1659" s="1" t="n">
        <v>46078</v>
      </c>
      <c r="D1659" t="inlineStr">
        <is>
          <t>VÄSTERBOTTENS LÄN</t>
        </is>
      </c>
      <c r="E1659" t="inlineStr">
        <is>
          <t>SKELLEFTEÅ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20723-2024</t>
        </is>
      </c>
      <c r="B1660" s="1" t="n">
        <v>45436.65041666666</v>
      </c>
      <c r="C1660" s="1" t="n">
        <v>46078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Holmen skog AB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10604-2024</t>
        </is>
      </c>
      <c r="B1661" s="1" t="n">
        <v>45366.93827546296</v>
      </c>
      <c r="C1661" s="1" t="n">
        <v>46078</v>
      </c>
      <c r="D1661" t="inlineStr">
        <is>
          <t>VÄSTERBOTTENS LÄN</t>
        </is>
      </c>
      <c r="E1661" t="inlineStr">
        <is>
          <t>SKELLEFTEÅ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57624-2025</t>
        </is>
      </c>
      <c r="B1662" s="1" t="n">
        <v>45981.34559027778</v>
      </c>
      <c r="C1662" s="1" t="n">
        <v>46078</v>
      </c>
      <c r="D1662" t="inlineStr">
        <is>
          <t>VÄSTERBOTTENS LÄN</t>
        </is>
      </c>
      <c r="E1662" t="inlineStr">
        <is>
          <t>SKELLEFTEÅ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57797-2025</t>
        </is>
      </c>
      <c r="B1663" s="1" t="n">
        <v>45981.5828587963</v>
      </c>
      <c r="C1663" s="1" t="n">
        <v>46078</v>
      </c>
      <c r="D1663" t="inlineStr">
        <is>
          <t>VÄSTERBOTTENS LÄN</t>
        </is>
      </c>
      <c r="E1663" t="inlineStr">
        <is>
          <t>SKELLEFTEÅ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57519-2025</t>
        </is>
      </c>
      <c r="B1664" s="1" t="n">
        <v>45980.62025462963</v>
      </c>
      <c r="C1664" s="1" t="n">
        <v>46078</v>
      </c>
      <c r="D1664" t="inlineStr">
        <is>
          <t>VÄSTERBOTTENS LÄN</t>
        </is>
      </c>
      <c r="E1664" t="inlineStr">
        <is>
          <t>SKELLEFTEÅ</t>
        </is>
      </c>
      <c r="G1664" t="n">
        <v>5.3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44959-2023</t>
        </is>
      </c>
      <c r="B1665" s="1" t="n">
        <v>45190</v>
      </c>
      <c r="C1665" s="1" t="n">
        <v>46078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Sveaskog</t>
        </is>
      </c>
      <c r="G1665" t="n">
        <v>15.3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57516-2025</t>
        </is>
      </c>
      <c r="B1666" s="1" t="n">
        <v>45980.61847222222</v>
      </c>
      <c r="C1666" s="1" t="n">
        <v>46078</v>
      </c>
      <c r="D1666" t="inlineStr">
        <is>
          <t>VÄSTERBOTTENS LÄN</t>
        </is>
      </c>
      <c r="E1666" t="inlineStr">
        <is>
          <t>SKELLEFTEÅ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17506-2024</t>
        </is>
      </c>
      <c r="B1667" s="1" t="n">
        <v>45415</v>
      </c>
      <c r="C1667" s="1" t="n">
        <v>46078</v>
      </c>
      <c r="D1667" t="inlineStr">
        <is>
          <t>VÄSTERBOTTENS LÄN</t>
        </is>
      </c>
      <c r="E1667" t="inlineStr">
        <is>
          <t>SKELLEFTEÅ</t>
        </is>
      </c>
      <c r="G1667" t="n">
        <v>8.199999999999999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57702-2025</t>
        </is>
      </c>
      <c r="B1668" s="1" t="n">
        <v>45981.46765046296</v>
      </c>
      <c r="C1668" s="1" t="n">
        <v>46078</v>
      </c>
      <c r="D1668" t="inlineStr">
        <is>
          <t>VÄSTERBOTTENS LÄN</t>
        </is>
      </c>
      <c r="E1668" t="inlineStr">
        <is>
          <t>SKELLEFTEÅ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57626-2025</t>
        </is>
      </c>
      <c r="B1669" s="1" t="n">
        <v>45981.34576388889</v>
      </c>
      <c r="C1669" s="1" t="n">
        <v>46078</v>
      </c>
      <c r="D1669" t="inlineStr">
        <is>
          <t>VÄSTERBOTTENS LÄN</t>
        </is>
      </c>
      <c r="E1669" t="inlineStr">
        <is>
          <t>SKELLEFTEÅ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57521-2025</t>
        </is>
      </c>
      <c r="B1670" s="1" t="n">
        <v>45980.62366898148</v>
      </c>
      <c r="C1670" s="1" t="n">
        <v>46078</v>
      </c>
      <c r="D1670" t="inlineStr">
        <is>
          <t>VÄSTERBOTTENS LÄN</t>
        </is>
      </c>
      <c r="E1670" t="inlineStr">
        <is>
          <t>SKELLEFTEÅ</t>
        </is>
      </c>
      <c r="G1670" t="n">
        <v>9.6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57345-2025</t>
        </is>
      </c>
      <c r="B1671" s="1" t="n">
        <v>45980.35304398148</v>
      </c>
      <c r="C1671" s="1" t="n">
        <v>46078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21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1666-2023</t>
        </is>
      </c>
      <c r="B1672" s="1" t="n">
        <v>44938.36417824074</v>
      </c>
      <c r="C1672" s="1" t="n">
        <v>46078</v>
      </c>
      <c r="D1672" t="inlineStr">
        <is>
          <t>VÄSTERBOTTENS LÄN</t>
        </is>
      </c>
      <c r="E1672" t="inlineStr">
        <is>
          <t>SKELLEFTEÅ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57888-2025</t>
        </is>
      </c>
      <c r="B1673" s="1" t="n">
        <v>45981.67790509259</v>
      </c>
      <c r="C1673" s="1" t="n">
        <v>46078</v>
      </c>
      <c r="D1673" t="inlineStr">
        <is>
          <t>VÄSTERBOTTENS LÄN</t>
        </is>
      </c>
      <c r="E1673" t="inlineStr">
        <is>
          <t>SKELLEFTEÅ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57136-2025</t>
        </is>
      </c>
      <c r="B1674" s="1" t="n">
        <v>45979</v>
      </c>
      <c r="C1674" s="1" t="n">
        <v>46078</v>
      </c>
      <c r="D1674" t="inlineStr">
        <is>
          <t>VÄSTERBOTTENS LÄN</t>
        </is>
      </c>
      <c r="E1674" t="inlineStr">
        <is>
          <t>SKELLEFTEÅ</t>
        </is>
      </c>
      <c r="G1674" t="n">
        <v>16.5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57683-2025</t>
        </is>
      </c>
      <c r="B1675" s="1" t="n">
        <v>45981.43561342593</v>
      </c>
      <c r="C1675" s="1" t="n">
        <v>46078</v>
      </c>
      <c r="D1675" t="inlineStr">
        <is>
          <t>VÄSTERBOTTENS LÄN</t>
        </is>
      </c>
      <c r="E1675" t="inlineStr">
        <is>
          <t>SKELLEFTEÅ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57691-2025</t>
        </is>
      </c>
      <c r="B1676" s="1" t="n">
        <v>45981.44681712963</v>
      </c>
      <c r="C1676" s="1" t="n">
        <v>46078</v>
      </c>
      <c r="D1676" t="inlineStr">
        <is>
          <t>VÄSTERBOTTENS LÄN</t>
        </is>
      </c>
      <c r="E1676" t="inlineStr">
        <is>
          <t>SKELLEFTEÅ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57456-2025</t>
        </is>
      </c>
      <c r="B1677" s="1" t="n">
        <v>45980.52962962963</v>
      </c>
      <c r="C1677" s="1" t="n">
        <v>46078</v>
      </c>
      <c r="D1677" t="inlineStr">
        <is>
          <t>VÄSTERBOTTENS LÄN</t>
        </is>
      </c>
      <c r="E1677" t="inlineStr">
        <is>
          <t>SKELLEFTEÅ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58054-2025</t>
        </is>
      </c>
      <c r="B1678" s="1" t="n">
        <v>45982.52274305555</v>
      </c>
      <c r="C1678" s="1" t="n">
        <v>46078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58060-2025</t>
        </is>
      </c>
      <c r="B1679" s="1" t="n">
        <v>45982.53171296296</v>
      </c>
      <c r="C1679" s="1" t="n">
        <v>46078</v>
      </c>
      <c r="D1679" t="inlineStr">
        <is>
          <t>VÄSTERBOTTENS LÄN</t>
        </is>
      </c>
      <c r="E1679" t="inlineStr">
        <is>
          <t>SKELLEFTEÅ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58068-2025</t>
        </is>
      </c>
      <c r="B1680" s="1" t="n">
        <v>45982.54613425926</v>
      </c>
      <c r="C1680" s="1" t="n">
        <v>46078</v>
      </c>
      <c r="D1680" t="inlineStr">
        <is>
          <t>VÄSTERBOTTENS LÄN</t>
        </is>
      </c>
      <c r="E1680" t="inlineStr">
        <is>
          <t>SKELLEFTEÅ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58084-2025</t>
        </is>
      </c>
      <c r="B1681" s="1" t="n">
        <v>45982.56637731481</v>
      </c>
      <c r="C1681" s="1" t="n">
        <v>46078</v>
      </c>
      <c r="D1681" t="inlineStr">
        <is>
          <t>VÄSTERBOTTENS LÄN</t>
        </is>
      </c>
      <c r="E1681" t="inlineStr">
        <is>
          <t>SKELLEFTEÅ</t>
        </is>
      </c>
      <c r="G1681" t="n">
        <v>19.7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32279-2022</t>
        </is>
      </c>
      <c r="B1682" s="1" t="n">
        <v>44781</v>
      </c>
      <c r="C1682" s="1" t="n">
        <v>46078</v>
      </c>
      <c r="D1682" t="inlineStr">
        <is>
          <t>VÄSTERBOTTENS LÄN</t>
        </is>
      </c>
      <c r="E1682" t="inlineStr">
        <is>
          <t>SKELLEFTEÅ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1321-2025</t>
        </is>
      </c>
      <c r="B1683" s="1" t="n">
        <v>45667</v>
      </c>
      <c r="C1683" s="1" t="n">
        <v>46078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6.2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1362-2025</t>
        </is>
      </c>
      <c r="B1684" s="1" t="n">
        <v>45667.63641203703</v>
      </c>
      <c r="C1684" s="1" t="n">
        <v>46078</v>
      </c>
      <c r="D1684" t="inlineStr">
        <is>
          <t>VÄSTERBOTTENS LÄN</t>
        </is>
      </c>
      <c r="E1684" t="inlineStr">
        <is>
          <t>SKELLEFTEÅ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1367-2025</t>
        </is>
      </c>
      <c r="B1685" s="1" t="n">
        <v>45667.64177083333</v>
      </c>
      <c r="C1685" s="1" t="n">
        <v>46078</v>
      </c>
      <c r="D1685" t="inlineStr">
        <is>
          <t>VÄSTERBOTTENS LÄN</t>
        </is>
      </c>
      <c r="E1685" t="inlineStr">
        <is>
          <t>SKELLEFTEÅ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2087-2025</t>
        </is>
      </c>
      <c r="B1686" s="1" t="n">
        <v>45672.59090277777</v>
      </c>
      <c r="C1686" s="1" t="n">
        <v>46078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12772-2024</t>
        </is>
      </c>
      <c r="B1687" s="1" t="n">
        <v>45384</v>
      </c>
      <c r="C1687" s="1" t="n">
        <v>46078</v>
      </c>
      <c r="D1687" t="inlineStr">
        <is>
          <t>VÄSTERBOTTENS LÄN</t>
        </is>
      </c>
      <c r="E1687" t="inlineStr">
        <is>
          <t>SKELLEFTEÅ</t>
        </is>
      </c>
      <c r="G1687" t="n">
        <v>0.2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58105-2025</t>
        </is>
      </c>
      <c r="B1688" s="1" t="n">
        <v>45982.59347222222</v>
      </c>
      <c r="C1688" s="1" t="n">
        <v>46078</v>
      </c>
      <c r="D1688" t="inlineStr">
        <is>
          <t>VÄSTERBOTTENS LÄN</t>
        </is>
      </c>
      <c r="E1688" t="inlineStr">
        <is>
          <t>SKELLEFTEÅ</t>
        </is>
      </c>
      <c r="G1688" t="n">
        <v>6.6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18291-2025</t>
        </is>
      </c>
      <c r="B1689" s="1" t="n">
        <v>45762.41027777778</v>
      </c>
      <c r="C1689" s="1" t="n">
        <v>46078</v>
      </c>
      <c r="D1689" t="inlineStr">
        <is>
          <t>VÄSTERBOTTENS LÄN</t>
        </is>
      </c>
      <c r="E1689" t="inlineStr">
        <is>
          <t>SKELLEFTEÅ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2439-2023</t>
        </is>
      </c>
      <c r="B1690" s="1" t="n">
        <v>44942</v>
      </c>
      <c r="C1690" s="1" t="n">
        <v>46078</v>
      </c>
      <c r="D1690" t="inlineStr">
        <is>
          <t>VÄSTERBOTTENS LÄN</t>
        </is>
      </c>
      <c r="E1690" t="inlineStr">
        <is>
          <t>SKELLEFTEÅ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1612-2023</t>
        </is>
      </c>
      <c r="B1691" s="1" t="n">
        <v>44935</v>
      </c>
      <c r="C1691" s="1" t="n">
        <v>46078</v>
      </c>
      <c r="D1691" t="inlineStr">
        <is>
          <t>VÄSTERBOTTENS LÄN</t>
        </is>
      </c>
      <c r="E1691" t="inlineStr">
        <is>
          <t>SKELLEFTEÅ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4005-2022</t>
        </is>
      </c>
      <c r="B1692" s="1" t="n">
        <v>44587.92012731481</v>
      </c>
      <c r="C1692" s="1" t="n">
        <v>46078</v>
      </c>
      <c r="D1692" t="inlineStr">
        <is>
          <t>VÄSTERBOTTENS LÄN</t>
        </is>
      </c>
      <c r="E1692" t="inlineStr">
        <is>
          <t>SKELLEFTEÅ</t>
        </is>
      </c>
      <c r="G1692" t="n">
        <v>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58061-2025</t>
        </is>
      </c>
      <c r="B1693" s="1" t="n">
        <v>45982.53173611111</v>
      </c>
      <c r="C1693" s="1" t="n">
        <v>46078</v>
      </c>
      <c r="D1693" t="inlineStr">
        <is>
          <t>VÄSTERBOTTENS LÄN</t>
        </is>
      </c>
      <c r="E1693" t="inlineStr">
        <is>
          <t>SKELLEFTEÅ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63010-2023</t>
        </is>
      </c>
      <c r="B1694" s="1" t="n">
        <v>45272</v>
      </c>
      <c r="C1694" s="1" t="n">
        <v>46078</v>
      </c>
      <c r="D1694" t="inlineStr">
        <is>
          <t>VÄSTERBOTTENS LÄN</t>
        </is>
      </c>
      <c r="E1694" t="inlineStr">
        <is>
          <t>SKELLEFTEÅ</t>
        </is>
      </c>
      <c r="G1694" t="n">
        <v>16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58070-2025</t>
        </is>
      </c>
      <c r="B1695" s="1" t="n">
        <v>45982.55038194444</v>
      </c>
      <c r="C1695" s="1" t="n">
        <v>46078</v>
      </c>
      <c r="D1695" t="inlineStr">
        <is>
          <t>VÄSTERBOTTENS LÄN</t>
        </is>
      </c>
      <c r="E1695" t="inlineStr">
        <is>
          <t>SKELLEFTEÅ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57967-2025</t>
        </is>
      </c>
      <c r="B1696" s="1" t="n">
        <v>45982.38572916666</v>
      </c>
      <c r="C1696" s="1" t="n">
        <v>46078</v>
      </c>
      <c r="D1696" t="inlineStr">
        <is>
          <t>VÄSTERBOTTENS LÄN</t>
        </is>
      </c>
      <c r="E1696" t="inlineStr">
        <is>
          <t>SKELLEFTEÅ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9079-2023</t>
        </is>
      </c>
      <c r="B1697" s="1" t="n">
        <v>44979.92408564815</v>
      </c>
      <c r="C1697" s="1" t="n">
        <v>46078</v>
      </c>
      <c r="D1697" t="inlineStr">
        <is>
          <t>VÄSTERBOTTENS LÄN</t>
        </is>
      </c>
      <c r="E1697" t="inlineStr">
        <is>
          <t>SKELLEFTEÅ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31760-2023</t>
        </is>
      </c>
      <c r="B1698" s="1" t="n">
        <v>45106</v>
      </c>
      <c r="C1698" s="1" t="n">
        <v>46078</v>
      </c>
      <c r="D1698" t="inlineStr">
        <is>
          <t>VÄSTERBOTTENS LÄN</t>
        </is>
      </c>
      <c r="E1698" t="inlineStr">
        <is>
          <t>SKELLEFTEÅ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20193-2025</t>
        </is>
      </c>
      <c r="B1699" s="1" t="n">
        <v>45772</v>
      </c>
      <c r="C1699" s="1" t="n">
        <v>46078</v>
      </c>
      <c r="D1699" t="inlineStr">
        <is>
          <t>VÄSTERBOTTENS LÄN</t>
        </is>
      </c>
      <c r="E1699" t="inlineStr">
        <is>
          <t>SKELLEFTEÅ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40787-2024</t>
        </is>
      </c>
      <c r="B1700" s="1" t="n">
        <v>45558</v>
      </c>
      <c r="C1700" s="1" t="n">
        <v>46078</v>
      </c>
      <c r="D1700" t="inlineStr">
        <is>
          <t>VÄSTERBOTTENS LÄN</t>
        </is>
      </c>
      <c r="E1700" t="inlineStr">
        <is>
          <t>SKELLEFTEÅ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20218-2025</t>
        </is>
      </c>
      <c r="B1701" s="1" t="n">
        <v>45772</v>
      </c>
      <c r="C1701" s="1" t="n">
        <v>46078</v>
      </c>
      <c r="D1701" t="inlineStr">
        <is>
          <t>VÄSTERBOTTENS LÄN</t>
        </is>
      </c>
      <c r="E1701" t="inlineStr">
        <is>
          <t>SKELLEFTEÅ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58409-2025</t>
        </is>
      </c>
      <c r="B1702" s="1" t="n">
        <v>45985.57230324074</v>
      </c>
      <c r="C1702" s="1" t="n">
        <v>46078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Sveaskog</t>
        </is>
      </c>
      <c r="G1702" t="n">
        <v>20.8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42787-2023</t>
        </is>
      </c>
      <c r="B1703" s="1" t="n">
        <v>45181</v>
      </c>
      <c r="C1703" s="1" t="n">
        <v>46078</v>
      </c>
      <c r="D1703" t="inlineStr">
        <is>
          <t>VÄSTERBOTTENS LÄN</t>
        </is>
      </c>
      <c r="E1703" t="inlineStr">
        <is>
          <t>SKELLEFTEÅ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57989-2025</t>
        </is>
      </c>
      <c r="B1704" s="1" t="n">
        <v>45982.42314814815</v>
      </c>
      <c r="C1704" s="1" t="n">
        <v>46078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Sveaskog</t>
        </is>
      </c>
      <c r="G1704" t="n">
        <v>20.8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58358-2025</t>
        </is>
      </c>
      <c r="B1705" s="1" t="n">
        <v>45985.51590277778</v>
      </c>
      <c r="C1705" s="1" t="n">
        <v>46078</v>
      </c>
      <c r="D1705" t="inlineStr">
        <is>
          <t>VÄSTERBOTTENS LÄN</t>
        </is>
      </c>
      <c r="E1705" t="inlineStr">
        <is>
          <t>SKELLEFTEÅ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52987-2025</t>
        </is>
      </c>
      <c r="B1706" s="1" t="n">
        <v>45957.70400462963</v>
      </c>
      <c r="C1706" s="1" t="n">
        <v>46078</v>
      </c>
      <c r="D1706" t="inlineStr">
        <is>
          <t>VÄSTERBOTTENS LÄN</t>
        </is>
      </c>
      <c r="E1706" t="inlineStr">
        <is>
          <t>SKELLEFTEÅ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22548-2023</t>
        </is>
      </c>
      <c r="B1707" s="1" t="n">
        <v>45069</v>
      </c>
      <c r="C1707" s="1" t="n">
        <v>46078</v>
      </c>
      <c r="D1707" t="inlineStr">
        <is>
          <t>VÄSTERBOTTENS LÄN</t>
        </is>
      </c>
      <c r="E1707" t="inlineStr">
        <is>
          <t>SKELLEFTEÅ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58213-2025</t>
        </is>
      </c>
      <c r="B1708" s="1" t="n">
        <v>45985.3491087963</v>
      </c>
      <c r="C1708" s="1" t="n">
        <v>46078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Sveaskog</t>
        </is>
      </c>
      <c r="G1708" t="n">
        <v>22.1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23104-2025</t>
        </is>
      </c>
      <c r="B1709" s="1" t="n">
        <v>45791</v>
      </c>
      <c r="C1709" s="1" t="n">
        <v>46078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14756-2022</t>
        </is>
      </c>
      <c r="B1710" s="1" t="n">
        <v>44656</v>
      </c>
      <c r="C1710" s="1" t="n">
        <v>46078</v>
      </c>
      <c r="D1710" t="inlineStr">
        <is>
          <t>VÄSTERBOTTENS LÄN</t>
        </is>
      </c>
      <c r="E1710" t="inlineStr">
        <is>
          <t>SKELLEFTEÅ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53639-2022</t>
        </is>
      </c>
      <c r="B1711" s="1" t="n">
        <v>44879.92975694445</v>
      </c>
      <c r="C1711" s="1" t="n">
        <v>46078</v>
      </c>
      <c r="D1711" t="inlineStr">
        <is>
          <t>VÄSTERBOTTENS LÄN</t>
        </is>
      </c>
      <c r="E1711" t="inlineStr">
        <is>
          <t>SKELLEFTEÅ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11254-2025</t>
        </is>
      </c>
      <c r="B1712" s="1" t="n">
        <v>45726</v>
      </c>
      <c r="C1712" s="1" t="n">
        <v>46078</v>
      </c>
      <c r="D1712" t="inlineStr">
        <is>
          <t>VÄSTERBOTTENS LÄN</t>
        </is>
      </c>
      <c r="E1712" t="inlineStr">
        <is>
          <t>SKELLEFTEÅ</t>
        </is>
      </c>
      <c r="G1712" t="n">
        <v>12.6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26473-2021</t>
        </is>
      </c>
      <c r="B1713" s="1" t="n">
        <v>44348</v>
      </c>
      <c r="C1713" s="1" t="n">
        <v>46078</v>
      </c>
      <c r="D1713" t="inlineStr">
        <is>
          <t>VÄSTERBOTTENS LÄN</t>
        </is>
      </c>
      <c r="E1713" t="inlineStr">
        <is>
          <t>SKELLEFTEÅ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18498-2025</t>
        </is>
      </c>
      <c r="B1714" s="1" t="n">
        <v>45763.35789351852</v>
      </c>
      <c r="C1714" s="1" t="n">
        <v>46078</v>
      </c>
      <c r="D1714" t="inlineStr">
        <is>
          <t>VÄSTERBOTTENS LÄN</t>
        </is>
      </c>
      <c r="E1714" t="inlineStr">
        <is>
          <t>SKELLEFTEÅ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21836-2024</t>
        </is>
      </c>
      <c r="B1715" s="1" t="n">
        <v>45442.93028935185</v>
      </c>
      <c r="C1715" s="1" t="n">
        <v>46078</v>
      </c>
      <c r="D1715" t="inlineStr">
        <is>
          <t>VÄSTERBOTTENS LÄN</t>
        </is>
      </c>
      <c r="E1715" t="inlineStr">
        <is>
          <t>SKELLEFTEÅ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25634-2023</t>
        </is>
      </c>
      <c r="B1716" s="1" t="n">
        <v>45084</v>
      </c>
      <c r="C1716" s="1" t="n">
        <v>46078</v>
      </c>
      <c r="D1716" t="inlineStr">
        <is>
          <t>VÄSTERBOTTENS LÄN</t>
        </is>
      </c>
      <c r="E1716" t="inlineStr">
        <is>
          <t>SKELLEFTEÅ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8821-2025</t>
        </is>
      </c>
      <c r="B1717" s="1" t="n">
        <v>45712.77956018518</v>
      </c>
      <c r="C1717" s="1" t="n">
        <v>46078</v>
      </c>
      <c r="D1717" t="inlineStr">
        <is>
          <t>VÄSTERBOTTENS LÄN</t>
        </is>
      </c>
      <c r="E1717" t="inlineStr">
        <is>
          <t>SKELLEFTEÅ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49356-2024</t>
        </is>
      </c>
      <c r="B1718" s="1" t="n">
        <v>45595</v>
      </c>
      <c r="C1718" s="1" t="n">
        <v>46078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Sveaskog</t>
        </is>
      </c>
      <c r="G1718" t="n">
        <v>12.8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58976-2025</t>
        </is>
      </c>
      <c r="B1719" s="1" t="n">
        <v>45987.61980324074</v>
      </c>
      <c r="C1719" s="1" t="n">
        <v>46078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7.8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5239-2024</t>
        </is>
      </c>
      <c r="B1720" s="1" t="n">
        <v>45330.85105324074</v>
      </c>
      <c r="C1720" s="1" t="n">
        <v>46078</v>
      </c>
      <c r="D1720" t="inlineStr">
        <is>
          <t>VÄSTERBOTTENS LÄN</t>
        </is>
      </c>
      <c r="E1720" t="inlineStr">
        <is>
          <t>SKELLEFTEÅ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58862-2025</t>
        </is>
      </c>
      <c r="B1721" s="1" t="n">
        <v>45987.43667824074</v>
      </c>
      <c r="C1721" s="1" t="n">
        <v>46078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16.8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58566-2025</t>
        </is>
      </c>
      <c r="B1722" s="1" t="n">
        <v>45986.36526620371</v>
      </c>
      <c r="C1722" s="1" t="n">
        <v>46078</v>
      </c>
      <c r="D1722" t="inlineStr">
        <is>
          <t>VÄSTERBOTTENS LÄN</t>
        </is>
      </c>
      <c r="E1722" t="inlineStr">
        <is>
          <t>SKELLEFTEÅ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39590-2021</t>
        </is>
      </c>
      <c r="B1723" s="1" t="n">
        <v>44413</v>
      </c>
      <c r="C1723" s="1" t="n">
        <v>46078</v>
      </c>
      <c r="D1723" t="inlineStr">
        <is>
          <t>VÄSTERBOTTENS LÄN</t>
        </is>
      </c>
      <c r="E1723" t="inlineStr">
        <is>
          <t>SKELLEFTEÅ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58572-2025</t>
        </is>
      </c>
      <c r="B1724" s="1" t="n">
        <v>45986.37571759259</v>
      </c>
      <c r="C1724" s="1" t="n">
        <v>46078</v>
      </c>
      <c r="D1724" t="inlineStr">
        <is>
          <t>VÄSTERBOTTENS LÄN</t>
        </is>
      </c>
      <c r="E1724" t="inlineStr">
        <is>
          <t>SKELLEFTEÅ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22758-2022</t>
        </is>
      </c>
      <c r="B1725" s="1" t="n">
        <v>44714</v>
      </c>
      <c r="C1725" s="1" t="n">
        <v>46078</v>
      </c>
      <c r="D1725" t="inlineStr">
        <is>
          <t>VÄSTERBOTTENS LÄN</t>
        </is>
      </c>
      <c r="E1725" t="inlineStr">
        <is>
          <t>SKELLEFTEÅ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58880-2025</t>
        </is>
      </c>
      <c r="B1726" s="1" t="n">
        <v>45987.47384259259</v>
      </c>
      <c r="C1726" s="1" t="n">
        <v>46078</v>
      </c>
      <c r="D1726" t="inlineStr">
        <is>
          <t>VÄSTERBOTTENS LÄN</t>
        </is>
      </c>
      <c r="E1726" t="inlineStr">
        <is>
          <t>SKELLEFTEÅ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58803-2025</t>
        </is>
      </c>
      <c r="B1727" s="1" t="n">
        <v>45986.88215277778</v>
      </c>
      <c r="C1727" s="1" t="n">
        <v>46078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Sveaskog</t>
        </is>
      </c>
      <c r="G1727" t="n">
        <v>19.4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59280-2025</t>
        </is>
      </c>
      <c r="B1728" s="1" t="n">
        <v>45988.72273148148</v>
      </c>
      <c r="C1728" s="1" t="n">
        <v>46078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Sveaskog</t>
        </is>
      </c>
      <c r="G1728" t="n">
        <v>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35731-2023</t>
        </is>
      </c>
      <c r="B1729" s="1" t="n">
        <v>45147</v>
      </c>
      <c r="C1729" s="1" t="n">
        <v>46078</v>
      </c>
      <c r="D1729" t="inlineStr">
        <is>
          <t>VÄSTERBOTTENS LÄN</t>
        </is>
      </c>
      <c r="E1729" t="inlineStr">
        <is>
          <t>SKELLEFTEÅ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36493-2023</t>
        </is>
      </c>
      <c r="B1730" s="1" t="n">
        <v>45152.92484953703</v>
      </c>
      <c r="C1730" s="1" t="n">
        <v>46078</v>
      </c>
      <c r="D1730" t="inlineStr">
        <is>
          <t>VÄSTERBOTTENS LÄN</t>
        </is>
      </c>
      <c r="E1730" t="inlineStr">
        <is>
          <t>SKELLEFTEÅ</t>
        </is>
      </c>
      <c r="G1730" t="n">
        <v>11.1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36495-2023</t>
        </is>
      </c>
      <c r="B1731" s="1" t="n">
        <v>45152.92496527778</v>
      </c>
      <c r="C1731" s="1" t="n">
        <v>46078</v>
      </c>
      <c r="D1731" t="inlineStr">
        <is>
          <t>VÄSTERBOTTENS LÄN</t>
        </is>
      </c>
      <c r="E1731" t="inlineStr">
        <is>
          <t>SKELLEFTEÅ</t>
        </is>
      </c>
      <c r="G1731" t="n">
        <v>11.6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45407-2024</t>
        </is>
      </c>
      <c r="B1732" s="1" t="n">
        <v>45576.58652777778</v>
      </c>
      <c r="C1732" s="1" t="n">
        <v>46078</v>
      </c>
      <c r="D1732" t="inlineStr">
        <is>
          <t>VÄSTERBOTTENS LÄN</t>
        </is>
      </c>
      <c r="E1732" t="inlineStr">
        <is>
          <t>SKELLEFTEÅ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59345-2025</t>
        </is>
      </c>
      <c r="B1733" s="1" t="n">
        <v>45989.39247685186</v>
      </c>
      <c r="C1733" s="1" t="n">
        <v>46078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Holmen skog AB</t>
        </is>
      </c>
      <c r="G1733" t="n">
        <v>6.8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39589-2023</t>
        </is>
      </c>
      <c r="B1734" s="1" t="n">
        <v>45167.44805555556</v>
      </c>
      <c r="C1734" s="1" t="n">
        <v>46078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59027-2025</t>
        </is>
      </c>
      <c r="B1735" s="1" t="n">
        <v>45988</v>
      </c>
      <c r="C1735" s="1" t="n">
        <v>46078</v>
      </c>
      <c r="D1735" t="inlineStr">
        <is>
          <t>VÄSTERBOTTENS LÄN</t>
        </is>
      </c>
      <c r="E1735" t="inlineStr">
        <is>
          <t>SKELLEFTEÅ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59349-2025</t>
        </is>
      </c>
      <c r="B1736" s="1" t="n">
        <v>45989.40206018519</v>
      </c>
      <c r="C1736" s="1" t="n">
        <v>46078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4.1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59382-2025</t>
        </is>
      </c>
      <c r="B1737" s="1" t="n">
        <v>45989.45534722223</v>
      </c>
      <c r="C1737" s="1" t="n">
        <v>46078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6.4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59044-2025</t>
        </is>
      </c>
      <c r="B1738" s="1" t="n">
        <v>45988.37289351852</v>
      </c>
      <c r="C1738" s="1" t="n">
        <v>46078</v>
      </c>
      <c r="D1738" t="inlineStr">
        <is>
          <t>VÄSTERBOTTENS LÄN</t>
        </is>
      </c>
      <c r="E1738" t="inlineStr">
        <is>
          <t>SKELLEFTEÅ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59419-2025</t>
        </is>
      </c>
      <c r="B1739" s="1" t="n">
        <v>45989.51962962963</v>
      </c>
      <c r="C1739" s="1" t="n">
        <v>46078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Holmen skog AB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59416-2025</t>
        </is>
      </c>
      <c r="B1740" s="1" t="n">
        <v>45989.50570601852</v>
      </c>
      <c r="C1740" s="1" t="n">
        <v>46078</v>
      </c>
      <c r="D1740" t="inlineStr">
        <is>
          <t>VÄSTERBOTTENS LÄN</t>
        </is>
      </c>
      <c r="E1740" t="inlineStr">
        <is>
          <t>SKELLEFTEÅ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9080-2023</t>
        </is>
      </c>
      <c r="B1741" s="1" t="n">
        <v>44979</v>
      </c>
      <c r="C1741" s="1" t="n">
        <v>46078</v>
      </c>
      <c r="D1741" t="inlineStr">
        <is>
          <t>VÄSTERBOTTENS LÄN</t>
        </is>
      </c>
      <c r="E1741" t="inlineStr">
        <is>
          <t>SKELLEFTEÅ</t>
        </is>
      </c>
      <c r="G1741" t="n">
        <v>6.6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38450-2023</t>
        </is>
      </c>
      <c r="B1742" s="1" t="n">
        <v>45162</v>
      </c>
      <c r="C1742" s="1" t="n">
        <v>46078</v>
      </c>
      <c r="D1742" t="inlineStr">
        <is>
          <t>VÄSTERBOTTENS LÄN</t>
        </is>
      </c>
      <c r="E1742" t="inlineStr">
        <is>
          <t>SKELLEFTEÅ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59025-2025</t>
        </is>
      </c>
      <c r="B1743" s="1" t="n">
        <v>45988.34513888889</v>
      </c>
      <c r="C1743" s="1" t="n">
        <v>46078</v>
      </c>
      <c r="D1743" t="inlineStr">
        <is>
          <t>VÄSTERBOTTENS LÄN</t>
        </is>
      </c>
      <c r="E1743" t="inlineStr">
        <is>
          <t>SKELLEFTEÅ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59346-2025</t>
        </is>
      </c>
      <c r="B1744" s="1" t="n">
        <v>45989.39722222222</v>
      </c>
      <c r="C1744" s="1" t="n">
        <v>46078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59173-2025</t>
        </is>
      </c>
      <c r="B1745" s="1" t="n">
        <v>45988.56671296297</v>
      </c>
      <c r="C1745" s="1" t="n">
        <v>46078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59201-2025</t>
        </is>
      </c>
      <c r="B1746" s="1" t="n">
        <v>45988.60271990741</v>
      </c>
      <c r="C1746" s="1" t="n">
        <v>46078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59208-2025</t>
        </is>
      </c>
      <c r="B1747" s="1" t="n">
        <v>45988.61494212963</v>
      </c>
      <c r="C1747" s="1" t="n">
        <v>46078</v>
      </c>
      <c r="D1747" t="inlineStr">
        <is>
          <t>VÄSTERBOTTENS LÄN</t>
        </is>
      </c>
      <c r="E1747" t="inlineStr">
        <is>
          <t>SKELLEFTEÅ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59224-2025</t>
        </is>
      </c>
      <c r="B1748" s="1" t="n">
        <v>45988.61928240741</v>
      </c>
      <c r="C1748" s="1" t="n">
        <v>46078</v>
      </c>
      <c r="D1748" t="inlineStr">
        <is>
          <t>VÄSTERBOTTENS LÄN</t>
        </is>
      </c>
      <c r="E1748" t="inlineStr">
        <is>
          <t>SKELLEFTEÅ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59226-2025</t>
        </is>
      </c>
      <c r="B1749" s="1" t="n">
        <v>45988.62199074074</v>
      </c>
      <c r="C1749" s="1" t="n">
        <v>46078</v>
      </c>
      <c r="D1749" t="inlineStr">
        <is>
          <t>VÄSTERBOTTENS LÄN</t>
        </is>
      </c>
      <c r="E1749" t="inlineStr">
        <is>
          <t>SKELLEFTEÅ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21265-2021</t>
        </is>
      </c>
      <c r="B1750" s="1" t="n">
        <v>44320.5741087963</v>
      </c>
      <c r="C1750" s="1" t="n">
        <v>46078</v>
      </c>
      <c r="D1750" t="inlineStr">
        <is>
          <t>VÄSTERBOTTENS LÄN</t>
        </is>
      </c>
      <c r="E1750" t="inlineStr">
        <is>
          <t>SKELLEFTEÅ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14341-2023</t>
        </is>
      </c>
      <c r="B1751" s="1" t="n">
        <v>45009</v>
      </c>
      <c r="C1751" s="1" t="n">
        <v>46078</v>
      </c>
      <c r="D1751" t="inlineStr">
        <is>
          <t>VÄSTERBOTTENS LÄN</t>
        </is>
      </c>
      <c r="E1751" t="inlineStr">
        <is>
          <t>SKELLEFTEÅ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59059-2025</t>
        </is>
      </c>
      <c r="B1752" s="1" t="n">
        <v>45988.40299768518</v>
      </c>
      <c r="C1752" s="1" t="n">
        <v>46078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Sveaskog</t>
        </is>
      </c>
      <c r="G1752" t="n">
        <v>33.4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59033-2025</t>
        </is>
      </c>
      <c r="B1753" s="1" t="n">
        <v>45988.36071759259</v>
      </c>
      <c r="C1753" s="1" t="n">
        <v>46078</v>
      </c>
      <c r="D1753" t="inlineStr">
        <is>
          <t>VÄSTERBOTTENS LÄN</t>
        </is>
      </c>
      <c r="E1753" t="inlineStr">
        <is>
          <t>SKELLEFTEÅ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2279-2025</t>
        </is>
      </c>
      <c r="B1754" s="1" t="n">
        <v>45673.56776620371</v>
      </c>
      <c r="C1754" s="1" t="n">
        <v>46078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59343-2025</t>
        </is>
      </c>
      <c r="B1755" s="1" t="n">
        <v>45989.38943287037</v>
      </c>
      <c r="C1755" s="1" t="n">
        <v>46078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Holmen skog AB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59354-2025</t>
        </is>
      </c>
      <c r="B1756" s="1" t="n">
        <v>45989.41605324074</v>
      </c>
      <c r="C1756" s="1" t="n">
        <v>46078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Holmen skog AB</t>
        </is>
      </c>
      <c r="G1756" t="n">
        <v>8.9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59356-2025</t>
        </is>
      </c>
      <c r="B1757" s="1" t="n">
        <v>45989.42163194445</v>
      </c>
      <c r="C1757" s="1" t="n">
        <v>46078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Holmen skog AB</t>
        </is>
      </c>
      <c r="G1757" t="n">
        <v>24.4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904-2023</t>
        </is>
      </c>
      <c r="B1758" s="1" t="n">
        <v>44931</v>
      </c>
      <c r="C1758" s="1" t="n">
        <v>46078</v>
      </c>
      <c r="D1758" t="inlineStr">
        <is>
          <t>VÄSTERBOTTENS LÄN</t>
        </is>
      </c>
      <c r="E1758" t="inlineStr">
        <is>
          <t>SKELLEFTEÅ</t>
        </is>
      </c>
      <c r="G1758" t="n">
        <v>22.2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21854-2024</t>
        </is>
      </c>
      <c r="B1759" s="1" t="n">
        <v>45442</v>
      </c>
      <c r="C1759" s="1" t="n">
        <v>46078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SCA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42861-2024</t>
        </is>
      </c>
      <c r="B1760" s="1" t="n">
        <v>45566.65780092592</v>
      </c>
      <c r="C1760" s="1" t="n">
        <v>46078</v>
      </c>
      <c r="D1760" t="inlineStr">
        <is>
          <t>VÄSTERBOTTENS LÄN</t>
        </is>
      </c>
      <c r="E1760" t="inlineStr">
        <is>
          <t>SKELLEFTEÅ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10696-2023</t>
        </is>
      </c>
      <c r="B1761" s="1" t="n">
        <v>44984</v>
      </c>
      <c r="C1761" s="1" t="n">
        <v>46078</v>
      </c>
      <c r="D1761" t="inlineStr">
        <is>
          <t>VÄSTERBOTTENS LÄN</t>
        </is>
      </c>
      <c r="E1761" t="inlineStr">
        <is>
          <t>SKELLEFTEÅ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59347-2025</t>
        </is>
      </c>
      <c r="B1762" s="1" t="n">
        <v>45989.39966435185</v>
      </c>
      <c r="C1762" s="1" t="n">
        <v>46078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59254-2025</t>
        </is>
      </c>
      <c r="B1763" s="1" t="n">
        <v>45988.6530324074</v>
      </c>
      <c r="C1763" s="1" t="n">
        <v>46078</v>
      </c>
      <c r="D1763" t="inlineStr">
        <is>
          <t>VÄSTERBOTTENS LÄN</t>
        </is>
      </c>
      <c r="E1763" t="inlineStr">
        <is>
          <t>SKELLEFTEÅ</t>
        </is>
      </c>
      <c r="G1763" t="n">
        <v>13.5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58872-2021</t>
        </is>
      </c>
      <c r="B1764" s="1" t="n">
        <v>44489</v>
      </c>
      <c r="C1764" s="1" t="n">
        <v>46078</v>
      </c>
      <c r="D1764" t="inlineStr">
        <is>
          <t>VÄSTERBOTTENS LÄN</t>
        </is>
      </c>
      <c r="E1764" t="inlineStr">
        <is>
          <t>SKELLEFTEÅ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33268-2022</t>
        </is>
      </c>
      <c r="B1765" s="1" t="n">
        <v>44788.32501157407</v>
      </c>
      <c r="C1765" s="1" t="n">
        <v>46078</v>
      </c>
      <c r="D1765" t="inlineStr">
        <is>
          <t>VÄSTERBOTTENS LÄN</t>
        </is>
      </c>
      <c r="E1765" t="inlineStr">
        <is>
          <t>SKELLEFTEÅ</t>
        </is>
      </c>
      <c r="G1765" t="n">
        <v>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29579-2024</t>
        </is>
      </c>
      <c r="B1766" s="1" t="n">
        <v>45484.57260416666</v>
      </c>
      <c r="C1766" s="1" t="n">
        <v>46078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10.1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49731-2024</t>
        </is>
      </c>
      <c r="B1767" s="1" t="n">
        <v>45596</v>
      </c>
      <c r="C1767" s="1" t="n">
        <v>46078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15.4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59678-2025</t>
        </is>
      </c>
      <c r="B1768" s="1" t="n">
        <v>45992.46927083333</v>
      </c>
      <c r="C1768" s="1" t="n">
        <v>46078</v>
      </c>
      <c r="D1768" t="inlineStr">
        <is>
          <t>VÄSTERBOTTENS LÄN</t>
        </is>
      </c>
      <c r="E1768" t="inlineStr">
        <is>
          <t>SKELLEFTEÅ</t>
        </is>
      </c>
      <c r="G1768" t="n">
        <v>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46565-2024</t>
        </is>
      </c>
      <c r="B1769" s="1" t="n">
        <v>45582</v>
      </c>
      <c r="C1769" s="1" t="n">
        <v>46078</v>
      </c>
      <c r="D1769" t="inlineStr">
        <is>
          <t>VÄSTERBOTTENS LÄN</t>
        </is>
      </c>
      <c r="E1769" t="inlineStr">
        <is>
          <t>SKELLEFTEÅ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1959-2025</t>
        </is>
      </c>
      <c r="B1770" s="1" t="n">
        <v>45671</v>
      </c>
      <c r="C1770" s="1" t="n">
        <v>46078</v>
      </c>
      <c r="D1770" t="inlineStr">
        <is>
          <t>VÄSTERBOTTENS LÄN</t>
        </is>
      </c>
      <c r="E1770" t="inlineStr">
        <is>
          <t>SKELLEFTEÅ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59889-2025</t>
        </is>
      </c>
      <c r="B1771" s="1" t="n">
        <v>45993.32875</v>
      </c>
      <c r="C1771" s="1" t="n">
        <v>46078</v>
      </c>
      <c r="D1771" t="inlineStr">
        <is>
          <t>VÄSTERBOTTENS LÄN</t>
        </is>
      </c>
      <c r="E1771" t="inlineStr">
        <is>
          <t>SKELLEFTEÅ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59835-2025</t>
        </is>
      </c>
      <c r="B1772" s="1" t="n">
        <v>45992.6687037037</v>
      </c>
      <c r="C1772" s="1" t="n">
        <v>46078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59677-2025</t>
        </is>
      </c>
      <c r="B1773" s="1" t="n">
        <v>45992.46918981482</v>
      </c>
      <c r="C1773" s="1" t="n">
        <v>46078</v>
      </c>
      <c r="D1773" t="inlineStr">
        <is>
          <t>VÄSTERBOTTENS LÄN</t>
        </is>
      </c>
      <c r="E1773" t="inlineStr">
        <is>
          <t>SKELLEFTEÅ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5475-2025</t>
        </is>
      </c>
      <c r="B1774" s="1" t="n">
        <v>45693.33069444444</v>
      </c>
      <c r="C1774" s="1" t="n">
        <v>46078</v>
      </c>
      <c r="D1774" t="inlineStr">
        <is>
          <t>VÄSTERBOTTENS LÄN</t>
        </is>
      </c>
      <c r="E1774" t="inlineStr">
        <is>
          <t>SKELLEFTEÅ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15116-2025</t>
        </is>
      </c>
      <c r="B1775" s="1" t="n">
        <v>45744.36479166667</v>
      </c>
      <c r="C1775" s="1" t="n">
        <v>46078</v>
      </c>
      <c r="D1775" t="inlineStr">
        <is>
          <t>VÄSTERBOTTENS LÄN</t>
        </is>
      </c>
      <c r="E1775" t="inlineStr">
        <is>
          <t>SKELLEFTEÅ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10719-2024</t>
        </is>
      </c>
      <c r="B1776" s="1" t="n">
        <v>45369</v>
      </c>
      <c r="C1776" s="1" t="n">
        <v>46078</v>
      </c>
      <c r="D1776" t="inlineStr">
        <is>
          <t>VÄSTERBOTTENS LÄN</t>
        </is>
      </c>
      <c r="E1776" t="inlineStr">
        <is>
          <t>SKELLEFTEÅ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29323-2024</t>
        </is>
      </c>
      <c r="B1777" s="1" t="n">
        <v>45483.43054398148</v>
      </c>
      <c r="C1777" s="1" t="n">
        <v>46078</v>
      </c>
      <c r="D1777" t="inlineStr">
        <is>
          <t>VÄSTERBOTTENS LÄN</t>
        </is>
      </c>
      <c r="E1777" t="inlineStr">
        <is>
          <t>SKELLEFTEÅ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59732-2025</t>
        </is>
      </c>
      <c r="B1778" s="1" t="n">
        <v>45992.57090277778</v>
      </c>
      <c r="C1778" s="1" t="n">
        <v>46078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Sveaskog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60045-2025</t>
        </is>
      </c>
      <c r="B1779" s="1" t="n">
        <v>45993.6283912037</v>
      </c>
      <c r="C1779" s="1" t="n">
        <v>46078</v>
      </c>
      <c r="D1779" t="inlineStr">
        <is>
          <t>VÄSTERBOTTENS LÄN</t>
        </is>
      </c>
      <c r="E1779" t="inlineStr">
        <is>
          <t>SKELLEFTEÅ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16959-2024</t>
        </is>
      </c>
      <c r="B1780" s="1" t="n">
        <v>45411</v>
      </c>
      <c r="C1780" s="1" t="n">
        <v>46078</v>
      </c>
      <c r="D1780" t="inlineStr">
        <is>
          <t>VÄSTERBOTTENS LÄN</t>
        </is>
      </c>
      <c r="E1780" t="inlineStr">
        <is>
          <t>SKELLEFTEÅ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20592-2024</t>
        </is>
      </c>
      <c r="B1781" s="1" t="n">
        <v>45436</v>
      </c>
      <c r="C1781" s="1" t="n">
        <v>46078</v>
      </c>
      <c r="D1781" t="inlineStr">
        <is>
          <t>VÄSTERBOTTENS LÄN</t>
        </is>
      </c>
      <c r="E1781" t="inlineStr">
        <is>
          <t>SKELLEFTEÅ</t>
        </is>
      </c>
      <c r="G1781" t="n">
        <v>6.1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16604-2025</t>
        </is>
      </c>
      <c r="B1782" s="1" t="n">
        <v>45753</v>
      </c>
      <c r="C1782" s="1" t="n">
        <v>46078</v>
      </c>
      <c r="D1782" t="inlineStr">
        <is>
          <t>VÄSTERBOTTENS LÄN</t>
        </is>
      </c>
      <c r="E1782" t="inlineStr">
        <is>
          <t>SKELLEFTEÅ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59879-2025</t>
        </is>
      </c>
      <c r="B1783" s="1" t="n">
        <v>45993.2980787037</v>
      </c>
      <c r="C1783" s="1" t="n">
        <v>46078</v>
      </c>
      <c r="D1783" t="inlineStr">
        <is>
          <t>VÄSTERBOTTENS LÄN</t>
        </is>
      </c>
      <c r="E1783" t="inlineStr">
        <is>
          <t>SKELLEFTEÅ</t>
        </is>
      </c>
      <c r="G1783" t="n">
        <v>9.199999999999999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59662-2025</t>
        </is>
      </c>
      <c r="B1784" s="1" t="n">
        <v>45992.44856481482</v>
      </c>
      <c r="C1784" s="1" t="n">
        <v>46078</v>
      </c>
      <c r="D1784" t="inlineStr">
        <is>
          <t>VÄSTERBOTTENS LÄN</t>
        </is>
      </c>
      <c r="E1784" t="inlineStr">
        <is>
          <t>SKELLEFTEÅ</t>
        </is>
      </c>
      <c r="G1784" t="n">
        <v>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2393-2025</t>
        </is>
      </c>
      <c r="B1785" s="1" t="n">
        <v>45674.33457175926</v>
      </c>
      <c r="C1785" s="1" t="n">
        <v>46078</v>
      </c>
      <c r="D1785" t="inlineStr">
        <is>
          <t>VÄSTERBOTTENS LÄN</t>
        </is>
      </c>
      <c r="E1785" t="inlineStr">
        <is>
          <t>SKELLEFTEÅ</t>
        </is>
      </c>
      <c r="G1785" t="n">
        <v>10.2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47062-2024</t>
        </is>
      </c>
      <c r="B1786" s="1" t="n">
        <v>45585</v>
      </c>
      <c r="C1786" s="1" t="n">
        <v>46078</v>
      </c>
      <c r="D1786" t="inlineStr">
        <is>
          <t>VÄSTERBOTTENS LÄN</t>
        </is>
      </c>
      <c r="E1786" t="inlineStr">
        <is>
          <t>SKELLEFTEÅ</t>
        </is>
      </c>
      <c r="G1786" t="n">
        <v>10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60556-2025</t>
        </is>
      </c>
      <c r="B1787" s="1" t="n">
        <v>45995.74164351852</v>
      </c>
      <c r="C1787" s="1" t="n">
        <v>46078</v>
      </c>
      <c r="D1787" t="inlineStr">
        <is>
          <t>VÄSTERBOTTENS LÄN</t>
        </is>
      </c>
      <c r="E1787" t="inlineStr">
        <is>
          <t>SKELLEFTEÅ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54653-2024</t>
        </is>
      </c>
      <c r="B1788" s="1" t="n">
        <v>45618.30525462963</v>
      </c>
      <c r="C1788" s="1" t="n">
        <v>46078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54660-2024</t>
        </is>
      </c>
      <c r="B1789" s="1" t="n">
        <v>45618.3122337963</v>
      </c>
      <c r="C1789" s="1" t="n">
        <v>46078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38706-2024</t>
        </is>
      </c>
      <c r="B1790" s="1" t="n">
        <v>45547.37357638889</v>
      </c>
      <c r="C1790" s="1" t="n">
        <v>46078</v>
      </c>
      <c r="D1790" t="inlineStr">
        <is>
          <t>VÄSTERBOTTENS LÄN</t>
        </is>
      </c>
      <c r="E1790" t="inlineStr">
        <is>
          <t>SKELLEFTEÅ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2111-2026</t>
        </is>
      </c>
      <c r="B1791" s="1" t="n">
        <v>46036.37813657407</v>
      </c>
      <c r="C1791" s="1" t="n">
        <v>46078</v>
      </c>
      <c r="D1791" t="inlineStr">
        <is>
          <t>VÄSTERBOTTENS LÄN</t>
        </is>
      </c>
      <c r="E1791" t="inlineStr">
        <is>
          <t>SKELLEFTEÅ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60853-2022</t>
        </is>
      </c>
      <c r="B1792" s="1" t="n">
        <v>44914.51908564815</v>
      </c>
      <c r="C1792" s="1" t="n">
        <v>46078</v>
      </c>
      <c r="D1792" t="inlineStr">
        <is>
          <t>VÄSTERBOTTENS LÄN</t>
        </is>
      </c>
      <c r="E1792" t="inlineStr">
        <is>
          <t>SKELLEFTEÅ</t>
        </is>
      </c>
      <c r="F1792" t="inlineStr">
        <is>
          <t>Sveaskog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18578-2024</t>
        </is>
      </c>
      <c r="B1793" s="1" t="n">
        <v>45425</v>
      </c>
      <c r="C1793" s="1" t="n">
        <v>46078</v>
      </c>
      <c r="D1793" t="inlineStr">
        <is>
          <t>VÄSTERBOTTENS LÄN</t>
        </is>
      </c>
      <c r="E1793" t="inlineStr">
        <is>
          <t>SKELLEFTEÅ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60249-2025</t>
        </is>
      </c>
      <c r="B1794" s="1" t="n">
        <v>45994.59440972222</v>
      </c>
      <c r="C1794" s="1" t="n">
        <v>46078</v>
      </c>
      <c r="D1794" t="inlineStr">
        <is>
          <t>VÄSTERBOTTENS LÄN</t>
        </is>
      </c>
      <c r="E1794" t="inlineStr">
        <is>
          <t>SKELLEFTEÅ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60270-2025</t>
        </is>
      </c>
      <c r="B1795" s="1" t="n">
        <v>45994.62560185185</v>
      </c>
      <c r="C1795" s="1" t="n">
        <v>46078</v>
      </c>
      <c r="D1795" t="inlineStr">
        <is>
          <t>VÄSTERBOTTENS LÄN</t>
        </is>
      </c>
      <c r="E1795" t="inlineStr">
        <is>
          <t>SKELLEFTEÅ</t>
        </is>
      </c>
      <c r="G1795" t="n">
        <v>7.6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68251-2021</t>
        </is>
      </c>
      <c r="B1796" s="1" t="n">
        <v>44525</v>
      </c>
      <c r="C1796" s="1" t="n">
        <v>46078</v>
      </c>
      <c r="D1796" t="inlineStr">
        <is>
          <t>VÄSTERBOTTENS LÄN</t>
        </is>
      </c>
      <c r="E1796" t="inlineStr">
        <is>
          <t>SKELLEFTEÅ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2456-2026</t>
        </is>
      </c>
      <c r="B1797" s="1" t="n">
        <v>46037.34474537037</v>
      </c>
      <c r="C1797" s="1" t="n">
        <v>46078</v>
      </c>
      <c r="D1797" t="inlineStr">
        <is>
          <t>VÄSTERBOTTENS LÄN</t>
        </is>
      </c>
      <c r="E1797" t="inlineStr">
        <is>
          <t>SKELLEFTEÅ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60565-2025</t>
        </is>
      </c>
      <c r="B1798" s="1" t="n">
        <v>45994</v>
      </c>
      <c r="C1798" s="1" t="n">
        <v>46078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Kommuner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36771-2024</t>
        </is>
      </c>
      <c r="B1799" s="1" t="n">
        <v>45538.38226851852</v>
      </c>
      <c r="C1799" s="1" t="n">
        <v>46078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62025-2022</t>
        </is>
      </c>
      <c r="B1800" s="1" t="n">
        <v>44914</v>
      </c>
      <c r="C1800" s="1" t="n">
        <v>46078</v>
      </c>
      <c r="D1800" t="inlineStr">
        <is>
          <t>VÄSTERBOTTENS LÄN</t>
        </is>
      </c>
      <c r="E1800" t="inlineStr">
        <is>
          <t>SKELLEFTEÅ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62028-2022</t>
        </is>
      </c>
      <c r="B1801" s="1" t="n">
        <v>44914</v>
      </c>
      <c r="C1801" s="1" t="n">
        <v>46078</v>
      </c>
      <c r="D1801" t="inlineStr">
        <is>
          <t>VÄSTERBOTTENS LÄN</t>
        </is>
      </c>
      <c r="E1801" t="inlineStr">
        <is>
          <t>SKELLEFTEÅ</t>
        </is>
      </c>
      <c r="G1801" t="n">
        <v>4.6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16198-2022</t>
        </is>
      </c>
      <c r="B1802" s="1" t="n">
        <v>44665</v>
      </c>
      <c r="C1802" s="1" t="n">
        <v>46078</v>
      </c>
      <c r="D1802" t="inlineStr">
        <is>
          <t>VÄSTERBOTTENS LÄN</t>
        </is>
      </c>
      <c r="E1802" t="inlineStr">
        <is>
          <t>SKELLEFTEÅ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15903-2023</t>
        </is>
      </c>
      <c r="B1803" s="1" t="n">
        <v>45021</v>
      </c>
      <c r="C1803" s="1" t="n">
        <v>46078</v>
      </c>
      <c r="D1803" t="inlineStr">
        <is>
          <t>VÄSTERBOTTENS LÄN</t>
        </is>
      </c>
      <c r="E1803" t="inlineStr">
        <is>
          <t>SKELLEFTEÅ</t>
        </is>
      </c>
      <c r="G1803" t="n">
        <v>8.9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2247-2026</t>
        </is>
      </c>
      <c r="B1804" s="1" t="n">
        <v>46036.54668981482</v>
      </c>
      <c r="C1804" s="1" t="n">
        <v>46078</v>
      </c>
      <c r="D1804" t="inlineStr">
        <is>
          <t>VÄSTERBOTTENS LÄN</t>
        </is>
      </c>
      <c r="E1804" t="inlineStr">
        <is>
          <t>SKELLEFTEÅ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16708-2025</t>
        </is>
      </c>
      <c r="B1805" s="1" t="n">
        <v>45751</v>
      </c>
      <c r="C1805" s="1" t="n">
        <v>46078</v>
      </c>
      <c r="D1805" t="inlineStr">
        <is>
          <t>VÄSTERBOTTENS LÄN</t>
        </is>
      </c>
      <c r="E1805" t="inlineStr">
        <is>
          <t>SKELLEFTEÅ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2113-2026</t>
        </is>
      </c>
      <c r="B1806" s="1" t="n">
        <v>46036.37971064815</v>
      </c>
      <c r="C1806" s="1" t="n">
        <v>46078</v>
      </c>
      <c r="D1806" t="inlineStr">
        <is>
          <t>VÄSTERBOTTENS LÄN</t>
        </is>
      </c>
      <c r="E1806" t="inlineStr">
        <is>
          <t>SKELLEFTEÅ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3843-2025</t>
        </is>
      </c>
      <c r="B1807" s="1" t="n">
        <v>45683.66033564815</v>
      </c>
      <c r="C1807" s="1" t="n">
        <v>46078</v>
      </c>
      <c r="D1807" t="inlineStr">
        <is>
          <t>VÄSTERBOTTENS LÄN</t>
        </is>
      </c>
      <c r="E1807" t="inlineStr">
        <is>
          <t>SKELLEFTEÅ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60420-2025</t>
        </is>
      </c>
      <c r="B1808" s="1" t="n">
        <v>45995.46668981481</v>
      </c>
      <c r="C1808" s="1" t="n">
        <v>46078</v>
      </c>
      <c r="D1808" t="inlineStr">
        <is>
          <t>VÄSTERBOTTENS LÄN</t>
        </is>
      </c>
      <c r="E1808" t="inlineStr">
        <is>
          <t>SKELLEFTEÅ</t>
        </is>
      </c>
      <c r="G1808" t="n">
        <v>7.8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59077-2025</t>
        </is>
      </c>
      <c r="B1809" s="1" t="n">
        <v>45988</v>
      </c>
      <c r="C1809" s="1" t="n">
        <v>46078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36379-2024</t>
        </is>
      </c>
      <c r="B1810" s="1" t="n">
        <v>45534.6965162037</v>
      </c>
      <c r="C1810" s="1" t="n">
        <v>46078</v>
      </c>
      <c r="D1810" t="inlineStr">
        <is>
          <t>VÄSTERBOTTENS LÄN</t>
        </is>
      </c>
      <c r="E1810" t="inlineStr">
        <is>
          <t>SKELLEFTEÅ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22618-2022</t>
        </is>
      </c>
      <c r="B1811" s="1" t="n">
        <v>44714</v>
      </c>
      <c r="C1811" s="1" t="n">
        <v>46078</v>
      </c>
      <c r="D1811" t="inlineStr">
        <is>
          <t>VÄSTERBOTTENS LÄN</t>
        </is>
      </c>
      <c r="E1811" t="inlineStr">
        <is>
          <t>SKELLEFTEÅ</t>
        </is>
      </c>
      <c r="G1811" t="n">
        <v>5.1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45418-2024</t>
        </is>
      </c>
      <c r="B1812" s="1" t="n">
        <v>45576.59891203704</v>
      </c>
      <c r="C1812" s="1" t="n">
        <v>46078</v>
      </c>
      <c r="D1812" t="inlineStr">
        <is>
          <t>VÄSTERBOTTENS LÄN</t>
        </is>
      </c>
      <c r="E1812" t="inlineStr">
        <is>
          <t>SKELLEFTEÅ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2254-2026</t>
        </is>
      </c>
      <c r="B1813" s="1" t="n">
        <v>46036.55858796297</v>
      </c>
      <c r="C1813" s="1" t="n">
        <v>46078</v>
      </c>
      <c r="D1813" t="inlineStr">
        <is>
          <t>VÄSTERBOTTENS LÄN</t>
        </is>
      </c>
      <c r="E1813" t="inlineStr">
        <is>
          <t>SKELLEFTEÅ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57926-2023</t>
        </is>
      </c>
      <c r="B1814" s="1" t="n">
        <v>45247.54817129629</v>
      </c>
      <c r="C1814" s="1" t="n">
        <v>46078</v>
      </c>
      <c r="D1814" t="inlineStr">
        <is>
          <t>VÄSTERBOTTENS LÄN</t>
        </is>
      </c>
      <c r="E1814" t="inlineStr">
        <is>
          <t>SKELLEFTEÅ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60242-2025</t>
        </is>
      </c>
      <c r="B1815" s="1" t="n">
        <v>45994.58628472222</v>
      </c>
      <c r="C1815" s="1" t="n">
        <v>46078</v>
      </c>
      <c r="D1815" t="inlineStr">
        <is>
          <t>VÄSTERBOTTENS LÄN</t>
        </is>
      </c>
      <c r="E1815" t="inlineStr">
        <is>
          <t>SKELLEFTEÅ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2594-2026</t>
        </is>
      </c>
      <c r="B1816" s="1" t="n">
        <v>46037.55253472222</v>
      </c>
      <c r="C1816" s="1" t="n">
        <v>46078</v>
      </c>
      <c r="D1816" t="inlineStr">
        <is>
          <t>VÄSTERBOTTENS LÄN</t>
        </is>
      </c>
      <c r="E1816" t="inlineStr">
        <is>
          <t>SKELLEFTEÅ</t>
        </is>
      </c>
      <c r="G1816" t="n">
        <v>6.1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12851-2025</t>
        </is>
      </c>
      <c r="B1817" s="1" t="n">
        <v>45733</v>
      </c>
      <c r="C1817" s="1" t="n">
        <v>46078</v>
      </c>
      <c r="D1817" t="inlineStr">
        <is>
          <t>VÄSTERBOTTENS LÄN</t>
        </is>
      </c>
      <c r="E1817" t="inlineStr">
        <is>
          <t>SKELLEFTEÅ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10082-2025</t>
        </is>
      </c>
      <c r="B1818" s="1" t="n">
        <v>45719</v>
      </c>
      <c r="C1818" s="1" t="n">
        <v>46078</v>
      </c>
      <c r="D1818" t="inlineStr">
        <is>
          <t>VÄSTERBOTTENS LÄN</t>
        </is>
      </c>
      <c r="E1818" t="inlineStr">
        <is>
          <t>SKELLEFTEÅ</t>
        </is>
      </c>
      <c r="G1818" t="n">
        <v>5.2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60440-2025</t>
        </is>
      </c>
      <c r="B1819" s="1" t="n">
        <v>45995.49024305555</v>
      </c>
      <c r="C1819" s="1" t="n">
        <v>46078</v>
      </c>
      <c r="D1819" t="inlineStr">
        <is>
          <t>VÄSTERBOTTENS LÄN</t>
        </is>
      </c>
      <c r="E1819" t="inlineStr">
        <is>
          <t>SKELLEFTEÅ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12712-2025</t>
        </is>
      </c>
      <c r="B1820" s="1" t="n">
        <v>45733.47311342593</v>
      </c>
      <c r="C1820" s="1" t="n">
        <v>46078</v>
      </c>
      <c r="D1820" t="inlineStr">
        <is>
          <t>VÄSTERBOTTENS LÄN</t>
        </is>
      </c>
      <c r="E1820" t="inlineStr">
        <is>
          <t>SKELLEFTEÅ</t>
        </is>
      </c>
      <c r="G1820" t="n">
        <v>13.6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2091-2026</t>
        </is>
      </c>
      <c r="B1821" s="1" t="n">
        <v>46036.36160879629</v>
      </c>
      <c r="C1821" s="1" t="n">
        <v>46078</v>
      </c>
      <c r="D1821" t="inlineStr">
        <is>
          <t>VÄSTERBOTTENS LÄN</t>
        </is>
      </c>
      <c r="E1821" t="inlineStr">
        <is>
          <t>SKELLEFTEÅ</t>
        </is>
      </c>
      <c r="G1821" t="n">
        <v>9.9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57530-2021</t>
        </is>
      </c>
      <c r="B1822" s="1" t="n">
        <v>44483</v>
      </c>
      <c r="C1822" s="1" t="n">
        <v>46078</v>
      </c>
      <c r="D1822" t="inlineStr">
        <is>
          <t>VÄSTERBOTTENS LÄN</t>
        </is>
      </c>
      <c r="E1822" t="inlineStr">
        <is>
          <t>SKELLEFTEÅ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60405-2025</t>
        </is>
      </c>
      <c r="B1823" s="1" t="n">
        <v>45995.42971064815</v>
      </c>
      <c r="C1823" s="1" t="n">
        <v>46078</v>
      </c>
      <c r="D1823" t="inlineStr">
        <is>
          <t>VÄSTERBOTTENS LÄN</t>
        </is>
      </c>
      <c r="E1823" t="inlineStr">
        <is>
          <t>SKELLEFTEÅ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671-2024</t>
        </is>
      </c>
      <c r="B1824" s="1" t="n">
        <v>45299</v>
      </c>
      <c r="C1824" s="1" t="n">
        <v>46078</v>
      </c>
      <c r="D1824" t="inlineStr">
        <is>
          <t>VÄSTERBOTTENS LÄN</t>
        </is>
      </c>
      <c r="E1824" t="inlineStr">
        <is>
          <t>SKELLEFTEÅ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60409-2025</t>
        </is>
      </c>
      <c r="B1825" s="1" t="n">
        <v>45995.4475</v>
      </c>
      <c r="C1825" s="1" t="n">
        <v>46078</v>
      </c>
      <c r="D1825" t="inlineStr">
        <is>
          <t>VÄSTERBOTTENS LÄN</t>
        </is>
      </c>
      <c r="E1825" t="inlineStr">
        <is>
          <t>SKELLEFTEÅ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60247-2025</t>
        </is>
      </c>
      <c r="B1826" s="1" t="n">
        <v>45994.5903125</v>
      </c>
      <c r="C1826" s="1" t="n">
        <v>46078</v>
      </c>
      <c r="D1826" t="inlineStr">
        <is>
          <t>VÄSTERBOTTENS LÄN</t>
        </is>
      </c>
      <c r="E1826" t="inlineStr">
        <is>
          <t>SKELLEFTEÅ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43544-2022</t>
        </is>
      </c>
      <c r="B1827" s="1" t="n">
        <v>44837.42186342592</v>
      </c>
      <c r="C1827" s="1" t="n">
        <v>46078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60507-2025</t>
        </is>
      </c>
      <c r="B1828" s="1" t="n">
        <v>45995.6294212963</v>
      </c>
      <c r="C1828" s="1" t="n">
        <v>46078</v>
      </c>
      <c r="D1828" t="inlineStr">
        <is>
          <t>VÄSTERBOTTENS LÄN</t>
        </is>
      </c>
      <c r="E1828" t="inlineStr">
        <is>
          <t>SKELLEFTEÅ</t>
        </is>
      </c>
      <c r="G1828" t="n">
        <v>13.7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29164-2022</t>
        </is>
      </c>
      <c r="B1829" s="1" t="n">
        <v>44750.49505787037</v>
      </c>
      <c r="C1829" s="1" t="n">
        <v>46078</v>
      </c>
      <c r="D1829" t="inlineStr">
        <is>
          <t>VÄSTERBOTTENS LÄN</t>
        </is>
      </c>
      <c r="E1829" t="inlineStr">
        <is>
          <t>SKELLEFTEÅ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8658-2025</t>
        </is>
      </c>
      <c r="B1830" s="1" t="n">
        <v>45712.38586805556</v>
      </c>
      <c r="C1830" s="1" t="n">
        <v>46078</v>
      </c>
      <c r="D1830" t="inlineStr">
        <is>
          <t>VÄSTERBOTTENS LÄN</t>
        </is>
      </c>
      <c r="E1830" t="inlineStr">
        <is>
          <t>SKELLEFTEÅ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60554-2025</t>
        </is>
      </c>
      <c r="B1831" s="1" t="n">
        <v>45995.73587962963</v>
      </c>
      <c r="C1831" s="1" t="n">
        <v>46078</v>
      </c>
      <c r="D1831" t="inlineStr">
        <is>
          <t>VÄSTERBOTTENS LÄN</t>
        </is>
      </c>
      <c r="E1831" t="inlineStr">
        <is>
          <t>SKELLEFTEÅ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40927-2024</t>
        </is>
      </c>
      <c r="B1832" s="1" t="n">
        <v>45558.64018518518</v>
      </c>
      <c r="C1832" s="1" t="n">
        <v>46078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2440-2026</t>
        </is>
      </c>
      <c r="B1833" s="1" t="n">
        <v>46037.26846064815</v>
      </c>
      <c r="C1833" s="1" t="n">
        <v>46078</v>
      </c>
      <c r="D1833" t="inlineStr">
        <is>
          <t>VÄSTERBOTTENS LÄN</t>
        </is>
      </c>
      <c r="E1833" t="inlineStr">
        <is>
          <t>SKELLEFTEÅ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28169-2025</t>
        </is>
      </c>
      <c r="B1834" s="1" t="n">
        <v>45818</v>
      </c>
      <c r="C1834" s="1" t="n">
        <v>46078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Holmen skog AB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48264-2023</t>
        </is>
      </c>
      <c r="B1835" s="1" t="n">
        <v>45205.53902777778</v>
      </c>
      <c r="C1835" s="1" t="n">
        <v>46078</v>
      </c>
      <c r="D1835" t="inlineStr">
        <is>
          <t>VÄSTERBOTTENS LÄN</t>
        </is>
      </c>
      <c r="E1835" t="inlineStr">
        <is>
          <t>SKELLEFTEÅ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60504-2025</t>
        </is>
      </c>
      <c r="B1836" s="1" t="n">
        <v>45995.62278935185</v>
      </c>
      <c r="C1836" s="1" t="n">
        <v>46078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Kommuner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16186-2023</t>
        </is>
      </c>
      <c r="B1837" s="1" t="n">
        <v>45027.925625</v>
      </c>
      <c r="C1837" s="1" t="n">
        <v>46078</v>
      </c>
      <c r="D1837" t="inlineStr">
        <is>
          <t>VÄSTERBOTTENS LÄN</t>
        </is>
      </c>
      <c r="E1837" t="inlineStr">
        <is>
          <t>SKELLEFTEÅ</t>
        </is>
      </c>
      <c r="G1837" t="n">
        <v>12.4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60644-2025</t>
        </is>
      </c>
      <c r="B1838" s="1" t="n">
        <v>45996</v>
      </c>
      <c r="C1838" s="1" t="n">
        <v>46078</v>
      </c>
      <c r="D1838" t="inlineStr">
        <is>
          <t>VÄSTERBOTTENS LÄN</t>
        </is>
      </c>
      <c r="E1838" t="inlineStr">
        <is>
          <t>SKELLEFTEÅ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60689-2025</t>
        </is>
      </c>
      <c r="B1839" s="1" t="n">
        <v>45996.58799768519</v>
      </c>
      <c r="C1839" s="1" t="n">
        <v>46078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Holmen skog AB</t>
        </is>
      </c>
      <c r="G1839" t="n">
        <v>15.3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11843-2025</t>
        </is>
      </c>
      <c r="B1840" s="1" t="n">
        <v>45728</v>
      </c>
      <c r="C1840" s="1" t="n">
        <v>46078</v>
      </c>
      <c r="D1840" t="inlineStr">
        <is>
          <t>VÄSTERBOTTENS LÄN</t>
        </is>
      </c>
      <c r="E1840" t="inlineStr">
        <is>
          <t>SKELLEFTEÅ</t>
        </is>
      </c>
      <c r="G1840" t="n">
        <v>5.1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39146-2024</t>
        </is>
      </c>
      <c r="B1841" s="1" t="n">
        <v>45548.61752314815</v>
      </c>
      <c r="C1841" s="1" t="n">
        <v>46078</v>
      </c>
      <c r="D1841" t="inlineStr">
        <is>
          <t>VÄSTERBOTTENS LÄN</t>
        </is>
      </c>
      <c r="E1841" t="inlineStr">
        <is>
          <t>SKELLEFTEÅ</t>
        </is>
      </c>
      <c r="G1841" t="n">
        <v>9.800000000000001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60824-2025</t>
        </is>
      </c>
      <c r="B1842" s="1" t="n">
        <v>45999.45894675926</v>
      </c>
      <c r="C1842" s="1" t="n">
        <v>46078</v>
      </c>
      <c r="D1842" t="inlineStr">
        <is>
          <t>VÄSTERBOTTENS LÄN</t>
        </is>
      </c>
      <c r="E1842" t="inlineStr">
        <is>
          <t>SKELLEFTEÅ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64942-2023</t>
        </is>
      </c>
      <c r="B1843" s="1" t="n">
        <v>45282</v>
      </c>
      <c r="C1843" s="1" t="n">
        <v>46078</v>
      </c>
      <c r="D1843" t="inlineStr">
        <is>
          <t>VÄSTERBOTTENS LÄN</t>
        </is>
      </c>
      <c r="E1843" t="inlineStr">
        <is>
          <t>SKELLEFTEÅ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2811-2025</t>
        </is>
      </c>
      <c r="B1844" s="1" t="n">
        <v>45677.59689814815</v>
      </c>
      <c r="C1844" s="1" t="n">
        <v>46078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3032-2026</t>
        </is>
      </c>
      <c r="B1845" s="1" t="n">
        <v>46038.71721064814</v>
      </c>
      <c r="C1845" s="1" t="n">
        <v>46078</v>
      </c>
      <c r="D1845" t="inlineStr">
        <is>
          <t>VÄSTERBOTTENS LÄN</t>
        </is>
      </c>
      <c r="E1845" t="inlineStr">
        <is>
          <t>SKELLEFTEÅ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60788-2025</t>
        </is>
      </c>
      <c r="B1846" s="1" t="n">
        <v>45999.41087962963</v>
      </c>
      <c r="C1846" s="1" t="n">
        <v>46078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Sveaskog</t>
        </is>
      </c>
      <c r="G1846" t="n">
        <v>7.2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60694-2025</t>
        </is>
      </c>
      <c r="B1847" s="1" t="n">
        <v>45996.59578703704</v>
      </c>
      <c r="C1847" s="1" t="n">
        <v>46078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6.2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60755-2025</t>
        </is>
      </c>
      <c r="B1848" s="1" t="n">
        <v>45999.38409722222</v>
      </c>
      <c r="C1848" s="1" t="n">
        <v>46078</v>
      </c>
      <c r="D1848" t="inlineStr">
        <is>
          <t>VÄSTERBOTTENS LÄN</t>
        </is>
      </c>
      <c r="E1848" t="inlineStr">
        <is>
          <t>SKELLEFTEÅ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60778-2025</t>
        </is>
      </c>
      <c r="B1849" s="1" t="n">
        <v>45999.39202546296</v>
      </c>
      <c r="C1849" s="1" t="n">
        <v>46078</v>
      </c>
      <c r="D1849" t="inlineStr">
        <is>
          <t>VÄSTERBOTTENS LÄN</t>
        </is>
      </c>
      <c r="E1849" t="inlineStr">
        <is>
          <t>SKELLEFTEÅ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15542-2025</t>
        </is>
      </c>
      <c r="B1850" s="1" t="n">
        <v>45747.65768518519</v>
      </c>
      <c r="C1850" s="1" t="n">
        <v>46078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Övriga Aktiebolag</t>
        </is>
      </c>
      <c r="G1850" t="n">
        <v>11.6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60631-2025</t>
        </is>
      </c>
      <c r="B1851" s="1" t="n">
        <v>45996</v>
      </c>
      <c r="C1851" s="1" t="n">
        <v>46078</v>
      </c>
      <c r="D1851" t="inlineStr">
        <is>
          <t>VÄSTERBOTTENS LÄN</t>
        </is>
      </c>
      <c r="E1851" t="inlineStr">
        <is>
          <t>SKELLEFTEÅ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7668-2024</t>
        </is>
      </c>
      <c r="B1852" s="1" t="n">
        <v>45348</v>
      </c>
      <c r="C1852" s="1" t="n">
        <v>46078</v>
      </c>
      <c r="D1852" t="inlineStr">
        <is>
          <t>VÄSTERBOTTENS LÄN</t>
        </is>
      </c>
      <c r="E1852" t="inlineStr">
        <is>
          <t>SKELLEFTEÅ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49992-2022</t>
        </is>
      </c>
      <c r="B1853" s="1" t="n">
        <v>44860</v>
      </c>
      <c r="C1853" s="1" t="n">
        <v>46078</v>
      </c>
      <c r="D1853" t="inlineStr">
        <is>
          <t>VÄSTERBOTTENS LÄN</t>
        </is>
      </c>
      <c r="E1853" t="inlineStr">
        <is>
          <t>SKELLEFTEÅ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39054-2024</t>
        </is>
      </c>
      <c r="B1854" s="1" t="n">
        <v>45548.49337962963</v>
      </c>
      <c r="C1854" s="1" t="n">
        <v>46078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12.3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16410-2025</t>
        </is>
      </c>
      <c r="B1855" s="1" t="n">
        <v>45751</v>
      </c>
      <c r="C1855" s="1" t="n">
        <v>46078</v>
      </c>
      <c r="D1855" t="inlineStr">
        <is>
          <t>VÄSTERBOTTENS LÄN</t>
        </is>
      </c>
      <c r="E1855" t="inlineStr">
        <is>
          <t>SKELLEFTEÅ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  <c r="U1855">
        <f>HYPERLINK("https://klasma.github.io/Logging_2482/knärot/A 16410-2025 karta knärot.png", "A 16410-2025")</f>
        <v/>
      </c>
      <c r="V1855">
        <f>HYPERLINK("https://klasma.github.io/Logging_2482/klagomål/A 16410-2025 FSC-klagomål.docx", "A 16410-2025")</f>
        <v/>
      </c>
      <c r="W1855">
        <f>HYPERLINK("https://klasma.github.io/Logging_2482/klagomålsmail/A 16410-2025 FSC-klagomål mail.docx", "A 16410-2025")</f>
        <v/>
      </c>
      <c r="X1855">
        <f>HYPERLINK("https://klasma.github.io/Logging_2482/tillsyn/A 16410-2025 tillsynsbegäran.docx", "A 16410-2025")</f>
        <v/>
      </c>
      <c r="Y1855">
        <f>HYPERLINK("https://klasma.github.io/Logging_2482/tillsynsmail/A 16410-2025 tillsynsbegäran mail.docx", "A 16410-2025")</f>
        <v/>
      </c>
    </row>
    <row r="1856" ht="15" customHeight="1">
      <c r="A1856" t="inlineStr">
        <is>
          <t>A 60794-2025</t>
        </is>
      </c>
      <c r="B1856" s="1" t="n">
        <v>45999.42116898148</v>
      </c>
      <c r="C1856" s="1" t="n">
        <v>46078</v>
      </c>
      <c r="D1856" t="inlineStr">
        <is>
          <t>VÄSTERBOTTENS LÄN</t>
        </is>
      </c>
      <c r="E1856" t="inlineStr">
        <is>
          <t>SKELLEFTEÅ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17168-2025</t>
        </is>
      </c>
      <c r="B1857" s="1" t="n">
        <v>45755</v>
      </c>
      <c r="C1857" s="1" t="n">
        <v>46078</v>
      </c>
      <c r="D1857" t="inlineStr">
        <is>
          <t>VÄSTERBOTTENS LÄN</t>
        </is>
      </c>
      <c r="E1857" t="inlineStr">
        <is>
          <t>SKELLEFTEÅ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2876-2026</t>
        </is>
      </c>
      <c r="B1858" s="1" t="n">
        <v>46038.51819444444</v>
      </c>
      <c r="C1858" s="1" t="n">
        <v>46078</v>
      </c>
      <c r="D1858" t="inlineStr">
        <is>
          <t>VÄSTERBOTTENS LÄN</t>
        </is>
      </c>
      <c r="E1858" t="inlineStr">
        <is>
          <t>SKELLEFTEÅ</t>
        </is>
      </c>
      <c r="G1858" t="n">
        <v>7.2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60891-2025</t>
        </is>
      </c>
      <c r="B1859" s="1" t="n">
        <v>45999.57126157408</v>
      </c>
      <c r="C1859" s="1" t="n">
        <v>46078</v>
      </c>
      <c r="D1859" t="inlineStr">
        <is>
          <t>VÄSTERBOTTENS LÄN</t>
        </is>
      </c>
      <c r="E1859" t="inlineStr">
        <is>
          <t>SKELLEFTEÅ</t>
        </is>
      </c>
      <c r="G1859" t="n">
        <v>4.9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60719-2025</t>
        </is>
      </c>
      <c r="B1860" s="1" t="n">
        <v>45996.64038194445</v>
      </c>
      <c r="C1860" s="1" t="n">
        <v>46078</v>
      </c>
      <c r="D1860" t="inlineStr">
        <is>
          <t>VÄSTERBOTTENS LÄN</t>
        </is>
      </c>
      <c r="E1860" t="inlineStr">
        <is>
          <t>SKELLEFTEÅ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60722-2025</t>
        </is>
      </c>
      <c r="B1861" s="1" t="n">
        <v>45996.65273148148</v>
      </c>
      <c r="C1861" s="1" t="n">
        <v>46078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24.9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52441-2023</t>
        </is>
      </c>
      <c r="B1862" s="1" t="n">
        <v>45225.36881944445</v>
      </c>
      <c r="C1862" s="1" t="n">
        <v>46078</v>
      </c>
      <c r="D1862" t="inlineStr">
        <is>
          <t>VÄSTERBOTTENS LÄN</t>
        </is>
      </c>
      <c r="E1862" t="inlineStr">
        <is>
          <t>SKELLEFTEÅ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60636-2025</t>
        </is>
      </c>
      <c r="B1863" s="1" t="n">
        <v>45996</v>
      </c>
      <c r="C1863" s="1" t="n">
        <v>46078</v>
      </c>
      <c r="D1863" t="inlineStr">
        <is>
          <t>VÄSTERBOTTENS LÄN</t>
        </is>
      </c>
      <c r="E1863" t="inlineStr">
        <is>
          <t>SKELLEFTEÅ</t>
        </is>
      </c>
      <c r="G1863" t="n">
        <v>8.199999999999999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60862-2025</t>
        </is>
      </c>
      <c r="B1864" s="1" t="n">
        <v>45999.52920138889</v>
      </c>
      <c r="C1864" s="1" t="n">
        <v>46078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Holmen skog AB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60640-2025</t>
        </is>
      </c>
      <c r="B1865" s="1" t="n">
        <v>45996</v>
      </c>
      <c r="C1865" s="1" t="n">
        <v>46078</v>
      </c>
      <c r="D1865" t="inlineStr">
        <is>
          <t>VÄSTERBOTTENS LÄN</t>
        </is>
      </c>
      <c r="E1865" t="inlineStr">
        <is>
          <t>SKELLEFTEÅ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60876-2025</t>
        </is>
      </c>
      <c r="B1866" s="1" t="n">
        <v>45999.55606481482</v>
      </c>
      <c r="C1866" s="1" t="n">
        <v>46078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2992-2026</t>
        </is>
      </c>
      <c r="B1867" s="1" t="n">
        <v>46038.63686342593</v>
      </c>
      <c r="C1867" s="1" t="n">
        <v>46078</v>
      </c>
      <c r="D1867" t="inlineStr">
        <is>
          <t>VÄSTERBOTTENS LÄN</t>
        </is>
      </c>
      <c r="E1867" t="inlineStr">
        <is>
          <t>SKELLEFTEÅ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3310-2026</t>
        </is>
      </c>
      <c r="B1868" s="1" t="n">
        <v>46041.66850694444</v>
      </c>
      <c r="C1868" s="1" t="n">
        <v>46078</v>
      </c>
      <c r="D1868" t="inlineStr">
        <is>
          <t>VÄSTERBOTTENS LÄN</t>
        </is>
      </c>
      <c r="E1868" t="inlineStr">
        <is>
          <t>SKELLEFTEÅ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60567-2025</t>
        </is>
      </c>
      <c r="B1869" s="1" t="n">
        <v>45995.84512731482</v>
      </c>
      <c r="C1869" s="1" t="n">
        <v>46078</v>
      </c>
      <c r="D1869" t="inlineStr">
        <is>
          <t>VÄSTERBOTTENS LÄN</t>
        </is>
      </c>
      <c r="E1869" t="inlineStr">
        <is>
          <t>SKELLEFTEÅ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25099-2024</t>
        </is>
      </c>
      <c r="B1870" s="1" t="n">
        <v>45462.41755787037</v>
      </c>
      <c r="C1870" s="1" t="n">
        <v>46078</v>
      </c>
      <c r="D1870" t="inlineStr">
        <is>
          <t>VÄSTERBOTTENS LÄN</t>
        </is>
      </c>
      <c r="E1870" t="inlineStr">
        <is>
          <t>SKELLEFTEÅ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60654-2025</t>
        </is>
      </c>
      <c r="B1871" s="1" t="n">
        <v>45996.46918981482</v>
      </c>
      <c r="C1871" s="1" t="n">
        <v>46078</v>
      </c>
      <c r="D1871" t="inlineStr">
        <is>
          <t>VÄSTERBOTTENS LÄN</t>
        </is>
      </c>
      <c r="E1871" t="inlineStr">
        <is>
          <t>SKELLEFTEÅ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17162-2025</t>
        </is>
      </c>
      <c r="B1872" s="1" t="n">
        <v>45756.3552199074</v>
      </c>
      <c r="C1872" s="1" t="n">
        <v>46078</v>
      </c>
      <c r="D1872" t="inlineStr">
        <is>
          <t>VÄSTERBOTTENS LÄN</t>
        </is>
      </c>
      <c r="E1872" t="inlineStr">
        <is>
          <t>SKELLEFTEÅ</t>
        </is>
      </c>
      <c r="G1872" t="n">
        <v>23.9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60712-2025</t>
        </is>
      </c>
      <c r="B1873" s="1" t="n">
        <v>45996.63384259259</v>
      </c>
      <c r="C1873" s="1" t="n">
        <v>46078</v>
      </c>
      <c r="D1873" t="inlineStr">
        <is>
          <t>VÄSTERBOTTENS LÄN</t>
        </is>
      </c>
      <c r="E1873" t="inlineStr">
        <is>
          <t>SKELLEFTEÅ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60715-2025</t>
        </is>
      </c>
      <c r="B1874" s="1" t="n">
        <v>45996.63627314815</v>
      </c>
      <c r="C1874" s="1" t="n">
        <v>46078</v>
      </c>
      <c r="D1874" t="inlineStr">
        <is>
          <t>VÄSTERBOTTENS LÄN</t>
        </is>
      </c>
      <c r="E1874" t="inlineStr">
        <is>
          <t>SKELLEFTEÅ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14774-2025</t>
        </is>
      </c>
      <c r="B1875" s="1" t="n">
        <v>45742.69414351852</v>
      </c>
      <c r="C1875" s="1" t="n">
        <v>46078</v>
      </c>
      <c r="D1875" t="inlineStr">
        <is>
          <t>VÄSTERBOTTENS LÄN</t>
        </is>
      </c>
      <c r="E1875" t="inlineStr">
        <is>
          <t>SKELLEFTEÅ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19119-2025</t>
        </is>
      </c>
      <c r="B1876" s="1" t="n">
        <v>45768.82230324074</v>
      </c>
      <c r="C1876" s="1" t="n">
        <v>46078</v>
      </c>
      <c r="D1876" t="inlineStr">
        <is>
          <t>VÄSTERBOTTENS LÄN</t>
        </is>
      </c>
      <c r="E1876" t="inlineStr">
        <is>
          <t>SKELLEFTEÅ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3404-2026</t>
        </is>
      </c>
      <c r="B1877" s="1" t="n">
        <v>46042.39696759259</v>
      </c>
      <c r="C1877" s="1" t="n">
        <v>46078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62.4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3442-2026</t>
        </is>
      </c>
      <c r="B1878" s="1" t="n">
        <v>46042.47619212963</v>
      </c>
      <c r="C1878" s="1" t="n">
        <v>46078</v>
      </c>
      <c r="D1878" t="inlineStr">
        <is>
          <t>VÄSTERBOTTENS LÄN</t>
        </is>
      </c>
      <c r="E1878" t="inlineStr">
        <is>
          <t>SKELLEFTEÅ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33687-2021</t>
        </is>
      </c>
      <c r="B1879" s="1" t="n">
        <v>44378</v>
      </c>
      <c r="C1879" s="1" t="n">
        <v>46078</v>
      </c>
      <c r="D1879" t="inlineStr">
        <is>
          <t>VÄSTERBOTTENS LÄN</t>
        </is>
      </c>
      <c r="E1879" t="inlineStr">
        <is>
          <t>SKELLEFTEÅ</t>
        </is>
      </c>
      <c r="G1879" t="n">
        <v>0.1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1649-2026</t>
        </is>
      </c>
      <c r="B1880" s="1" t="n">
        <v>46034</v>
      </c>
      <c r="C1880" s="1" t="n">
        <v>46078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45552-2023</t>
        </is>
      </c>
      <c r="B1881" s="1" t="n">
        <v>45194.57376157407</v>
      </c>
      <c r="C1881" s="1" t="n">
        <v>46078</v>
      </c>
      <c r="D1881" t="inlineStr">
        <is>
          <t>VÄSTERBOTTENS LÄN</t>
        </is>
      </c>
      <c r="E1881" t="inlineStr">
        <is>
          <t>SKELLEFTEÅ</t>
        </is>
      </c>
      <c r="G1881" t="n">
        <v>18.3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54874-2024</t>
        </is>
      </c>
      <c r="B1882" s="1" t="n">
        <v>45618.60230324074</v>
      </c>
      <c r="C1882" s="1" t="n">
        <v>46078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Sveaskog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61346-2025</t>
        </is>
      </c>
      <c r="B1883" s="1" t="n">
        <v>46001.36603009259</v>
      </c>
      <c r="C1883" s="1" t="n">
        <v>46078</v>
      </c>
      <c r="D1883" t="inlineStr">
        <is>
          <t>VÄSTERBOTTENS LÄN</t>
        </is>
      </c>
      <c r="E1883" t="inlineStr">
        <is>
          <t>SKELLEFTEÅ</t>
        </is>
      </c>
      <c r="G1883" t="n">
        <v>6.6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37950-2022</t>
        </is>
      </c>
      <c r="B1884" s="1" t="n">
        <v>44811.48826388889</v>
      </c>
      <c r="C1884" s="1" t="n">
        <v>46078</v>
      </c>
      <c r="D1884" t="inlineStr">
        <is>
          <t>VÄSTERBOTTENS LÄN</t>
        </is>
      </c>
      <c r="E1884" t="inlineStr">
        <is>
          <t>SKELLEFTEÅ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12004-2024</t>
        </is>
      </c>
      <c r="B1885" s="1" t="n">
        <v>45377.31299768519</v>
      </c>
      <c r="C1885" s="1" t="n">
        <v>46078</v>
      </c>
      <c r="D1885" t="inlineStr">
        <is>
          <t>VÄSTERBOTTENS LÄN</t>
        </is>
      </c>
      <c r="E1885" t="inlineStr">
        <is>
          <t>SKELLEFTEÅ</t>
        </is>
      </c>
      <c r="G1885" t="n">
        <v>8.4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3827-2026</t>
        </is>
      </c>
      <c r="B1886" s="1" t="n">
        <v>46043.58608796296</v>
      </c>
      <c r="C1886" s="1" t="n">
        <v>46078</v>
      </c>
      <c r="D1886" t="inlineStr">
        <is>
          <t>VÄSTERBOTTENS LÄN</t>
        </is>
      </c>
      <c r="E1886" t="inlineStr">
        <is>
          <t>SKELLEFTEÅ</t>
        </is>
      </c>
      <c r="G1886" t="n">
        <v>10.8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51991-2024</t>
        </is>
      </c>
      <c r="B1887" s="1" t="n">
        <v>45607</v>
      </c>
      <c r="C1887" s="1" t="n">
        <v>46078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Kommuner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46841-2024</t>
        </is>
      </c>
      <c r="B1888" s="1" t="n">
        <v>45583</v>
      </c>
      <c r="C1888" s="1" t="n">
        <v>46078</v>
      </c>
      <c r="D1888" t="inlineStr">
        <is>
          <t>VÄSTERBOTTENS LÄN</t>
        </is>
      </c>
      <c r="E1888" t="inlineStr">
        <is>
          <t>SKELLEFTEÅ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61329-2025</t>
        </is>
      </c>
      <c r="B1889" s="1" t="n">
        <v>46001.33212962963</v>
      </c>
      <c r="C1889" s="1" t="n">
        <v>46078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Kommuner</t>
        </is>
      </c>
      <c r="G1889" t="n">
        <v>11.3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30901-2024</t>
        </is>
      </c>
      <c r="B1890" s="1" t="n">
        <v>45498</v>
      </c>
      <c r="C1890" s="1" t="n">
        <v>46078</v>
      </c>
      <c r="D1890" t="inlineStr">
        <is>
          <t>VÄSTERBOTTENS LÄN</t>
        </is>
      </c>
      <c r="E1890" t="inlineStr">
        <is>
          <t>SKELLEFTEÅ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61354-2025</t>
        </is>
      </c>
      <c r="B1891" s="1" t="n">
        <v>46001.38726851852</v>
      </c>
      <c r="C1891" s="1" t="n">
        <v>46078</v>
      </c>
      <c r="D1891" t="inlineStr">
        <is>
          <t>VÄSTERBOTTENS LÄN</t>
        </is>
      </c>
      <c r="E1891" t="inlineStr">
        <is>
          <t>SKELLEFTEÅ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42557-2021</t>
        </is>
      </c>
      <c r="B1892" s="1" t="n">
        <v>44428</v>
      </c>
      <c r="C1892" s="1" t="n">
        <v>46078</v>
      </c>
      <c r="D1892" t="inlineStr">
        <is>
          <t>VÄSTERBOTTENS LÄN</t>
        </is>
      </c>
      <c r="E1892" t="inlineStr">
        <is>
          <t>SKELLEFTEÅ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2573-2026</t>
        </is>
      </c>
      <c r="B1893" s="1" t="n">
        <v>46037.51077546296</v>
      </c>
      <c r="C1893" s="1" t="n">
        <v>46078</v>
      </c>
      <c r="D1893" t="inlineStr">
        <is>
          <t>VÄSTERBOTTENS LÄN</t>
        </is>
      </c>
      <c r="E1893" t="inlineStr">
        <is>
          <t>SKELLEFTEÅ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55420-2023</t>
        </is>
      </c>
      <c r="B1894" s="1" t="n">
        <v>45231</v>
      </c>
      <c r="C1894" s="1" t="n">
        <v>46078</v>
      </c>
      <c r="D1894" t="inlineStr">
        <is>
          <t>VÄSTERBOTTENS LÄN</t>
        </is>
      </c>
      <c r="E1894" t="inlineStr">
        <is>
          <t>SKELLEFTEÅ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61438-2025</t>
        </is>
      </c>
      <c r="B1895" s="1" t="n">
        <v>46001.56597222222</v>
      </c>
      <c r="C1895" s="1" t="n">
        <v>46078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Kommuner</t>
        </is>
      </c>
      <c r="G1895" t="n">
        <v>7.1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2776-2026</t>
        </is>
      </c>
      <c r="B1896" s="1" t="n">
        <v>46036</v>
      </c>
      <c r="C1896" s="1" t="n">
        <v>46078</v>
      </c>
      <c r="D1896" t="inlineStr">
        <is>
          <t>VÄSTERBOTTENS LÄN</t>
        </is>
      </c>
      <c r="E1896" t="inlineStr">
        <is>
          <t>SKELLEFTEÅ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45981-2024</t>
        </is>
      </c>
      <c r="B1897" s="1" t="n">
        <v>45580.60790509259</v>
      </c>
      <c r="C1897" s="1" t="n">
        <v>46078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9.6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46049-2024</t>
        </is>
      </c>
      <c r="B1898" s="1" t="n">
        <v>45580.85546296297</v>
      </c>
      <c r="C1898" s="1" t="n">
        <v>46078</v>
      </c>
      <c r="D1898" t="inlineStr">
        <is>
          <t>VÄSTERBOTTENS LÄN</t>
        </is>
      </c>
      <c r="E1898" t="inlineStr">
        <is>
          <t>SKELLEFTEÅ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12045-2024</t>
        </is>
      </c>
      <c r="B1899" s="1" t="n">
        <v>45377</v>
      </c>
      <c r="C1899" s="1" t="n">
        <v>46078</v>
      </c>
      <c r="D1899" t="inlineStr">
        <is>
          <t>VÄSTERBOTTENS LÄN</t>
        </is>
      </c>
      <c r="E1899" t="inlineStr">
        <is>
          <t>SKELLEFTEÅ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61056-2025</t>
        </is>
      </c>
      <c r="B1900" s="1" t="n">
        <v>46000.34428240741</v>
      </c>
      <c r="C1900" s="1" t="n">
        <v>46078</v>
      </c>
      <c r="D1900" t="inlineStr">
        <is>
          <t>VÄSTERBOTTENS LÄN</t>
        </is>
      </c>
      <c r="E1900" t="inlineStr">
        <is>
          <t>SKELLEFTEÅ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61103-2025</t>
        </is>
      </c>
      <c r="B1901" s="1" t="n">
        <v>46000.44599537037</v>
      </c>
      <c r="C1901" s="1" t="n">
        <v>46078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61135-2025</t>
        </is>
      </c>
      <c r="B1902" s="1" t="n">
        <v>46000.50047453704</v>
      </c>
      <c r="C1902" s="1" t="n">
        <v>46078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9.199999999999999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  <c r="U1902">
        <f>HYPERLINK("https://klasma.github.io/Logging_2482/knärot/A 61135-2025 karta knärot.png", "A 61135-2025")</f>
        <v/>
      </c>
      <c r="V1902">
        <f>HYPERLINK("https://klasma.github.io/Logging_2482/klagomål/A 61135-2025 FSC-klagomål.docx", "A 61135-2025")</f>
        <v/>
      </c>
      <c r="W1902">
        <f>HYPERLINK("https://klasma.github.io/Logging_2482/klagomålsmail/A 61135-2025 FSC-klagomål mail.docx", "A 61135-2025")</f>
        <v/>
      </c>
      <c r="X1902">
        <f>HYPERLINK("https://klasma.github.io/Logging_2482/tillsyn/A 61135-2025 tillsynsbegäran.docx", "A 61135-2025")</f>
        <v/>
      </c>
      <c r="Y1902">
        <f>HYPERLINK("https://klasma.github.io/Logging_2482/tillsynsmail/A 61135-2025 tillsynsbegäran mail.docx", "A 61135-2025")</f>
        <v/>
      </c>
    </row>
    <row r="1903" ht="15" customHeight="1">
      <c r="A1903" t="inlineStr">
        <is>
          <t>A 44078-2023</t>
        </is>
      </c>
      <c r="B1903" s="1" t="n">
        <v>45188.41950231481</v>
      </c>
      <c r="C1903" s="1" t="n">
        <v>46078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13.7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61063-2025</t>
        </is>
      </c>
      <c r="B1904" s="1" t="n">
        <v>46000.36539351852</v>
      </c>
      <c r="C1904" s="1" t="n">
        <v>46078</v>
      </c>
      <c r="D1904" t="inlineStr">
        <is>
          <t>VÄSTERBOTTENS LÄN</t>
        </is>
      </c>
      <c r="E1904" t="inlineStr">
        <is>
          <t>SKELLEFTEÅ</t>
        </is>
      </c>
      <c r="G1904" t="n">
        <v>4.1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73684-2021</t>
        </is>
      </c>
      <c r="B1905" s="1" t="n">
        <v>44551</v>
      </c>
      <c r="C1905" s="1" t="n">
        <v>46078</v>
      </c>
      <c r="D1905" t="inlineStr">
        <is>
          <t>VÄSTERBOTTENS LÄN</t>
        </is>
      </c>
      <c r="E1905" t="inlineStr">
        <is>
          <t>SKELLEFTEÅ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50462-2023</t>
        </is>
      </c>
      <c r="B1906" s="1" t="n">
        <v>45216.84662037037</v>
      </c>
      <c r="C1906" s="1" t="n">
        <v>46078</v>
      </c>
      <c r="D1906" t="inlineStr">
        <is>
          <t>VÄSTERBOTTENS LÄN</t>
        </is>
      </c>
      <c r="E1906" t="inlineStr">
        <is>
          <t>SKELLEFTEÅ</t>
        </is>
      </c>
      <c r="G1906" t="n">
        <v>12.4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3644-2026</t>
        </is>
      </c>
      <c r="B1907" s="1" t="n">
        <v>46043.35940972222</v>
      </c>
      <c r="C1907" s="1" t="n">
        <v>46078</v>
      </c>
      <c r="D1907" t="inlineStr">
        <is>
          <t>VÄSTERBOTTENS LÄN</t>
        </is>
      </c>
      <c r="E1907" t="inlineStr">
        <is>
          <t>SKELLEFTEÅ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10063-2025</t>
        </is>
      </c>
      <c r="B1908" s="1" t="n">
        <v>45719</v>
      </c>
      <c r="C1908" s="1" t="n">
        <v>46078</v>
      </c>
      <c r="D1908" t="inlineStr">
        <is>
          <t>VÄSTERBOTTENS LÄN</t>
        </is>
      </c>
      <c r="E1908" t="inlineStr">
        <is>
          <t>SKELLEFTEÅ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57543-2025</t>
        </is>
      </c>
      <c r="B1909" s="1" t="n">
        <v>45980</v>
      </c>
      <c r="C1909" s="1" t="n">
        <v>46078</v>
      </c>
      <c r="D1909" t="inlineStr">
        <is>
          <t>VÄSTERBOTTENS LÄN</t>
        </is>
      </c>
      <c r="E1909" t="inlineStr">
        <is>
          <t>SKELLEFTEÅ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3814-2026</t>
        </is>
      </c>
      <c r="B1910" s="1" t="n">
        <v>46043.58465277778</v>
      </c>
      <c r="C1910" s="1" t="n">
        <v>46078</v>
      </c>
      <c r="D1910" t="inlineStr">
        <is>
          <t>VÄSTERBOTTENS LÄN</t>
        </is>
      </c>
      <c r="E1910" t="inlineStr">
        <is>
          <t>SKELLEFTEÅ</t>
        </is>
      </c>
      <c r="G1910" t="n">
        <v>6.4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16706-2025</t>
        </is>
      </c>
      <c r="B1911" s="1" t="n">
        <v>45751</v>
      </c>
      <c r="C1911" s="1" t="n">
        <v>46078</v>
      </c>
      <c r="D1911" t="inlineStr">
        <is>
          <t>VÄSTERBOTTENS LÄN</t>
        </is>
      </c>
      <c r="E1911" t="inlineStr">
        <is>
          <t>SKELLEFTEÅ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16707-2025</t>
        </is>
      </c>
      <c r="B1912" s="1" t="n">
        <v>45751</v>
      </c>
      <c r="C1912" s="1" t="n">
        <v>46078</v>
      </c>
      <c r="D1912" t="inlineStr">
        <is>
          <t>VÄSTERBOTTENS LÄN</t>
        </is>
      </c>
      <c r="E1912" t="inlineStr">
        <is>
          <t>SKELLEFTEÅ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19293-2025</t>
        </is>
      </c>
      <c r="B1913" s="1" t="n">
        <v>45769.56047453704</v>
      </c>
      <c r="C1913" s="1" t="n">
        <v>46078</v>
      </c>
      <c r="D1913" t="inlineStr">
        <is>
          <t>VÄSTERBOTTENS LÄN</t>
        </is>
      </c>
      <c r="E1913" t="inlineStr">
        <is>
          <t>SKELLEFTEÅ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24696-2024</t>
        </is>
      </c>
      <c r="B1914" s="1" t="n">
        <v>45460</v>
      </c>
      <c r="C1914" s="1" t="n">
        <v>46078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4.9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3746-2026</t>
        </is>
      </c>
      <c r="B1915" s="1" t="n">
        <v>46043.54019675926</v>
      </c>
      <c r="C1915" s="1" t="n">
        <v>46078</v>
      </c>
      <c r="D1915" t="inlineStr">
        <is>
          <t>VÄSTERBOTTENS LÄN</t>
        </is>
      </c>
      <c r="E1915" t="inlineStr">
        <is>
          <t>SKELLEFTEÅ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61440-2025</t>
        </is>
      </c>
      <c r="B1916" s="1" t="n">
        <v>46001.57054398148</v>
      </c>
      <c r="C1916" s="1" t="n">
        <v>46078</v>
      </c>
      <c r="D1916" t="inlineStr">
        <is>
          <t>VÄSTERBOTTENS LÄN</t>
        </is>
      </c>
      <c r="E1916" t="inlineStr">
        <is>
          <t>SKELLEFTEÅ</t>
        </is>
      </c>
      <c r="G1916" t="n">
        <v>19.7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61767-2025</t>
        </is>
      </c>
      <c r="B1917" s="1" t="n">
        <v>46002.63262731482</v>
      </c>
      <c r="C1917" s="1" t="n">
        <v>46078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Kommuner</t>
        </is>
      </c>
      <c r="G1917" t="n">
        <v>9.699999999999999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5490-2023</t>
        </is>
      </c>
      <c r="B1918" s="1" t="n">
        <v>44957</v>
      </c>
      <c r="C1918" s="1" t="n">
        <v>46078</v>
      </c>
      <c r="D1918" t="inlineStr">
        <is>
          <t>VÄSTERBOTTENS LÄN</t>
        </is>
      </c>
      <c r="E1918" t="inlineStr">
        <is>
          <t>SKELLEFTEÅ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1244-2025</t>
        </is>
      </c>
      <c r="B1919" s="1" t="n">
        <v>45667.45741898148</v>
      </c>
      <c r="C1919" s="1" t="n">
        <v>46078</v>
      </c>
      <c r="D1919" t="inlineStr">
        <is>
          <t>VÄSTERBOTTENS LÄN</t>
        </is>
      </c>
      <c r="E1919" t="inlineStr">
        <is>
          <t>SKELLEFTEÅ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39544-2023</t>
        </is>
      </c>
      <c r="B1920" s="1" t="n">
        <v>45167.35682870371</v>
      </c>
      <c r="C1920" s="1" t="n">
        <v>46078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Sveaskog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39553-2023</t>
        </is>
      </c>
      <c r="B1921" s="1" t="n">
        <v>45167</v>
      </c>
      <c r="C1921" s="1" t="n">
        <v>46078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6.9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13131-2022</t>
        </is>
      </c>
      <c r="B1922" s="1" t="n">
        <v>44644.38203703704</v>
      </c>
      <c r="C1922" s="1" t="n">
        <v>46078</v>
      </c>
      <c r="D1922" t="inlineStr">
        <is>
          <t>VÄSTERBOTTENS LÄN</t>
        </is>
      </c>
      <c r="E1922" t="inlineStr">
        <is>
          <t>SKELLEFTEÅ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4626-2025</t>
        </is>
      </c>
      <c r="B1923" s="1" t="n">
        <v>45687.62158564815</v>
      </c>
      <c r="C1923" s="1" t="n">
        <v>46078</v>
      </c>
      <c r="D1923" t="inlineStr">
        <is>
          <t>VÄSTERBOTTENS LÄN</t>
        </is>
      </c>
      <c r="E1923" t="inlineStr">
        <is>
          <t>SKELLEFTEÅ</t>
        </is>
      </c>
      <c r="G1923" t="n">
        <v>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22663-2021</t>
        </is>
      </c>
      <c r="B1924" s="1" t="n">
        <v>44327</v>
      </c>
      <c r="C1924" s="1" t="n">
        <v>46078</v>
      </c>
      <c r="D1924" t="inlineStr">
        <is>
          <t>VÄSTERBOTTENS LÄN</t>
        </is>
      </c>
      <c r="E1924" t="inlineStr">
        <is>
          <t>SKELLEFTEÅ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36823-2024</t>
        </is>
      </c>
      <c r="B1925" s="1" t="n">
        <v>45538.50298611111</v>
      </c>
      <c r="C1925" s="1" t="n">
        <v>46078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Holmen skog AB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55652-2024</t>
        </is>
      </c>
      <c r="B1926" s="1" t="n">
        <v>45621</v>
      </c>
      <c r="C1926" s="1" t="n">
        <v>46078</v>
      </c>
      <c r="D1926" t="inlineStr">
        <is>
          <t>VÄSTERBOTTENS LÄN</t>
        </is>
      </c>
      <c r="E1926" t="inlineStr">
        <is>
          <t>SKELLEFTEÅ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59793-2023</t>
        </is>
      </c>
      <c r="B1927" s="1" t="n">
        <v>45257.4577199074</v>
      </c>
      <c r="C1927" s="1" t="n">
        <v>46078</v>
      </c>
      <c r="D1927" t="inlineStr">
        <is>
          <t>VÄSTERBOTTENS LÄN</t>
        </is>
      </c>
      <c r="E1927" t="inlineStr">
        <is>
          <t>SKELLEFTEÅ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23710-2023</t>
        </is>
      </c>
      <c r="B1928" s="1" t="n">
        <v>45075</v>
      </c>
      <c r="C1928" s="1" t="n">
        <v>46078</v>
      </c>
      <c r="D1928" t="inlineStr">
        <is>
          <t>VÄSTERBOTTENS LÄN</t>
        </is>
      </c>
      <c r="E1928" t="inlineStr">
        <is>
          <t>SKELLEFTEÅ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58052-2025</t>
        </is>
      </c>
      <c r="B1929" s="1" t="n">
        <v>45982.51892361111</v>
      </c>
      <c r="C1929" s="1" t="n">
        <v>46078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Sveaskog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62327-2025</t>
        </is>
      </c>
      <c r="B1930" s="1" t="n">
        <v>46003</v>
      </c>
      <c r="C1930" s="1" t="n">
        <v>46078</v>
      </c>
      <c r="D1930" t="inlineStr">
        <is>
          <t>VÄSTERBOTTENS LÄN</t>
        </is>
      </c>
      <c r="E1930" t="inlineStr">
        <is>
          <t>SKELLEFTEÅ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61894-2025</t>
        </is>
      </c>
      <c r="B1931" s="1" t="n">
        <v>46003.45953703704</v>
      </c>
      <c r="C1931" s="1" t="n">
        <v>46078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Övriga Aktiebolag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4341-2026</t>
        </is>
      </c>
      <c r="B1932" s="1" t="n">
        <v>46045.50896990741</v>
      </c>
      <c r="C1932" s="1" t="n">
        <v>46078</v>
      </c>
      <c r="D1932" t="inlineStr">
        <is>
          <t>VÄSTERBOTTENS LÄN</t>
        </is>
      </c>
      <c r="E1932" t="inlineStr">
        <is>
          <t>SKELLEFTEÅ</t>
        </is>
      </c>
      <c r="G1932" t="n">
        <v>5.5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17173-2025</t>
        </is>
      </c>
      <c r="B1933" s="1" t="n">
        <v>45756.37224537037</v>
      </c>
      <c r="C1933" s="1" t="n">
        <v>46078</v>
      </c>
      <c r="D1933" t="inlineStr">
        <is>
          <t>VÄSTERBOTTENS LÄN</t>
        </is>
      </c>
      <c r="E1933" t="inlineStr">
        <is>
          <t>SKELLEFTEÅ</t>
        </is>
      </c>
      <c r="G1933" t="n">
        <v>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4069-2026</t>
        </is>
      </c>
      <c r="B1934" s="1" t="n">
        <v>46044.52517361111</v>
      </c>
      <c r="C1934" s="1" t="n">
        <v>46078</v>
      </c>
      <c r="D1934" t="inlineStr">
        <is>
          <t>VÄSTERBOTTENS LÄN</t>
        </is>
      </c>
      <c r="E1934" t="inlineStr">
        <is>
          <t>SKELLEFTEÅ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4084-2026</t>
        </is>
      </c>
      <c r="B1935" s="1" t="n">
        <v>46044.54697916667</v>
      </c>
      <c r="C1935" s="1" t="n">
        <v>46078</v>
      </c>
      <c r="D1935" t="inlineStr">
        <is>
          <t>VÄSTERBOTTENS LÄN</t>
        </is>
      </c>
      <c r="E1935" t="inlineStr">
        <is>
          <t>SKELLEFTEÅ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52693-2024</t>
        </is>
      </c>
      <c r="B1936" s="1" t="n">
        <v>45610.39756944445</v>
      </c>
      <c r="C1936" s="1" t="n">
        <v>46078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Holmen skog AB</t>
        </is>
      </c>
      <c r="G1936" t="n">
        <v>8.4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61614-2025</t>
        </is>
      </c>
      <c r="B1937" s="1" t="n">
        <v>46002.38613425926</v>
      </c>
      <c r="C1937" s="1" t="n">
        <v>46078</v>
      </c>
      <c r="D1937" t="inlineStr">
        <is>
          <t>VÄSTERBOTTENS LÄN</t>
        </is>
      </c>
      <c r="E1937" t="inlineStr">
        <is>
          <t>SKELLEFTEÅ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61615-2025</t>
        </is>
      </c>
      <c r="B1938" s="1" t="n">
        <v>46002.3862037037</v>
      </c>
      <c r="C1938" s="1" t="n">
        <v>46078</v>
      </c>
      <c r="D1938" t="inlineStr">
        <is>
          <t>VÄSTERBOTTENS LÄN</t>
        </is>
      </c>
      <c r="E1938" t="inlineStr">
        <is>
          <t>SKELLEFTEÅ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61637-2025</t>
        </is>
      </c>
      <c r="B1939" s="1" t="n">
        <v>46002.42745370371</v>
      </c>
      <c r="C1939" s="1" t="n">
        <v>46078</v>
      </c>
      <c r="D1939" t="inlineStr">
        <is>
          <t>VÄSTERBOTTENS LÄN</t>
        </is>
      </c>
      <c r="E1939" t="inlineStr">
        <is>
          <t>SKELLEFTEÅ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11973-2023</t>
        </is>
      </c>
      <c r="B1940" s="1" t="n">
        <v>44994</v>
      </c>
      <c r="C1940" s="1" t="n">
        <v>46078</v>
      </c>
      <c r="D1940" t="inlineStr">
        <is>
          <t>VÄSTERBOTTENS LÄN</t>
        </is>
      </c>
      <c r="E1940" t="inlineStr">
        <is>
          <t>SKELLEFTEÅ</t>
        </is>
      </c>
      <c r="G1940" t="n">
        <v>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25009-2022</t>
        </is>
      </c>
      <c r="B1941" s="1" t="n">
        <v>44728.92866898148</v>
      </c>
      <c r="C1941" s="1" t="n">
        <v>46078</v>
      </c>
      <c r="D1941" t="inlineStr">
        <is>
          <t>VÄSTERBOTTENS LÄN</t>
        </is>
      </c>
      <c r="E1941" t="inlineStr">
        <is>
          <t>SKELLEFTEÅ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61834-2025</t>
        </is>
      </c>
      <c r="B1942" s="1" t="n">
        <v>46003.34474537037</v>
      </c>
      <c r="C1942" s="1" t="n">
        <v>46078</v>
      </c>
      <c r="D1942" t="inlineStr">
        <is>
          <t>VÄSTERBOTTENS LÄN</t>
        </is>
      </c>
      <c r="E1942" t="inlineStr">
        <is>
          <t>SKELLEFTEÅ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61837-2025</t>
        </is>
      </c>
      <c r="B1943" s="1" t="n">
        <v>46003.35475694444</v>
      </c>
      <c r="C1943" s="1" t="n">
        <v>46078</v>
      </c>
      <c r="D1943" t="inlineStr">
        <is>
          <t>VÄSTERBOTTENS LÄN</t>
        </is>
      </c>
      <c r="E1943" t="inlineStr">
        <is>
          <t>SKELLEFTEÅ</t>
        </is>
      </c>
      <c r="G1943" t="n">
        <v>5.8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4022-2026</t>
        </is>
      </c>
      <c r="B1944" s="1" t="n">
        <v>46044.42758101852</v>
      </c>
      <c r="C1944" s="1" t="n">
        <v>46078</v>
      </c>
      <c r="D1944" t="inlineStr">
        <is>
          <t>VÄSTERBOTTENS LÄN</t>
        </is>
      </c>
      <c r="E1944" t="inlineStr">
        <is>
          <t>SKELLEFTEÅ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3993-2026</t>
        </is>
      </c>
      <c r="B1945" s="1" t="n">
        <v>46044.38584490741</v>
      </c>
      <c r="C1945" s="1" t="n">
        <v>46078</v>
      </c>
      <c r="D1945" t="inlineStr">
        <is>
          <t>VÄSTERBOTTENS LÄN</t>
        </is>
      </c>
      <c r="E1945" t="inlineStr">
        <is>
          <t>SKELLEFTEÅ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4024-2026</t>
        </is>
      </c>
      <c r="B1946" s="1" t="n">
        <v>46044.43145833333</v>
      </c>
      <c r="C1946" s="1" t="n">
        <v>46078</v>
      </c>
      <c r="D1946" t="inlineStr">
        <is>
          <t>VÄSTERBOTTENS LÄN</t>
        </is>
      </c>
      <c r="E1946" t="inlineStr">
        <is>
          <t>SKELLEFTEÅ</t>
        </is>
      </c>
      <c r="G1946" t="n">
        <v>10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4075-2026</t>
        </is>
      </c>
      <c r="B1947" s="1" t="n">
        <v>46044.533125</v>
      </c>
      <c r="C1947" s="1" t="n">
        <v>46078</v>
      </c>
      <c r="D1947" t="inlineStr">
        <is>
          <t>VÄSTERBOTTENS LÄN</t>
        </is>
      </c>
      <c r="E1947" t="inlineStr">
        <is>
          <t>SKELLEFTEÅ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61636-2025</t>
        </is>
      </c>
      <c r="B1948" s="1" t="n">
        <v>46002.42744212963</v>
      </c>
      <c r="C1948" s="1" t="n">
        <v>46078</v>
      </c>
      <c r="D1948" t="inlineStr">
        <is>
          <t>VÄSTERBOTTENS LÄN</t>
        </is>
      </c>
      <c r="E1948" t="inlineStr">
        <is>
          <t>SKELLEFTEÅ</t>
        </is>
      </c>
      <c r="G1948" t="n">
        <v>11.3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61657-2025</t>
        </is>
      </c>
      <c r="B1949" s="1" t="n">
        <v>46002.44877314815</v>
      </c>
      <c r="C1949" s="1" t="n">
        <v>46078</v>
      </c>
      <c r="D1949" t="inlineStr">
        <is>
          <t>VÄSTERBOTTENS LÄN</t>
        </is>
      </c>
      <c r="E1949" t="inlineStr">
        <is>
          <t>SKELLEFTEÅ</t>
        </is>
      </c>
      <c r="G1949" t="n">
        <v>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38935-2024</t>
        </is>
      </c>
      <c r="B1950" s="1" t="n">
        <v>45548.3350462963</v>
      </c>
      <c r="C1950" s="1" t="n">
        <v>46078</v>
      </c>
      <c r="D1950" t="inlineStr">
        <is>
          <t>VÄSTERBOTTENS LÄN</t>
        </is>
      </c>
      <c r="E1950" t="inlineStr">
        <is>
          <t>SKELLEFTEÅ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33529-2022</t>
        </is>
      </c>
      <c r="B1951" s="1" t="n">
        <v>44789.33445601852</v>
      </c>
      <c r="C1951" s="1" t="n">
        <v>46078</v>
      </c>
      <c r="D1951" t="inlineStr">
        <is>
          <t>VÄSTERBOTTENS LÄN</t>
        </is>
      </c>
      <c r="E1951" t="inlineStr">
        <is>
          <t>SKELLEFTEÅ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30485-2023</t>
        </is>
      </c>
      <c r="B1952" s="1" t="n">
        <v>45111.60275462963</v>
      </c>
      <c r="C1952" s="1" t="n">
        <v>46078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Sveaskog</t>
        </is>
      </c>
      <c r="G1952" t="n">
        <v>6.3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21035-2022</t>
        </is>
      </c>
      <c r="B1953" s="1" t="n">
        <v>44704</v>
      </c>
      <c r="C1953" s="1" t="n">
        <v>46078</v>
      </c>
      <c r="D1953" t="inlineStr">
        <is>
          <t>VÄSTERBOTTENS LÄN</t>
        </is>
      </c>
      <c r="E1953" t="inlineStr">
        <is>
          <t>SKELLEFTEÅ</t>
        </is>
      </c>
      <c r="G1953" t="n">
        <v>26.9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10079-2025</t>
        </is>
      </c>
      <c r="B1954" s="1" t="n">
        <v>45719</v>
      </c>
      <c r="C1954" s="1" t="n">
        <v>46078</v>
      </c>
      <c r="D1954" t="inlineStr">
        <is>
          <t>VÄSTERBOTTENS LÄN</t>
        </is>
      </c>
      <c r="E1954" t="inlineStr">
        <is>
          <t>SKELLEFTEÅ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61960-2025</t>
        </is>
      </c>
      <c r="B1955" s="1" t="n">
        <v>46003.58871527778</v>
      </c>
      <c r="C1955" s="1" t="n">
        <v>46078</v>
      </c>
      <c r="D1955" t="inlineStr">
        <is>
          <t>VÄSTERBOTTENS LÄN</t>
        </is>
      </c>
      <c r="E1955" t="inlineStr">
        <is>
          <t>SKELLEFTEÅ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4292-2026</t>
        </is>
      </c>
      <c r="B1956" s="1" t="n">
        <v>46045.41581018519</v>
      </c>
      <c r="C1956" s="1" t="n">
        <v>46078</v>
      </c>
      <c r="D1956" t="inlineStr">
        <is>
          <t>VÄSTERBOTTENS LÄN</t>
        </is>
      </c>
      <c r="E1956" t="inlineStr">
        <is>
          <t>SKELLEFTEÅ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62396-2025</t>
        </is>
      </c>
      <c r="B1957" s="1" t="n">
        <v>46007.40012731482</v>
      </c>
      <c r="C1957" s="1" t="n">
        <v>46078</v>
      </c>
      <c r="D1957" t="inlineStr">
        <is>
          <t>VÄSTERBOTTENS LÄN</t>
        </is>
      </c>
      <c r="E1957" t="inlineStr">
        <is>
          <t>SKELLEFTEÅ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62398-2025</t>
        </is>
      </c>
      <c r="B1958" s="1" t="n">
        <v>46007.40207175926</v>
      </c>
      <c r="C1958" s="1" t="n">
        <v>46078</v>
      </c>
      <c r="D1958" t="inlineStr">
        <is>
          <t>VÄSTERBOTTENS LÄN</t>
        </is>
      </c>
      <c r="E1958" t="inlineStr">
        <is>
          <t>SKELLEFTEÅ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62485-2025</t>
        </is>
      </c>
      <c r="B1959" s="1" t="n">
        <v>46007.56543981482</v>
      </c>
      <c r="C1959" s="1" t="n">
        <v>46078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Sveaskog</t>
        </is>
      </c>
      <c r="G1959" t="n">
        <v>6.2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48722-2022</t>
        </is>
      </c>
      <c r="B1960" s="1" t="n">
        <v>44855</v>
      </c>
      <c r="C1960" s="1" t="n">
        <v>46078</v>
      </c>
      <c r="D1960" t="inlineStr">
        <is>
          <t>VÄSTERBOTTENS LÄN</t>
        </is>
      </c>
      <c r="E1960" t="inlineStr">
        <is>
          <t>SKELLEFTEÅ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53646-2022</t>
        </is>
      </c>
      <c r="B1961" s="1" t="n">
        <v>44879</v>
      </c>
      <c r="C1961" s="1" t="n">
        <v>46078</v>
      </c>
      <c r="D1961" t="inlineStr">
        <is>
          <t>VÄSTERBOTTENS LÄN</t>
        </is>
      </c>
      <c r="E1961" t="inlineStr">
        <is>
          <t>SKELLEFTEÅ</t>
        </is>
      </c>
      <c r="G1961" t="n">
        <v>10.6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62081-2025</t>
        </is>
      </c>
      <c r="B1962" s="1" t="n">
        <v>46006.37280092593</v>
      </c>
      <c r="C1962" s="1" t="n">
        <v>46078</v>
      </c>
      <c r="D1962" t="inlineStr">
        <is>
          <t>VÄSTERBOTTENS LÄN</t>
        </is>
      </c>
      <c r="E1962" t="inlineStr">
        <is>
          <t>SKELLEFTEÅ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62148-2025</t>
        </is>
      </c>
      <c r="B1963" s="1" t="n">
        <v>46006.47850694445</v>
      </c>
      <c r="C1963" s="1" t="n">
        <v>46078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4008-2024</t>
        </is>
      </c>
      <c r="B1964" s="1" t="n">
        <v>45323</v>
      </c>
      <c r="C1964" s="1" t="n">
        <v>46078</v>
      </c>
      <c r="D1964" t="inlineStr">
        <is>
          <t>VÄSTERBOTTENS LÄN</t>
        </is>
      </c>
      <c r="E1964" t="inlineStr">
        <is>
          <t>SKELLEFTEÅ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60612-2023</t>
        </is>
      </c>
      <c r="B1965" s="1" t="n">
        <v>45260</v>
      </c>
      <c r="C1965" s="1" t="n">
        <v>46078</v>
      </c>
      <c r="D1965" t="inlineStr">
        <is>
          <t>VÄSTERBOTTENS LÄN</t>
        </is>
      </c>
      <c r="E1965" t="inlineStr">
        <is>
          <t>SKELLEFTEÅ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16461-2025</t>
        </is>
      </c>
      <c r="B1966" s="1" t="n">
        <v>45750</v>
      </c>
      <c r="C1966" s="1" t="n">
        <v>46078</v>
      </c>
      <c r="D1966" t="inlineStr">
        <is>
          <t>VÄSTERBOTTENS LÄN</t>
        </is>
      </c>
      <c r="E1966" t="inlineStr">
        <is>
          <t>SKELLEFTEÅ</t>
        </is>
      </c>
      <c r="G1966" t="n">
        <v>7.3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62124-2025</t>
        </is>
      </c>
      <c r="B1967" s="1" t="n">
        <v>46006.44425925926</v>
      </c>
      <c r="C1967" s="1" t="n">
        <v>46078</v>
      </c>
      <c r="D1967" t="inlineStr">
        <is>
          <t>VÄSTERBOTTENS LÄN</t>
        </is>
      </c>
      <c r="E1967" t="inlineStr">
        <is>
          <t>SKELLEFTEÅ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41198-2024</t>
        </is>
      </c>
      <c r="B1968" s="1" t="n">
        <v>45559.51533564815</v>
      </c>
      <c r="C1968" s="1" t="n">
        <v>46078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35491-2022</t>
        </is>
      </c>
      <c r="B1969" s="1" t="n">
        <v>44798</v>
      </c>
      <c r="C1969" s="1" t="n">
        <v>46078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Sveaskog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33289-2023</t>
        </is>
      </c>
      <c r="B1970" s="1" t="n">
        <v>45116</v>
      </c>
      <c r="C1970" s="1" t="n">
        <v>46078</v>
      </c>
      <c r="D1970" t="inlineStr">
        <is>
          <t>VÄSTERBOTTENS LÄN</t>
        </is>
      </c>
      <c r="E1970" t="inlineStr">
        <is>
          <t>SKELLEFTEÅ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4900-2024</t>
        </is>
      </c>
      <c r="B1971" s="1" t="n">
        <v>45329</v>
      </c>
      <c r="C1971" s="1" t="n">
        <v>46078</v>
      </c>
      <c r="D1971" t="inlineStr">
        <is>
          <t>VÄSTERBOTTENS LÄN</t>
        </is>
      </c>
      <c r="E1971" t="inlineStr">
        <is>
          <t>SKELLEFTEÅ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26645-2023</t>
        </is>
      </c>
      <c r="B1972" s="1" t="n">
        <v>45092.92415509259</v>
      </c>
      <c r="C1972" s="1" t="n">
        <v>46078</v>
      </c>
      <c r="D1972" t="inlineStr">
        <is>
          <t>VÄSTERBOTTENS LÄN</t>
        </is>
      </c>
      <c r="E1972" t="inlineStr">
        <is>
          <t>SKELLEFTEÅ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12256-2025</t>
        </is>
      </c>
      <c r="B1973" s="1" t="n">
        <v>45729.61527777778</v>
      </c>
      <c r="C1973" s="1" t="n">
        <v>46078</v>
      </c>
      <c r="D1973" t="inlineStr">
        <is>
          <t>VÄSTERBOTTENS LÄN</t>
        </is>
      </c>
      <c r="E1973" t="inlineStr">
        <is>
          <t>SKELLEFTEÅ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60237-2022</t>
        </is>
      </c>
      <c r="B1974" s="1" t="n">
        <v>44903</v>
      </c>
      <c r="C1974" s="1" t="n">
        <v>46078</v>
      </c>
      <c r="D1974" t="inlineStr">
        <is>
          <t>VÄSTERBOTTENS LÄN</t>
        </is>
      </c>
      <c r="E1974" t="inlineStr">
        <is>
          <t>SKELLEFTEÅ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54316-2022</t>
        </is>
      </c>
      <c r="B1975" s="1" t="n">
        <v>44879</v>
      </c>
      <c r="C1975" s="1" t="n">
        <v>46078</v>
      </c>
      <c r="D1975" t="inlineStr">
        <is>
          <t>VÄSTERBOTTENS LÄN</t>
        </is>
      </c>
      <c r="E1975" t="inlineStr">
        <is>
          <t>SKELLEFTEÅ</t>
        </is>
      </c>
      <c r="G1975" t="n">
        <v>5.8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38026-2021</t>
        </is>
      </c>
      <c r="B1976" s="1" t="n">
        <v>44404</v>
      </c>
      <c r="C1976" s="1" t="n">
        <v>46078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Holmen skog AB</t>
        </is>
      </c>
      <c r="G1976" t="n">
        <v>7.8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18357-2023</t>
        </is>
      </c>
      <c r="B1977" s="1" t="n">
        <v>45041</v>
      </c>
      <c r="C1977" s="1" t="n">
        <v>46078</v>
      </c>
      <c r="D1977" t="inlineStr">
        <is>
          <t>VÄSTERBOTTENS LÄN</t>
        </is>
      </c>
      <c r="E1977" t="inlineStr">
        <is>
          <t>SKELLEFTEÅ</t>
        </is>
      </c>
      <c r="G1977" t="n">
        <v>11.2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38395-2023</t>
        </is>
      </c>
      <c r="B1978" s="1" t="n">
        <v>45162.31554398148</v>
      </c>
      <c r="C1978" s="1" t="n">
        <v>46078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18.9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62275-2025</t>
        </is>
      </c>
      <c r="B1979" s="1" t="n">
        <v>46006.6294212963</v>
      </c>
      <c r="C1979" s="1" t="n">
        <v>46078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Kommuner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62074-2025</t>
        </is>
      </c>
      <c r="B1980" s="1" t="n">
        <v>46006.36336805556</v>
      </c>
      <c r="C1980" s="1" t="n">
        <v>46078</v>
      </c>
      <c r="D1980" t="inlineStr">
        <is>
          <t>VÄSTERBOTTENS LÄN</t>
        </is>
      </c>
      <c r="E1980" t="inlineStr">
        <is>
          <t>SKELLEFTEÅ</t>
        </is>
      </c>
      <c r="G1980" t="n">
        <v>4.9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31167-2024</t>
        </is>
      </c>
      <c r="B1981" s="1" t="n">
        <v>45503.39758101852</v>
      </c>
      <c r="C1981" s="1" t="n">
        <v>46078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23823-2024</t>
        </is>
      </c>
      <c r="B1982" s="1" t="n">
        <v>45455</v>
      </c>
      <c r="C1982" s="1" t="n">
        <v>46078</v>
      </c>
      <c r="D1982" t="inlineStr">
        <is>
          <t>VÄSTERBOTTENS LÄN</t>
        </is>
      </c>
      <c r="E1982" t="inlineStr">
        <is>
          <t>SKELLEFTEÅ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62403-2025</t>
        </is>
      </c>
      <c r="B1983" s="1" t="n">
        <v>46007.42085648148</v>
      </c>
      <c r="C1983" s="1" t="n">
        <v>46078</v>
      </c>
      <c r="D1983" t="inlineStr">
        <is>
          <t>VÄSTERBOTTENS LÄN</t>
        </is>
      </c>
      <c r="E1983" t="inlineStr">
        <is>
          <t>SKELLEFTEÅ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48394-2023</t>
        </is>
      </c>
      <c r="B1984" s="1" t="n">
        <v>45201</v>
      </c>
      <c r="C1984" s="1" t="n">
        <v>46078</v>
      </c>
      <c r="D1984" t="inlineStr">
        <is>
          <t>VÄSTERBOTTENS LÄN</t>
        </is>
      </c>
      <c r="E1984" t="inlineStr">
        <is>
          <t>SKELLEFTEÅ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61730-2023</t>
        </is>
      </c>
      <c r="B1985" s="1" t="n">
        <v>45264</v>
      </c>
      <c r="C1985" s="1" t="n">
        <v>46078</v>
      </c>
      <c r="D1985" t="inlineStr">
        <is>
          <t>VÄSTERBOTTENS LÄN</t>
        </is>
      </c>
      <c r="E1985" t="inlineStr">
        <is>
          <t>SKELLEFTEÅ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35035-2024</t>
        </is>
      </c>
      <c r="B1986" s="1" t="n">
        <v>45527.61482638889</v>
      </c>
      <c r="C1986" s="1" t="n">
        <v>46078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Holmen skog AB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62085-2025</t>
        </is>
      </c>
      <c r="B1987" s="1" t="n">
        <v>46006.37502314815</v>
      </c>
      <c r="C1987" s="1" t="n">
        <v>46078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62127-2025</t>
        </is>
      </c>
      <c r="B1988" s="1" t="n">
        <v>46006.44607638889</v>
      </c>
      <c r="C1988" s="1" t="n">
        <v>46078</v>
      </c>
      <c r="D1988" t="inlineStr">
        <is>
          <t>VÄSTERBOTTENS LÄN</t>
        </is>
      </c>
      <c r="E1988" t="inlineStr">
        <is>
          <t>SKELLEFTEÅ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62497-2025</t>
        </is>
      </c>
      <c r="B1989" s="1" t="n">
        <v>46007.57502314815</v>
      </c>
      <c r="C1989" s="1" t="n">
        <v>46078</v>
      </c>
      <c r="D1989" t="inlineStr">
        <is>
          <t>VÄSTERBOTTENS LÄN</t>
        </is>
      </c>
      <c r="E1989" t="inlineStr">
        <is>
          <t>SKELLEFTEÅ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55940-2024</t>
        </is>
      </c>
      <c r="B1990" s="1" t="n">
        <v>45623.61108796296</v>
      </c>
      <c r="C1990" s="1" t="n">
        <v>46078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68334-2021</t>
        </is>
      </c>
      <c r="B1991" s="1" t="n">
        <v>44527</v>
      </c>
      <c r="C1991" s="1" t="n">
        <v>46078</v>
      </c>
      <c r="D1991" t="inlineStr">
        <is>
          <t>VÄSTERBOTTENS LÄN</t>
        </is>
      </c>
      <c r="E1991" t="inlineStr">
        <is>
          <t>SKELLEFTEÅ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62046-2025</t>
        </is>
      </c>
      <c r="B1992" s="1" t="n">
        <v>46006.27789351852</v>
      </c>
      <c r="C1992" s="1" t="n">
        <v>46078</v>
      </c>
      <c r="D1992" t="inlineStr">
        <is>
          <t>VÄSTERBOTTENS LÄN</t>
        </is>
      </c>
      <c r="E1992" t="inlineStr">
        <is>
          <t>SKELLEFTEÅ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18478-2023</t>
        </is>
      </c>
      <c r="B1993" s="1" t="n">
        <v>45042.58392361111</v>
      </c>
      <c r="C1993" s="1" t="n">
        <v>46078</v>
      </c>
      <c r="D1993" t="inlineStr">
        <is>
          <t>VÄSTERBOTTENS LÄN</t>
        </is>
      </c>
      <c r="E1993" t="inlineStr">
        <is>
          <t>SKELLEFTEÅ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62480-2025</t>
        </is>
      </c>
      <c r="B1994" s="1" t="n">
        <v>46007.55927083334</v>
      </c>
      <c r="C1994" s="1" t="n">
        <v>46078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Kommuner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62498-2025</t>
        </is>
      </c>
      <c r="B1995" s="1" t="n">
        <v>46007.57701388889</v>
      </c>
      <c r="C1995" s="1" t="n">
        <v>46078</v>
      </c>
      <c r="D1995" t="inlineStr">
        <is>
          <t>VÄSTERBOTTENS LÄN</t>
        </is>
      </c>
      <c r="E1995" t="inlineStr">
        <is>
          <t>SKELLEFTEÅ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62128-2025</t>
        </is>
      </c>
      <c r="B1996" s="1" t="n">
        <v>46006</v>
      </c>
      <c r="C1996" s="1" t="n">
        <v>46078</v>
      </c>
      <c r="D1996" t="inlineStr">
        <is>
          <t>VÄSTERBOTTENS LÄN</t>
        </is>
      </c>
      <c r="E1996" t="inlineStr">
        <is>
          <t>SKELLEFTEÅ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62487-2025</t>
        </is>
      </c>
      <c r="B1997" s="1" t="n">
        <v>46007.56681712963</v>
      </c>
      <c r="C1997" s="1" t="n">
        <v>46078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62488-2025</t>
        </is>
      </c>
      <c r="B1998" s="1" t="n">
        <v>46007</v>
      </c>
      <c r="C1998" s="1" t="n">
        <v>46078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Kommuner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37792-2021</t>
        </is>
      </c>
      <c r="B1999" s="1" t="n">
        <v>44401</v>
      </c>
      <c r="C1999" s="1" t="n">
        <v>46078</v>
      </c>
      <c r="D1999" t="inlineStr">
        <is>
          <t>VÄSTERBOTTENS LÄN</t>
        </is>
      </c>
      <c r="E1999" t="inlineStr">
        <is>
          <t>SKELLEFTEÅ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5184-2026</t>
        </is>
      </c>
      <c r="B2000" s="1" t="n">
        <v>46049.65674768519</v>
      </c>
      <c r="C2000" s="1" t="n">
        <v>46078</v>
      </c>
      <c r="D2000" t="inlineStr">
        <is>
          <t>VÄSTERBOTTENS LÄN</t>
        </is>
      </c>
      <c r="E2000" t="inlineStr">
        <is>
          <t>SKELLEFTEÅ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22735-2023</t>
        </is>
      </c>
      <c r="B2001" s="1" t="n">
        <v>45071</v>
      </c>
      <c r="C2001" s="1" t="n">
        <v>46078</v>
      </c>
      <c r="D2001" t="inlineStr">
        <is>
          <t>VÄSTERBOTTENS LÄN</t>
        </is>
      </c>
      <c r="E2001" t="inlineStr">
        <is>
          <t>SKELLEFTEÅ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62134-2025</t>
        </is>
      </c>
      <c r="B2002" s="1" t="n">
        <v>46006.45762731481</v>
      </c>
      <c r="C2002" s="1" t="n">
        <v>46078</v>
      </c>
      <c r="D2002" t="inlineStr">
        <is>
          <t>VÄSTERBOTTENS LÄN</t>
        </is>
      </c>
      <c r="E2002" t="inlineStr">
        <is>
          <t>SKELLEFTEÅ</t>
        </is>
      </c>
      <c r="G2002" t="n">
        <v>11.5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62489-2025</t>
        </is>
      </c>
      <c r="B2003" s="1" t="n">
        <v>46007.56927083333</v>
      </c>
      <c r="C2003" s="1" t="n">
        <v>46078</v>
      </c>
      <c r="D2003" t="inlineStr">
        <is>
          <t>VÄSTERBOTTENS LÄN</t>
        </is>
      </c>
      <c r="E2003" t="inlineStr">
        <is>
          <t>SKELLEFTEÅ</t>
        </is>
      </c>
      <c r="G2003" t="n">
        <v>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44240-2024</t>
        </is>
      </c>
      <c r="B2004" s="1" t="n">
        <v>45573.42513888889</v>
      </c>
      <c r="C2004" s="1" t="n">
        <v>46078</v>
      </c>
      <c r="D2004" t="inlineStr">
        <is>
          <t>VÄSTERBOTTENS LÄN</t>
        </is>
      </c>
      <c r="E2004" t="inlineStr">
        <is>
          <t>SKELLEFTEÅ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62618-2025</t>
        </is>
      </c>
      <c r="B2005" s="1" t="n">
        <v>46008.33600694445</v>
      </c>
      <c r="C2005" s="1" t="n">
        <v>46078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5739-2026</t>
        </is>
      </c>
      <c r="B2006" s="1" t="n">
        <v>46051.57848379629</v>
      </c>
      <c r="C2006" s="1" t="n">
        <v>46078</v>
      </c>
      <c r="D2006" t="inlineStr">
        <is>
          <t>VÄSTERBOTTENS LÄN</t>
        </is>
      </c>
      <c r="E2006" t="inlineStr">
        <is>
          <t>SKELLEFTEÅ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62890-2025</t>
        </is>
      </c>
      <c r="B2007" s="1" t="n">
        <v>46009.32591435185</v>
      </c>
      <c r="C2007" s="1" t="n">
        <v>46078</v>
      </c>
      <c r="D2007" t="inlineStr">
        <is>
          <t>VÄSTERBOTTENS LÄN</t>
        </is>
      </c>
      <c r="E2007" t="inlineStr">
        <is>
          <t>SKELLEFTEÅ</t>
        </is>
      </c>
      <c r="G2007" t="n">
        <v>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62970-2025</t>
        </is>
      </c>
      <c r="B2008" s="1" t="n">
        <v>46009.46313657407</v>
      </c>
      <c r="C2008" s="1" t="n">
        <v>46078</v>
      </c>
      <c r="D2008" t="inlineStr">
        <is>
          <t>VÄSTERBOTTENS LÄN</t>
        </is>
      </c>
      <c r="E2008" t="inlineStr">
        <is>
          <t>SKELLEFTEÅ</t>
        </is>
      </c>
      <c r="G2008" t="n">
        <v>7.2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3465-2024</t>
        </is>
      </c>
      <c r="B2009" s="1" t="n">
        <v>45320.40229166667</v>
      </c>
      <c r="C2009" s="1" t="n">
        <v>46078</v>
      </c>
      <c r="D2009" t="inlineStr">
        <is>
          <t>VÄSTERBOTTENS LÄN</t>
        </is>
      </c>
      <c r="E2009" t="inlineStr">
        <is>
          <t>SKELLEFTEÅ</t>
        </is>
      </c>
      <c r="G2009" t="n">
        <v>17.4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62891-2025</t>
        </is>
      </c>
      <c r="B2010" s="1" t="n">
        <v>46009.33181712963</v>
      </c>
      <c r="C2010" s="1" t="n">
        <v>46078</v>
      </c>
      <c r="D2010" t="inlineStr">
        <is>
          <t>VÄSTERBOTTENS LÄN</t>
        </is>
      </c>
      <c r="E2010" t="inlineStr">
        <is>
          <t>SKELLEFTEÅ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54251-2024</t>
        </is>
      </c>
      <c r="B2011" s="1" t="n">
        <v>45616.69726851852</v>
      </c>
      <c r="C2011" s="1" t="n">
        <v>46078</v>
      </c>
      <c r="D2011" t="inlineStr">
        <is>
          <t>VÄSTERBOTTENS LÄN</t>
        </is>
      </c>
      <c r="E2011" t="inlineStr">
        <is>
          <t>SKELLEFTEÅ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62949-2025</t>
        </is>
      </c>
      <c r="B2012" s="1" t="n">
        <v>46009.44704861111</v>
      </c>
      <c r="C2012" s="1" t="n">
        <v>46078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Holmen skog AB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62739-2025</t>
        </is>
      </c>
      <c r="B2013" s="1" t="n">
        <v>46008.57351851852</v>
      </c>
      <c r="C2013" s="1" t="n">
        <v>46078</v>
      </c>
      <c r="D2013" t="inlineStr">
        <is>
          <t>VÄSTERBOTTENS LÄN</t>
        </is>
      </c>
      <c r="E2013" t="inlineStr">
        <is>
          <t>SKELLEFTEÅ</t>
        </is>
      </c>
      <c r="G2013" t="n">
        <v>7.7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5502-2026</t>
        </is>
      </c>
      <c r="B2014" s="1" t="n">
        <v>46049</v>
      </c>
      <c r="C2014" s="1" t="n">
        <v>46078</v>
      </c>
      <c r="D2014" t="inlineStr">
        <is>
          <t>VÄSTERBOTTENS LÄN</t>
        </is>
      </c>
      <c r="E2014" t="inlineStr">
        <is>
          <t>SKELLEFTEÅ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62605-2025</t>
        </is>
      </c>
      <c r="B2015" s="1" t="n">
        <v>46008.27005787037</v>
      </c>
      <c r="C2015" s="1" t="n">
        <v>46078</v>
      </c>
      <c r="D2015" t="inlineStr">
        <is>
          <t>VÄSTERBOTTENS LÄN</t>
        </is>
      </c>
      <c r="E2015" t="inlineStr">
        <is>
          <t>SKELLEFTEÅ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62606-2025</t>
        </is>
      </c>
      <c r="B2016" s="1" t="n">
        <v>46008.28149305555</v>
      </c>
      <c r="C2016" s="1" t="n">
        <v>46078</v>
      </c>
      <c r="D2016" t="inlineStr">
        <is>
          <t>VÄSTERBOTTENS LÄN</t>
        </is>
      </c>
      <c r="E2016" t="inlineStr">
        <is>
          <t>SKELLEFTEÅ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62617-2025</t>
        </is>
      </c>
      <c r="B2017" s="1" t="n">
        <v>46008.32707175926</v>
      </c>
      <c r="C2017" s="1" t="n">
        <v>46078</v>
      </c>
      <c r="D2017" t="inlineStr">
        <is>
          <t>VÄSTERBOTTENS LÄN</t>
        </is>
      </c>
      <c r="E2017" t="inlineStr">
        <is>
          <t>SKELLEFTEÅ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60785-2022</t>
        </is>
      </c>
      <c r="B2018" s="1" t="n">
        <v>44907</v>
      </c>
      <c r="C2018" s="1" t="n">
        <v>46078</v>
      </c>
      <c r="D2018" t="inlineStr">
        <is>
          <t>VÄSTERBOTTENS LÄN</t>
        </is>
      </c>
      <c r="E2018" t="inlineStr">
        <is>
          <t>SKELLEFTEÅ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5361-2026</t>
        </is>
      </c>
      <c r="B2019" s="1" t="n">
        <v>46050.44866898148</v>
      </c>
      <c r="C2019" s="1" t="n">
        <v>46078</v>
      </c>
      <c r="D2019" t="inlineStr">
        <is>
          <t>VÄSTERBOTTENS LÄN</t>
        </is>
      </c>
      <c r="E2019" t="inlineStr">
        <is>
          <t>SKELLEFTEÅ</t>
        </is>
      </c>
      <c r="G2019" t="n">
        <v>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62249-2022</t>
        </is>
      </c>
      <c r="B2020" s="1" t="n">
        <v>44922.92351851852</v>
      </c>
      <c r="C2020" s="1" t="n">
        <v>46078</v>
      </c>
      <c r="D2020" t="inlineStr">
        <is>
          <t>VÄSTERBOTTENS LÄN</t>
        </is>
      </c>
      <c r="E2020" t="inlineStr">
        <is>
          <t>SKELLEFTEÅ</t>
        </is>
      </c>
      <c r="G2020" t="n">
        <v>18.2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62908-2025</t>
        </is>
      </c>
      <c r="B2021" s="1" t="n">
        <v>46009.3637962963</v>
      </c>
      <c r="C2021" s="1" t="n">
        <v>46078</v>
      </c>
      <c r="D2021" t="inlineStr">
        <is>
          <t>VÄSTERBOTTENS LÄN</t>
        </is>
      </c>
      <c r="E2021" t="inlineStr">
        <is>
          <t>SKELLEFTEÅ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62940-2025</t>
        </is>
      </c>
      <c r="B2022" s="1" t="n">
        <v>46009.4275</v>
      </c>
      <c r="C2022" s="1" t="n">
        <v>46078</v>
      </c>
      <c r="D2022" t="inlineStr">
        <is>
          <t>VÄSTERBOTTENS LÄN</t>
        </is>
      </c>
      <c r="E2022" t="inlineStr">
        <is>
          <t>SKELLEFTEÅ</t>
        </is>
      </c>
      <c r="G2022" t="n">
        <v>14.4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56154-2024</t>
        </is>
      </c>
      <c r="B2023" s="1" t="n">
        <v>45623</v>
      </c>
      <c r="C2023" s="1" t="n">
        <v>46078</v>
      </c>
      <c r="D2023" t="inlineStr">
        <is>
          <t>VÄSTERBOTTENS LÄN</t>
        </is>
      </c>
      <c r="E2023" t="inlineStr">
        <is>
          <t>SKELLEFTEÅ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62809-2025</t>
        </is>
      </c>
      <c r="B2024" s="1" t="n">
        <v>46008.64582175926</v>
      </c>
      <c r="C2024" s="1" t="n">
        <v>46078</v>
      </c>
      <c r="D2024" t="inlineStr">
        <is>
          <t>VÄSTERBOTTENS LÄN</t>
        </is>
      </c>
      <c r="E2024" t="inlineStr">
        <is>
          <t>SKELLEFTEÅ</t>
        </is>
      </c>
      <c r="G2024" t="n">
        <v>5.8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53419-2024</t>
        </is>
      </c>
      <c r="B2025" s="1" t="n">
        <v>45614.51157407407</v>
      </c>
      <c r="C2025" s="1" t="n">
        <v>46078</v>
      </c>
      <c r="D2025" t="inlineStr">
        <is>
          <t>VÄSTERBOTTENS LÄN</t>
        </is>
      </c>
      <c r="E2025" t="inlineStr">
        <is>
          <t>SKELLEFTEÅ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62607-2025</t>
        </is>
      </c>
      <c r="B2026" s="1" t="n">
        <v>46008.28662037037</v>
      </c>
      <c r="C2026" s="1" t="n">
        <v>46078</v>
      </c>
      <c r="D2026" t="inlineStr">
        <is>
          <t>VÄSTERBOTTENS LÄN</t>
        </is>
      </c>
      <c r="E2026" t="inlineStr">
        <is>
          <t>SKELLEFTEÅ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16971-2025</t>
        </is>
      </c>
      <c r="B2027" s="1" t="n">
        <v>45755.46940972222</v>
      </c>
      <c r="C2027" s="1" t="n">
        <v>46078</v>
      </c>
      <c r="D2027" t="inlineStr">
        <is>
          <t>VÄSTERBOTTENS LÄN</t>
        </is>
      </c>
      <c r="E2027" t="inlineStr">
        <is>
          <t>SKELLEFTEÅ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17008-2025</t>
        </is>
      </c>
      <c r="B2028" s="1" t="n">
        <v>45755.54644675926</v>
      </c>
      <c r="C2028" s="1" t="n">
        <v>46078</v>
      </c>
      <c r="D2028" t="inlineStr">
        <is>
          <t>VÄSTERBOTTENS LÄN</t>
        </is>
      </c>
      <c r="E2028" t="inlineStr">
        <is>
          <t>SKELLEFTEÅ</t>
        </is>
      </c>
      <c r="G2028" t="n">
        <v>7.6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55645-2024</t>
        </is>
      </c>
      <c r="B2029" s="1" t="n">
        <v>45621</v>
      </c>
      <c r="C2029" s="1" t="n">
        <v>46078</v>
      </c>
      <c r="D2029" t="inlineStr">
        <is>
          <t>VÄSTERBOTTENS LÄN</t>
        </is>
      </c>
      <c r="E2029" t="inlineStr">
        <is>
          <t>SKELLEFTEÅ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5787-2026</t>
        </is>
      </c>
      <c r="B2030" s="1" t="n">
        <v>46051.67016203704</v>
      </c>
      <c r="C2030" s="1" t="n">
        <v>46078</v>
      </c>
      <c r="D2030" t="inlineStr">
        <is>
          <t>VÄSTERBOTTENS LÄN</t>
        </is>
      </c>
      <c r="E2030" t="inlineStr">
        <is>
          <t>SKELLEFTEÅ</t>
        </is>
      </c>
      <c r="G2030" t="n">
        <v>14.6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5790-2026</t>
        </is>
      </c>
      <c r="B2031" s="1" t="n">
        <v>46051.68773148148</v>
      </c>
      <c r="C2031" s="1" t="n">
        <v>46078</v>
      </c>
      <c r="D2031" t="inlineStr">
        <is>
          <t>VÄSTERBOTTENS LÄN</t>
        </is>
      </c>
      <c r="E2031" t="inlineStr">
        <is>
          <t>SKELLEFTEÅ</t>
        </is>
      </c>
      <c r="G2031" t="n">
        <v>19.5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15461-2025</t>
        </is>
      </c>
      <c r="B2032" s="1" t="n">
        <v>45747.51061342593</v>
      </c>
      <c r="C2032" s="1" t="n">
        <v>46078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9.800000000000001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16202-2025</t>
        </is>
      </c>
      <c r="B2033" s="1" t="n">
        <v>45750.61587962963</v>
      </c>
      <c r="C2033" s="1" t="n">
        <v>46078</v>
      </c>
      <c r="D2033" t="inlineStr">
        <is>
          <t>VÄSTERBOTTENS LÄN</t>
        </is>
      </c>
      <c r="E2033" t="inlineStr">
        <is>
          <t>SKELLEFTEÅ</t>
        </is>
      </c>
      <c r="G2033" t="n">
        <v>7.3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5380-2026</t>
        </is>
      </c>
      <c r="B2034" s="1" t="n">
        <v>46050.4628125</v>
      </c>
      <c r="C2034" s="1" t="n">
        <v>46078</v>
      </c>
      <c r="D2034" t="inlineStr">
        <is>
          <t>VÄSTERBOTTENS LÄN</t>
        </is>
      </c>
      <c r="E2034" t="inlineStr">
        <is>
          <t>SKELLEFTEÅ</t>
        </is>
      </c>
      <c r="G2034" t="n">
        <v>9.699999999999999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60896-2023</t>
        </is>
      </c>
      <c r="B2035" s="1" t="n">
        <v>45261</v>
      </c>
      <c r="C2035" s="1" t="n">
        <v>46078</v>
      </c>
      <c r="D2035" t="inlineStr">
        <is>
          <t>VÄSTERBOTTENS LÄN</t>
        </is>
      </c>
      <c r="E2035" t="inlineStr">
        <is>
          <t>SKELLEFTEÅ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60898-2023</t>
        </is>
      </c>
      <c r="B2036" s="1" t="n">
        <v>45261.35170138889</v>
      </c>
      <c r="C2036" s="1" t="n">
        <v>46078</v>
      </c>
      <c r="D2036" t="inlineStr">
        <is>
          <t>VÄSTERBOTTENS LÄN</t>
        </is>
      </c>
      <c r="E2036" t="inlineStr">
        <is>
          <t>SKELLEFTEÅ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62894-2025</t>
        </is>
      </c>
      <c r="B2037" s="1" t="n">
        <v>46009.33802083333</v>
      </c>
      <c r="C2037" s="1" t="n">
        <v>46078</v>
      </c>
      <c r="D2037" t="inlineStr">
        <is>
          <t>VÄSTERBOTTENS LÄN</t>
        </is>
      </c>
      <c r="E2037" t="inlineStr">
        <is>
          <t>SKELLEFTEÅ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5533-2026</t>
        </is>
      </c>
      <c r="B2038" s="1" t="n">
        <v>46050.65700231482</v>
      </c>
      <c r="C2038" s="1" t="n">
        <v>46078</v>
      </c>
      <c r="D2038" t="inlineStr">
        <is>
          <t>VÄSTERBOTTENS LÄN</t>
        </is>
      </c>
      <c r="E2038" t="inlineStr">
        <is>
          <t>SKELLEFTEÅ</t>
        </is>
      </c>
      <c r="G2038" t="n">
        <v>4.7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28273-2024</t>
        </is>
      </c>
      <c r="B2039" s="1" t="n">
        <v>45477.4503587963</v>
      </c>
      <c r="C2039" s="1" t="n">
        <v>46078</v>
      </c>
      <c r="D2039" t="inlineStr">
        <is>
          <t>VÄSTERBOTTENS LÄN</t>
        </is>
      </c>
      <c r="E2039" t="inlineStr">
        <is>
          <t>SKELLEFTEÅ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5652-2026</t>
        </is>
      </c>
      <c r="B2040" s="1" t="n">
        <v>46051.4339699074</v>
      </c>
      <c r="C2040" s="1" t="n">
        <v>46078</v>
      </c>
      <c r="D2040" t="inlineStr">
        <is>
          <t>VÄSTERBOTTENS LÄN</t>
        </is>
      </c>
      <c r="E2040" t="inlineStr">
        <is>
          <t>SKELLEFTEÅ</t>
        </is>
      </c>
      <c r="F2040" t="inlineStr">
        <is>
          <t>Holmen skog AB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62854-2025</t>
        </is>
      </c>
      <c r="B2041" s="1" t="n">
        <v>46008.73527777778</v>
      </c>
      <c r="C2041" s="1" t="n">
        <v>46078</v>
      </c>
      <c r="D2041" t="inlineStr">
        <is>
          <t>VÄSTERBOTTENS LÄN</t>
        </is>
      </c>
      <c r="E2041" t="inlineStr">
        <is>
          <t>SKELLEFTEÅ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17444-2023</t>
        </is>
      </c>
      <c r="B2042" s="1" t="n">
        <v>45035.94489583333</v>
      </c>
      <c r="C2042" s="1" t="n">
        <v>46078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SCA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62644-2025</t>
        </is>
      </c>
      <c r="B2043" s="1" t="n">
        <v>46008.38592592593</v>
      </c>
      <c r="C2043" s="1" t="n">
        <v>46078</v>
      </c>
      <c r="D2043" t="inlineStr">
        <is>
          <t>VÄSTERBOTTENS LÄN</t>
        </is>
      </c>
      <c r="E2043" t="inlineStr">
        <is>
          <t>SKELLEFTEÅ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29085-2022</t>
        </is>
      </c>
      <c r="B2044" s="1" t="n">
        <v>44749</v>
      </c>
      <c r="C2044" s="1" t="n">
        <v>46078</v>
      </c>
      <c r="D2044" t="inlineStr">
        <is>
          <t>VÄSTERBOTTENS LÄN</t>
        </is>
      </c>
      <c r="E2044" t="inlineStr">
        <is>
          <t>SKELLEFTEÅ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62797-2025</t>
        </is>
      </c>
      <c r="B2045" s="1" t="n">
        <v>46008.63690972222</v>
      </c>
      <c r="C2045" s="1" t="n">
        <v>46078</v>
      </c>
      <c r="D2045" t="inlineStr">
        <is>
          <t>VÄSTERBOTTENS LÄN</t>
        </is>
      </c>
      <c r="E2045" t="inlineStr">
        <is>
          <t>SKELLEFTEÅ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19782-2024</t>
        </is>
      </c>
      <c r="B2046" s="1" t="n">
        <v>45432</v>
      </c>
      <c r="C2046" s="1" t="n">
        <v>46078</v>
      </c>
      <c r="D2046" t="inlineStr">
        <is>
          <t>VÄSTERBOTTENS LÄN</t>
        </is>
      </c>
      <c r="E2046" t="inlineStr">
        <is>
          <t>SKELLEFTEÅ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62921-2025</t>
        </is>
      </c>
      <c r="B2047" s="1" t="n">
        <v>46009.37679398148</v>
      </c>
      <c r="C2047" s="1" t="n">
        <v>46078</v>
      </c>
      <c r="D2047" t="inlineStr">
        <is>
          <t>VÄSTERBOTTENS LÄN</t>
        </is>
      </c>
      <c r="E2047" t="inlineStr">
        <is>
          <t>SKELLEFTEÅ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24832-2022</t>
        </is>
      </c>
      <c r="B2048" s="1" t="n">
        <v>44728</v>
      </c>
      <c r="C2048" s="1" t="n">
        <v>46078</v>
      </c>
      <c r="D2048" t="inlineStr">
        <is>
          <t>VÄSTERBOTTENS LÄN</t>
        </is>
      </c>
      <c r="E2048" t="inlineStr">
        <is>
          <t>SKELLEFTEÅ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2177-2023</t>
        </is>
      </c>
      <c r="B2049" s="1" t="n">
        <v>44942.29836805556</v>
      </c>
      <c r="C2049" s="1" t="n">
        <v>46078</v>
      </c>
      <c r="D2049" t="inlineStr">
        <is>
          <t>VÄSTERBOTTENS LÄN</t>
        </is>
      </c>
      <c r="E2049" t="inlineStr">
        <is>
          <t>SKELLEFTEÅ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62483-2022</t>
        </is>
      </c>
      <c r="B2050" s="1" t="n">
        <v>44924.56034722222</v>
      </c>
      <c r="C2050" s="1" t="n">
        <v>46078</v>
      </c>
      <c r="D2050" t="inlineStr">
        <is>
          <t>VÄSTERBOTTENS LÄN</t>
        </is>
      </c>
      <c r="E2050" t="inlineStr">
        <is>
          <t>SKELLEFTEÅ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45727-2023</t>
        </is>
      </c>
      <c r="B2051" s="1" t="n">
        <v>45189</v>
      </c>
      <c r="C2051" s="1" t="n">
        <v>46078</v>
      </c>
      <c r="D2051" t="inlineStr">
        <is>
          <t>VÄSTERBOTTENS LÄN</t>
        </is>
      </c>
      <c r="E2051" t="inlineStr">
        <is>
          <t>SKELLEFTEÅ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62631-2025</t>
        </is>
      </c>
      <c r="B2052" s="1" t="n">
        <v>46008.35678240741</v>
      </c>
      <c r="C2052" s="1" t="n">
        <v>46078</v>
      </c>
      <c r="D2052" t="inlineStr">
        <is>
          <t>VÄSTERBOTTENS LÄN</t>
        </is>
      </c>
      <c r="E2052" t="inlineStr">
        <is>
          <t>SKELLEFTEÅ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11971-2025</t>
        </is>
      </c>
      <c r="B2053" s="1" t="n">
        <v>45728</v>
      </c>
      <c r="C2053" s="1" t="n">
        <v>46078</v>
      </c>
      <c r="D2053" t="inlineStr">
        <is>
          <t>VÄSTERBOTTENS LÄN</t>
        </is>
      </c>
      <c r="E2053" t="inlineStr">
        <is>
          <t>SKELLEFTEÅ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3373-2025</t>
        </is>
      </c>
      <c r="B2054" s="1" t="n">
        <v>45680.30523148148</v>
      </c>
      <c r="C2054" s="1" t="n">
        <v>46078</v>
      </c>
      <c r="D2054" t="inlineStr">
        <is>
          <t>VÄSTERBOTTENS LÄN</t>
        </is>
      </c>
      <c r="E2054" t="inlineStr">
        <is>
          <t>SKELLEFTEÅ</t>
        </is>
      </c>
      <c r="G2054" t="n">
        <v>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59442-2024</t>
        </is>
      </c>
      <c r="B2055" s="1" t="n">
        <v>45638.44524305555</v>
      </c>
      <c r="C2055" s="1" t="n">
        <v>46078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59443-2024</t>
        </is>
      </c>
      <c r="B2056" s="1" t="n">
        <v>45638.44944444444</v>
      </c>
      <c r="C2056" s="1" t="n">
        <v>46078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11.7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54264-2024</t>
        </is>
      </c>
      <c r="B2057" s="1" t="n">
        <v>45616</v>
      </c>
      <c r="C2057" s="1" t="n">
        <v>46078</v>
      </c>
      <c r="D2057" t="inlineStr">
        <is>
          <t>VÄSTERBOTTENS LÄN</t>
        </is>
      </c>
      <c r="E2057" t="inlineStr">
        <is>
          <t>SKELLEFTEÅ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32200-2022</t>
        </is>
      </c>
      <c r="B2058" s="1" t="n">
        <v>44781</v>
      </c>
      <c r="C2058" s="1" t="n">
        <v>46078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Kommuner</t>
        </is>
      </c>
      <c r="G2058" t="n">
        <v>20.6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46440-2023</t>
        </is>
      </c>
      <c r="B2059" s="1" t="n">
        <v>45197.5899537037</v>
      </c>
      <c r="C2059" s="1" t="n">
        <v>46078</v>
      </c>
      <c r="D2059" t="inlineStr">
        <is>
          <t>VÄSTERBOTTENS LÄN</t>
        </is>
      </c>
      <c r="E2059" t="inlineStr">
        <is>
          <t>SKELLEFTEÅ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58517-2023</t>
        </is>
      </c>
      <c r="B2060" s="1" t="n">
        <v>45251</v>
      </c>
      <c r="C2060" s="1" t="n">
        <v>46078</v>
      </c>
      <c r="D2060" t="inlineStr">
        <is>
          <t>VÄSTERBOTTENS LÄN</t>
        </is>
      </c>
      <c r="E2060" t="inlineStr">
        <is>
          <t>SKELLEFTEÅ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22530-2025</t>
        </is>
      </c>
      <c r="B2061" s="1" t="n">
        <v>45786</v>
      </c>
      <c r="C2061" s="1" t="n">
        <v>46078</v>
      </c>
      <c r="D2061" t="inlineStr">
        <is>
          <t>VÄSTERBOTTENS LÄN</t>
        </is>
      </c>
      <c r="E2061" t="inlineStr">
        <is>
          <t>SKELLEFTEÅ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56719-2025</t>
        </is>
      </c>
      <c r="B2062" s="1" t="n">
        <v>45975</v>
      </c>
      <c r="C2062" s="1" t="n">
        <v>46078</v>
      </c>
      <c r="D2062" t="inlineStr">
        <is>
          <t>VÄSTERBOTTENS LÄN</t>
        </is>
      </c>
      <c r="E2062" t="inlineStr">
        <is>
          <t>SKELLEFTEÅ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33792-2024</t>
        </is>
      </c>
      <c r="B2063" s="1" t="n">
        <v>45520</v>
      </c>
      <c r="C2063" s="1" t="n">
        <v>46078</v>
      </c>
      <c r="D2063" t="inlineStr">
        <is>
          <t>VÄSTERBOTTENS LÄN</t>
        </is>
      </c>
      <c r="E2063" t="inlineStr">
        <is>
          <t>SKELLEFTEÅ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63306-2025</t>
        </is>
      </c>
      <c r="B2064" s="1" t="n">
        <v>46010.61240740741</v>
      </c>
      <c r="C2064" s="1" t="n">
        <v>46078</v>
      </c>
      <c r="D2064" t="inlineStr">
        <is>
          <t>VÄSTERBOTTENS LÄN</t>
        </is>
      </c>
      <c r="E2064" t="inlineStr">
        <is>
          <t>SKELLEFTEÅ</t>
        </is>
      </c>
      <c r="G2064" t="n">
        <v>11.5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63203-2025</t>
        </is>
      </c>
      <c r="B2065" s="1" t="n">
        <v>46010.46840277778</v>
      </c>
      <c r="C2065" s="1" t="n">
        <v>46078</v>
      </c>
      <c r="D2065" t="inlineStr">
        <is>
          <t>VÄSTERBOTTENS LÄN</t>
        </is>
      </c>
      <c r="E2065" t="inlineStr">
        <is>
          <t>SKELLEFTEÅ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22531-2025</t>
        </is>
      </c>
      <c r="B2066" s="1" t="n">
        <v>45786</v>
      </c>
      <c r="C2066" s="1" t="n">
        <v>46078</v>
      </c>
      <c r="D2066" t="inlineStr">
        <is>
          <t>VÄSTERBOTTENS LÄN</t>
        </is>
      </c>
      <c r="E2066" t="inlineStr">
        <is>
          <t>SKELLEFTEÅ</t>
        </is>
      </c>
      <c r="G2066" t="n">
        <v>7.3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49239-2025</t>
        </is>
      </c>
      <c r="B2067" s="1" t="n">
        <v>45937</v>
      </c>
      <c r="C2067" s="1" t="n">
        <v>46078</v>
      </c>
      <c r="D2067" t="inlineStr">
        <is>
          <t>VÄSTERBOTTENS LÄN</t>
        </is>
      </c>
      <c r="E2067" t="inlineStr">
        <is>
          <t>SKELLEFTEÅ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49242-2025</t>
        </is>
      </c>
      <c r="B2068" s="1" t="n">
        <v>45937</v>
      </c>
      <c r="C2068" s="1" t="n">
        <v>46078</v>
      </c>
      <c r="D2068" t="inlineStr">
        <is>
          <t>VÄSTERBOTTENS LÄN</t>
        </is>
      </c>
      <c r="E2068" t="inlineStr">
        <is>
          <t>SKELLEFTEÅ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2955-2024</t>
        </is>
      </c>
      <c r="B2069" s="1" t="n">
        <v>45315.64509259259</v>
      </c>
      <c r="C2069" s="1" t="n">
        <v>46078</v>
      </c>
      <c r="D2069" t="inlineStr">
        <is>
          <t>VÄSTERBOTTENS LÄN</t>
        </is>
      </c>
      <c r="E2069" t="inlineStr">
        <is>
          <t>SKELLEFTEÅ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54037-2024</t>
        </is>
      </c>
      <c r="B2070" s="1" t="n">
        <v>45616.42424768519</v>
      </c>
      <c r="C2070" s="1" t="n">
        <v>46078</v>
      </c>
      <c r="D2070" t="inlineStr">
        <is>
          <t>VÄSTERBOTTENS LÄN</t>
        </is>
      </c>
      <c r="E2070" t="inlineStr">
        <is>
          <t>SKELLEFTEÅ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48116-2024</t>
        </is>
      </c>
      <c r="B2071" s="1" t="n">
        <v>45589.634375</v>
      </c>
      <c r="C2071" s="1" t="n">
        <v>46078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Kommuner</t>
        </is>
      </c>
      <c r="G2071" t="n">
        <v>9.1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19748-2021</t>
        </is>
      </c>
      <c r="B2072" s="1" t="n">
        <v>44312</v>
      </c>
      <c r="C2072" s="1" t="n">
        <v>46078</v>
      </c>
      <c r="D2072" t="inlineStr">
        <is>
          <t>VÄSTERBOTTENS LÄN</t>
        </is>
      </c>
      <c r="E2072" t="inlineStr">
        <is>
          <t>SKELLEFTEÅ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63549-2025</t>
        </is>
      </c>
      <c r="B2073" s="1" t="n">
        <v>46013.60505787037</v>
      </c>
      <c r="C2073" s="1" t="n">
        <v>46078</v>
      </c>
      <c r="D2073" t="inlineStr">
        <is>
          <t>VÄSTERBOTTENS LÄN</t>
        </is>
      </c>
      <c r="E2073" t="inlineStr">
        <is>
          <t>SKELLEFTEÅ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58114-2022</t>
        </is>
      </c>
      <c r="B2074" s="1" t="n">
        <v>44893</v>
      </c>
      <c r="C2074" s="1" t="n">
        <v>46078</v>
      </c>
      <c r="D2074" t="inlineStr">
        <is>
          <t>VÄSTERBOTTENS LÄN</t>
        </is>
      </c>
      <c r="E2074" t="inlineStr">
        <is>
          <t>SKELLEFTEÅ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6656-2023</t>
        </is>
      </c>
      <c r="B2075" s="1" t="n">
        <v>44963</v>
      </c>
      <c r="C2075" s="1" t="n">
        <v>46078</v>
      </c>
      <c r="D2075" t="inlineStr">
        <is>
          <t>VÄSTERBOTTENS LÄN</t>
        </is>
      </c>
      <c r="E2075" t="inlineStr">
        <is>
          <t>SKELLEFTEÅ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63255-2025</t>
        </is>
      </c>
      <c r="B2076" s="1" t="n">
        <v>46010.54994212963</v>
      </c>
      <c r="C2076" s="1" t="n">
        <v>46078</v>
      </c>
      <c r="D2076" t="inlineStr">
        <is>
          <t>VÄSTERBOTTENS LÄN</t>
        </is>
      </c>
      <c r="E2076" t="inlineStr">
        <is>
          <t>SKELLEFTEÅ</t>
        </is>
      </c>
      <c r="G2076" t="n">
        <v>20.7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63484-2025</t>
        </is>
      </c>
      <c r="B2077" s="1" t="n">
        <v>46013.46725694444</v>
      </c>
      <c r="C2077" s="1" t="n">
        <v>46078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Holmen skog AB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40828-2021</t>
        </is>
      </c>
      <c r="B2078" s="1" t="n">
        <v>44421.39377314815</v>
      </c>
      <c r="C2078" s="1" t="n">
        <v>46078</v>
      </c>
      <c r="D2078" t="inlineStr">
        <is>
          <t>VÄSTERBOTTENS LÄN</t>
        </is>
      </c>
      <c r="E2078" t="inlineStr">
        <is>
          <t>SKELLEFTEÅ</t>
        </is>
      </c>
      <c r="G2078" t="n">
        <v>23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21495-2024</t>
        </is>
      </c>
      <c r="B2079" s="1" t="n">
        <v>45441</v>
      </c>
      <c r="C2079" s="1" t="n">
        <v>46078</v>
      </c>
      <c r="D2079" t="inlineStr">
        <is>
          <t>VÄSTERBOTTENS LÄN</t>
        </is>
      </c>
      <c r="E2079" t="inlineStr">
        <is>
          <t>SKELLEFTEÅ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70851-2021</t>
        </is>
      </c>
      <c r="B2080" s="1" t="n">
        <v>44536</v>
      </c>
      <c r="C2080" s="1" t="n">
        <v>46078</v>
      </c>
      <c r="D2080" t="inlineStr">
        <is>
          <t>VÄSTERBOTTENS LÄN</t>
        </is>
      </c>
      <c r="E2080" t="inlineStr">
        <is>
          <t>SKELLEFTEÅ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6105-2026</t>
        </is>
      </c>
      <c r="B2081" s="1" t="n">
        <v>46052.96436342593</v>
      </c>
      <c r="C2081" s="1" t="n">
        <v>46078</v>
      </c>
      <c r="D2081" t="inlineStr">
        <is>
          <t>VÄSTERBOTTENS LÄN</t>
        </is>
      </c>
      <c r="E2081" t="inlineStr">
        <is>
          <t>SKELLEFTEÅ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63207-2025</t>
        </is>
      </c>
      <c r="B2082" s="1" t="n">
        <v>46010.47295138889</v>
      </c>
      <c r="C2082" s="1" t="n">
        <v>46078</v>
      </c>
      <c r="D2082" t="inlineStr">
        <is>
          <t>VÄSTERBOTTENS LÄN</t>
        </is>
      </c>
      <c r="E2082" t="inlineStr">
        <is>
          <t>SKELLEFTEÅ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63221-2025</t>
        </is>
      </c>
      <c r="B2083" s="1" t="n">
        <v>46010.49079861111</v>
      </c>
      <c r="C2083" s="1" t="n">
        <v>46078</v>
      </c>
      <c r="D2083" t="inlineStr">
        <is>
          <t>VÄSTERBOTTENS LÄN</t>
        </is>
      </c>
      <c r="E2083" t="inlineStr">
        <is>
          <t>SKELLEFTEÅ</t>
        </is>
      </c>
      <c r="G2083" t="n">
        <v>7.5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41072-2024</t>
        </is>
      </c>
      <c r="B2084" s="1" t="n">
        <v>45559.39484953704</v>
      </c>
      <c r="C2084" s="1" t="n">
        <v>46078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Holmen skog AB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63481-2025</t>
        </is>
      </c>
      <c r="B2085" s="1" t="n">
        <v>46013.46344907407</v>
      </c>
      <c r="C2085" s="1" t="n">
        <v>46078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8.9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63495-2025</t>
        </is>
      </c>
      <c r="B2086" s="1" t="n">
        <v>46013.48013888889</v>
      </c>
      <c r="C2086" s="1" t="n">
        <v>46078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14.6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63571-2025</t>
        </is>
      </c>
      <c r="B2087" s="1" t="n">
        <v>46013.6524537037</v>
      </c>
      <c r="C2087" s="1" t="n">
        <v>46078</v>
      </c>
      <c r="D2087" t="inlineStr">
        <is>
          <t>VÄSTERBOTTENS LÄN</t>
        </is>
      </c>
      <c r="E2087" t="inlineStr">
        <is>
          <t>SKELLEFTEÅ</t>
        </is>
      </c>
      <c r="G2087" t="n">
        <v>12.9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63529-2025</t>
        </is>
      </c>
      <c r="B2088" s="1" t="n">
        <v>46013.56108796296</v>
      </c>
      <c r="C2088" s="1" t="n">
        <v>46078</v>
      </c>
      <c r="D2088" t="inlineStr">
        <is>
          <t>VÄSTERBOTTENS LÄN</t>
        </is>
      </c>
      <c r="E2088" t="inlineStr">
        <is>
          <t>SKELLEFTEÅ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56722-2025</t>
        </is>
      </c>
      <c r="B2089" s="1" t="n">
        <v>45975</v>
      </c>
      <c r="C2089" s="1" t="n">
        <v>46078</v>
      </c>
      <c r="D2089" t="inlineStr">
        <is>
          <t>VÄSTERBOTTENS LÄN</t>
        </is>
      </c>
      <c r="E2089" t="inlineStr">
        <is>
          <t>SKELLEFTEÅ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63323-2025</t>
        </is>
      </c>
      <c r="B2090" s="1" t="n">
        <v>46010.63744212963</v>
      </c>
      <c r="C2090" s="1" t="n">
        <v>46078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9.9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6275-2026</t>
        </is>
      </c>
      <c r="B2091" s="1" t="n">
        <v>46055.5090625</v>
      </c>
      <c r="C2091" s="1" t="n">
        <v>46078</v>
      </c>
      <c r="D2091" t="inlineStr">
        <is>
          <t>VÄSTERBOTTENS LÄN</t>
        </is>
      </c>
      <c r="E2091" t="inlineStr">
        <is>
          <t>SKELLEFTEÅ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32420-2022</t>
        </is>
      </c>
      <c r="B2092" s="1" t="n">
        <v>44782</v>
      </c>
      <c r="C2092" s="1" t="n">
        <v>46078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Kommuner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32427-2022</t>
        </is>
      </c>
      <c r="B2093" s="1" t="n">
        <v>44782</v>
      </c>
      <c r="C2093" s="1" t="n">
        <v>46078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Kommuner</t>
        </is>
      </c>
      <c r="G2093" t="n">
        <v>7.9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63121-2025</t>
        </is>
      </c>
      <c r="B2094" s="1" t="n">
        <v>46009.87304398148</v>
      </c>
      <c r="C2094" s="1" t="n">
        <v>46078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Sveaskog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706-2023</t>
        </is>
      </c>
      <c r="B2095" s="1" t="n">
        <v>44930</v>
      </c>
      <c r="C2095" s="1" t="n">
        <v>46078</v>
      </c>
      <c r="D2095" t="inlineStr">
        <is>
          <t>VÄSTERBOTTENS LÄN</t>
        </is>
      </c>
      <c r="E2095" t="inlineStr">
        <is>
          <t>SKELLEFTEÅ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63250-2025</t>
        </is>
      </c>
      <c r="B2096" s="1" t="n">
        <v>46010.54357638889</v>
      </c>
      <c r="C2096" s="1" t="n">
        <v>46078</v>
      </c>
      <c r="D2096" t="inlineStr">
        <is>
          <t>VÄSTERBOTTENS LÄN</t>
        </is>
      </c>
      <c r="E2096" t="inlineStr">
        <is>
          <t>SKELLEFTEÅ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36208-2022</t>
        </is>
      </c>
      <c r="B2097" s="1" t="n">
        <v>44803</v>
      </c>
      <c r="C2097" s="1" t="n">
        <v>46078</v>
      </c>
      <c r="D2097" t="inlineStr">
        <is>
          <t>VÄSTERBOTTENS LÄN</t>
        </is>
      </c>
      <c r="E2097" t="inlineStr">
        <is>
          <t>SKELLEFTEÅ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6106-2026</t>
        </is>
      </c>
      <c r="B2098" s="1" t="n">
        <v>46052.97040509259</v>
      </c>
      <c r="C2098" s="1" t="n">
        <v>46078</v>
      </c>
      <c r="D2098" t="inlineStr">
        <is>
          <t>VÄSTERBOTTENS LÄN</t>
        </is>
      </c>
      <c r="E2098" t="inlineStr">
        <is>
          <t>SKELLEFTEÅ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12798-2024</t>
        </is>
      </c>
      <c r="B2099" s="1" t="n">
        <v>45384</v>
      </c>
      <c r="C2099" s="1" t="n">
        <v>46078</v>
      </c>
      <c r="D2099" t="inlineStr">
        <is>
          <t>VÄSTERBOTTENS LÄN</t>
        </is>
      </c>
      <c r="E2099" t="inlineStr">
        <is>
          <t>SKELLEFTEÅ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29321-2024</t>
        </is>
      </c>
      <c r="B2100" s="1" t="n">
        <v>45483.4243287037</v>
      </c>
      <c r="C2100" s="1" t="n">
        <v>46078</v>
      </c>
      <c r="D2100" t="inlineStr">
        <is>
          <t>VÄSTERBOTTENS LÄN</t>
        </is>
      </c>
      <c r="E2100" t="inlineStr">
        <is>
          <t>SKELLEFTEÅ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40898-2021</t>
        </is>
      </c>
      <c r="B2101" s="1" t="n">
        <v>44421.48540509259</v>
      </c>
      <c r="C2101" s="1" t="n">
        <v>46078</v>
      </c>
      <c r="D2101" t="inlineStr">
        <is>
          <t>VÄSTERBOTTENS LÄN</t>
        </is>
      </c>
      <c r="E2101" t="inlineStr">
        <is>
          <t>SKELLEFTEÅ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33771-2023</t>
        </is>
      </c>
      <c r="B2102" s="1" t="n">
        <v>45133.49151620371</v>
      </c>
      <c r="C2102" s="1" t="n">
        <v>46078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Holmen skog AB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63685-2025</t>
        </is>
      </c>
      <c r="B2103" s="1" t="n">
        <v>46014.52336805555</v>
      </c>
      <c r="C2103" s="1" t="n">
        <v>46078</v>
      </c>
      <c r="D2103" t="inlineStr">
        <is>
          <t>VÄSTERBOTTENS LÄN</t>
        </is>
      </c>
      <c r="E2103" t="inlineStr">
        <is>
          <t>SKELLEFTEÅ</t>
        </is>
      </c>
      <c r="G2103" t="n">
        <v>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24577-2022</t>
        </is>
      </c>
      <c r="B2104" s="1" t="n">
        <v>44727</v>
      </c>
      <c r="C2104" s="1" t="n">
        <v>46078</v>
      </c>
      <c r="D2104" t="inlineStr">
        <is>
          <t>VÄSTERBOTTENS LÄN</t>
        </is>
      </c>
      <c r="E2104" t="inlineStr">
        <is>
          <t>SKELLEFTEÅ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24583-2022</t>
        </is>
      </c>
      <c r="B2105" s="1" t="n">
        <v>44727</v>
      </c>
      <c r="C2105" s="1" t="n">
        <v>46078</v>
      </c>
      <c r="D2105" t="inlineStr">
        <is>
          <t>VÄSTERBOTTENS LÄN</t>
        </is>
      </c>
      <c r="E2105" t="inlineStr">
        <is>
          <t>SKELLEFTEÅ</t>
        </is>
      </c>
      <c r="G2105" t="n">
        <v>0.2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63612-2025</t>
        </is>
      </c>
      <c r="B2106" s="1" t="n">
        <v>46014.3443287037</v>
      </c>
      <c r="C2106" s="1" t="n">
        <v>46078</v>
      </c>
      <c r="D2106" t="inlineStr">
        <is>
          <t>VÄSTERBOTTENS LÄN</t>
        </is>
      </c>
      <c r="E2106" t="inlineStr">
        <is>
          <t>SKELLEFTEÅ</t>
        </is>
      </c>
      <c r="G2106" t="n">
        <v>4.4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56806-2024</t>
        </is>
      </c>
      <c r="B2107" s="1" t="n">
        <v>45628.47483796296</v>
      </c>
      <c r="C2107" s="1" t="n">
        <v>46078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56965-2024</t>
        </is>
      </c>
      <c r="B2108" s="1" t="n">
        <v>45628.65949074074</v>
      </c>
      <c r="C2108" s="1" t="n">
        <v>46078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63598-2025</t>
        </is>
      </c>
      <c r="B2109" s="1" t="n">
        <v>46014.29841435186</v>
      </c>
      <c r="C2109" s="1" t="n">
        <v>46078</v>
      </c>
      <c r="D2109" t="inlineStr">
        <is>
          <t>VÄSTERBOTTENS LÄN</t>
        </is>
      </c>
      <c r="E2109" t="inlineStr">
        <is>
          <t>SKELLEFTEÅ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46968-2024</t>
        </is>
      </c>
      <c r="B2110" s="1" t="n">
        <v>45586</v>
      </c>
      <c r="C2110" s="1" t="n">
        <v>46078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Sveaskog</t>
        </is>
      </c>
      <c r="G2110" t="n">
        <v>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25512-2021</t>
        </is>
      </c>
      <c r="B2111" s="1" t="n">
        <v>44342</v>
      </c>
      <c r="C2111" s="1" t="n">
        <v>46078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SCA</t>
        </is>
      </c>
      <c r="G2111" t="n">
        <v>6.4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19765-2025</t>
        </is>
      </c>
      <c r="B2112" s="1" t="n">
        <v>45771.4071875</v>
      </c>
      <c r="C2112" s="1" t="n">
        <v>46078</v>
      </c>
      <c r="D2112" t="inlineStr">
        <is>
          <t>VÄSTERBOTTENS LÄN</t>
        </is>
      </c>
      <c r="E2112" t="inlineStr">
        <is>
          <t>SKELLEFTEÅ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19779-2025</t>
        </is>
      </c>
      <c r="B2113" s="1" t="n">
        <v>45771.42736111111</v>
      </c>
      <c r="C2113" s="1" t="n">
        <v>46078</v>
      </c>
      <c r="D2113" t="inlineStr">
        <is>
          <t>VÄSTERBOTTENS LÄN</t>
        </is>
      </c>
      <c r="E2113" t="inlineStr">
        <is>
          <t>SKELLEFTEÅ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30900-2024</t>
        </is>
      </c>
      <c r="B2114" s="1" t="n">
        <v>45498</v>
      </c>
      <c r="C2114" s="1" t="n">
        <v>46078</v>
      </c>
      <c r="D2114" t="inlineStr">
        <is>
          <t>VÄSTERBOTTENS LÄN</t>
        </is>
      </c>
      <c r="E2114" t="inlineStr">
        <is>
          <t>SKELLEFTEÅ</t>
        </is>
      </c>
      <c r="G2114" t="n">
        <v>17.5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14384-2025</t>
        </is>
      </c>
      <c r="B2115" s="1" t="n">
        <v>45741.41962962963</v>
      </c>
      <c r="C2115" s="1" t="n">
        <v>46078</v>
      </c>
      <c r="D2115" t="inlineStr">
        <is>
          <t>VÄSTERBOTTENS LÄN</t>
        </is>
      </c>
      <c r="E2115" t="inlineStr">
        <is>
          <t>SKELLEFTEÅ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44872-2023</t>
        </is>
      </c>
      <c r="B2116" s="1" t="n">
        <v>45190.60226851852</v>
      </c>
      <c r="C2116" s="1" t="n">
        <v>46078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63687-2025</t>
        </is>
      </c>
      <c r="B2117" s="1" t="n">
        <v>46014.53261574074</v>
      </c>
      <c r="C2117" s="1" t="n">
        <v>46078</v>
      </c>
      <c r="D2117" t="inlineStr">
        <is>
          <t>VÄSTERBOTTENS LÄN</t>
        </is>
      </c>
      <c r="E2117" t="inlineStr">
        <is>
          <t>SKELLEFTEÅ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19905-2024</t>
        </is>
      </c>
      <c r="B2118" s="1" t="n">
        <v>45433.56965277778</v>
      </c>
      <c r="C2118" s="1" t="n">
        <v>46078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Holmen skog AB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40966-2024</t>
        </is>
      </c>
      <c r="B2119" s="1" t="n">
        <v>45558.67207175926</v>
      </c>
      <c r="C2119" s="1" t="n">
        <v>46078</v>
      </c>
      <c r="D2119" t="inlineStr">
        <is>
          <t>VÄSTERBOTTENS LÄN</t>
        </is>
      </c>
      <c r="E2119" t="inlineStr">
        <is>
          <t>SKELLEFTEÅ</t>
        </is>
      </c>
      <c r="F2119" t="inlineStr">
        <is>
          <t>Holmen skog AB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53083-2022</t>
        </is>
      </c>
      <c r="B2120" s="1" t="n">
        <v>44876</v>
      </c>
      <c r="C2120" s="1" t="n">
        <v>46078</v>
      </c>
      <c r="D2120" t="inlineStr">
        <is>
          <t>VÄSTERBOTTENS LÄN</t>
        </is>
      </c>
      <c r="E2120" t="inlineStr">
        <is>
          <t>SKELLEFTEÅ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62642-2022</t>
        </is>
      </c>
      <c r="B2121" s="1" t="n">
        <v>44925</v>
      </c>
      <c r="C2121" s="1" t="n">
        <v>46078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Holmen skog AB</t>
        </is>
      </c>
      <c r="G2121" t="n">
        <v>5.7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54113-2023</t>
        </is>
      </c>
      <c r="B2122" s="1" t="n">
        <v>45232.39173611111</v>
      </c>
      <c r="C2122" s="1" t="n">
        <v>46078</v>
      </c>
      <c r="D2122" t="inlineStr">
        <is>
          <t>VÄSTERBOTTENS LÄN</t>
        </is>
      </c>
      <c r="E2122" t="inlineStr">
        <is>
          <t>SKELLEFTEÅ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17483-2023</t>
        </is>
      </c>
      <c r="B2123" s="1" t="n">
        <v>45034</v>
      </c>
      <c r="C2123" s="1" t="n">
        <v>46078</v>
      </c>
      <c r="D2123" t="inlineStr">
        <is>
          <t>VÄSTERBOTTENS LÄN</t>
        </is>
      </c>
      <c r="E2123" t="inlineStr">
        <is>
          <t>SKELLEFTEÅ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5631-2026</t>
        </is>
      </c>
      <c r="B2124" s="1" t="n">
        <v>46051</v>
      </c>
      <c r="C2124" s="1" t="n">
        <v>46078</v>
      </c>
      <c r="D2124" t="inlineStr">
        <is>
          <t>VÄSTERBOTTENS LÄN</t>
        </is>
      </c>
      <c r="E2124" t="inlineStr">
        <is>
          <t>SKELLEFTEÅ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7317-2026</t>
        </is>
      </c>
      <c r="B2125" s="1" t="n">
        <v>46058.67178240741</v>
      </c>
      <c r="C2125" s="1" t="n">
        <v>46078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Sveaskog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56923-2024</t>
        </is>
      </c>
      <c r="B2126" s="1" t="n">
        <v>45628.60170138889</v>
      </c>
      <c r="C2126" s="1" t="n">
        <v>46078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Holmen skog AB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7485-2026</t>
        </is>
      </c>
      <c r="B2127" s="1" t="n">
        <v>46059.5268287037</v>
      </c>
      <c r="C2127" s="1" t="n">
        <v>46078</v>
      </c>
      <c r="D2127" t="inlineStr">
        <is>
          <t>VÄSTERBOTTENS LÄN</t>
        </is>
      </c>
      <c r="E2127" t="inlineStr">
        <is>
          <t>SKELLEFTEÅ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7363-2026</t>
        </is>
      </c>
      <c r="B2128" s="1" t="n">
        <v>46059.3128125</v>
      </c>
      <c r="C2128" s="1" t="n">
        <v>46078</v>
      </c>
      <c r="D2128" t="inlineStr">
        <is>
          <t>VÄSTERBOTTENS LÄN</t>
        </is>
      </c>
      <c r="E2128" t="inlineStr">
        <is>
          <t>SKELLEFTEÅ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22072-2024</t>
        </is>
      </c>
      <c r="B2129" s="1" t="n">
        <v>45443.63575231482</v>
      </c>
      <c r="C2129" s="1" t="n">
        <v>46078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7435-2026</t>
        </is>
      </c>
      <c r="B2130" s="1" t="n">
        <v>46058</v>
      </c>
      <c r="C2130" s="1" t="n">
        <v>46078</v>
      </c>
      <c r="D2130" t="inlineStr">
        <is>
          <t>VÄSTERBOTTENS LÄN</t>
        </is>
      </c>
      <c r="E2130" t="inlineStr">
        <is>
          <t>SKELLEFTEÅ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7027-2025</t>
        </is>
      </c>
      <c r="B2131" s="1" t="n">
        <v>45701.63026620371</v>
      </c>
      <c r="C2131" s="1" t="n">
        <v>46078</v>
      </c>
      <c r="D2131" t="inlineStr">
        <is>
          <t>VÄSTERBOTTENS LÄN</t>
        </is>
      </c>
      <c r="E2131" t="inlineStr">
        <is>
          <t>SKELLEFTEÅ</t>
        </is>
      </c>
      <c r="G2131" t="n">
        <v>5.4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7258-2026</t>
        </is>
      </c>
      <c r="B2132" s="1" t="n">
        <v>46058.59902777777</v>
      </c>
      <c r="C2132" s="1" t="n">
        <v>46078</v>
      </c>
      <c r="D2132" t="inlineStr">
        <is>
          <t>VÄSTERBOTTENS LÄN</t>
        </is>
      </c>
      <c r="E2132" t="inlineStr">
        <is>
          <t>SKELLEFTEÅ</t>
        </is>
      </c>
      <c r="G2132" t="n">
        <v>12.9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62504-2023</t>
        </is>
      </c>
      <c r="B2133" s="1" t="n">
        <v>45268</v>
      </c>
      <c r="C2133" s="1" t="n">
        <v>46078</v>
      </c>
      <c r="D2133" t="inlineStr">
        <is>
          <t>VÄSTERBOTTENS LÄN</t>
        </is>
      </c>
      <c r="E2133" t="inlineStr">
        <is>
          <t>SKELLEFTEÅ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7240-2026</t>
        </is>
      </c>
      <c r="B2134" s="1" t="n">
        <v>46058.58349537037</v>
      </c>
      <c r="C2134" s="1" t="n">
        <v>46078</v>
      </c>
      <c r="D2134" t="inlineStr">
        <is>
          <t>VÄSTERBOTTENS LÄN</t>
        </is>
      </c>
      <c r="E2134" t="inlineStr">
        <is>
          <t>SKELLEFTEÅ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34622-2024</t>
        </is>
      </c>
      <c r="B2135" s="1" t="n">
        <v>45526.44155092593</v>
      </c>
      <c r="C2135" s="1" t="n">
        <v>46078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Holmen skog AB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7173-2026</t>
        </is>
      </c>
      <c r="B2136" s="1" t="n">
        <v>46058.46115740741</v>
      </c>
      <c r="C2136" s="1" t="n">
        <v>46078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21077-2024</t>
        </is>
      </c>
      <c r="B2137" s="1" t="n">
        <v>45439.92695601852</v>
      </c>
      <c r="C2137" s="1" t="n">
        <v>46078</v>
      </c>
      <c r="D2137" t="inlineStr">
        <is>
          <t>VÄSTERBOTTENS LÄN</t>
        </is>
      </c>
      <c r="E2137" t="inlineStr">
        <is>
          <t>SKELLEFTEÅ</t>
        </is>
      </c>
      <c r="G2137" t="n">
        <v>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7237-2026</t>
        </is>
      </c>
      <c r="B2138" s="1" t="n">
        <v>46058.58234953704</v>
      </c>
      <c r="C2138" s="1" t="n">
        <v>46078</v>
      </c>
      <c r="D2138" t="inlineStr">
        <is>
          <t>VÄSTERBOTTENS LÄN</t>
        </is>
      </c>
      <c r="E2138" t="inlineStr">
        <is>
          <t>SKELLEFTEÅ</t>
        </is>
      </c>
      <c r="G2138" t="n">
        <v>6.8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27627-2024</t>
        </is>
      </c>
      <c r="B2139" s="1" t="n">
        <v>45474.9281712963</v>
      </c>
      <c r="C2139" s="1" t="n">
        <v>46078</v>
      </c>
      <c r="D2139" t="inlineStr">
        <is>
          <t>VÄSTERBOTTENS LÄN</t>
        </is>
      </c>
      <c r="E2139" t="inlineStr">
        <is>
          <t>SKELLEFTEÅ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7414-2026</t>
        </is>
      </c>
      <c r="B2140" s="1" t="n">
        <v>46058</v>
      </c>
      <c r="C2140" s="1" t="n">
        <v>46078</v>
      </c>
      <c r="D2140" t="inlineStr">
        <is>
          <t>VÄSTERBOTTENS LÄN</t>
        </is>
      </c>
      <c r="E2140" t="inlineStr">
        <is>
          <t>SKELLEFTEÅ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44616-2022</t>
        </is>
      </c>
      <c r="B2141" s="1" t="n">
        <v>44839</v>
      </c>
      <c r="C2141" s="1" t="n">
        <v>46078</v>
      </c>
      <c r="D2141" t="inlineStr">
        <is>
          <t>VÄSTERBOTTENS LÄN</t>
        </is>
      </c>
      <c r="E2141" t="inlineStr">
        <is>
          <t>SKELLEFTEÅ</t>
        </is>
      </c>
      <c r="G2141" t="n">
        <v>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7432-2026</t>
        </is>
      </c>
      <c r="B2142" s="1" t="n">
        <v>46058</v>
      </c>
      <c r="C2142" s="1" t="n">
        <v>46078</v>
      </c>
      <c r="D2142" t="inlineStr">
        <is>
          <t>VÄSTERBOTTENS LÄN</t>
        </is>
      </c>
      <c r="E2142" t="inlineStr">
        <is>
          <t>SKELLEFTEÅ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7366-2026</t>
        </is>
      </c>
      <c r="B2143" s="1" t="n">
        <v>46059.32621527778</v>
      </c>
      <c r="C2143" s="1" t="n">
        <v>46078</v>
      </c>
      <c r="D2143" t="inlineStr">
        <is>
          <t>VÄSTERBOTTENS LÄN</t>
        </is>
      </c>
      <c r="E2143" t="inlineStr">
        <is>
          <t>SKELLEFTEÅ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7315-2026</t>
        </is>
      </c>
      <c r="B2144" s="1" t="n">
        <v>46058.66857638889</v>
      </c>
      <c r="C2144" s="1" t="n">
        <v>46078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Sveaskog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45389-2021</t>
        </is>
      </c>
      <c r="B2145" s="1" t="n">
        <v>44440</v>
      </c>
      <c r="C2145" s="1" t="n">
        <v>46078</v>
      </c>
      <c r="D2145" t="inlineStr">
        <is>
          <t>VÄSTERBOTTENS LÄN</t>
        </is>
      </c>
      <c r="E2145" t="inlineStr">
        <is>
          <t>SKELLEFTEÅ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36895-2024</t>
        </is>
      </c>
      <c r="B2146" s="1" t="n">
        <v>45538.61855324074</v>
      </c>
      <c r="C2146" s="1" t="n">
        <v>46078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Holmen skog AB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41642-2024</t>
        </is>
      </c>
      <c r="B2147" s="1" t="n">
        <v>45560.63359953704</v>
      </c>
      <c r="C2147" s="1" t="n">
        <v>46078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Holmen skog AB</t>
        </is>
      </c>
      <c r="G2147" t="n">
        <v>4.5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7677-2026</t>
        </is>
      </c>
      <c r="B2148" s="1" t="n">
        <v>46062.42768518518</v>
      </c>
      <c r="C2148" s="1" t="n">
        <v>46078</v>
      </c>
      <c r="D2148" t="inlineStr">
        <is>
          <t>VÄSTERBOTTENS LÄN</t>
        </is>
      </c>
      <c r="E2148" t="inlineStr">
        <is>
          <t>SKELLEFTEÅ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1933-2023</t>
        </is>
      </c>
      <c r="B2149" s="1" t="n">
        <v>44938</v>
      </c>
      <c r="C2149" s="1" t="n">
        <v>46078</v>
      </c>
      <c r="D2149" t="inlineStr">
        <is>
          <t>VÄSTERBOTTENS LÄN</t>
        </is>
      </c>
      <c r="E2149" t="inlineStr">
        <is>
          <t>SKELLEFTEÅ</t>
        </is>
      </c>
      <c r="G2149" t="n">
        <v>4.6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47014-2024</t>
        </is>
      </c>
      <c r="B2150" s="1" t="n">
        <v>45586.38862268518</v>
      </c>
      <c r="C2150" s="1" t="n">
        <v>46078</v>
      </c>
      <c r="D2150" t="inlineStr">
        <is>
          <t>VÄSTERBOTTENS LÄN</t>
        </is>
      </c>
      <c r="E2150" t="inlineStr">
        <is>
          <t>SKELLEFTEÅ</t>
        </is>
      </c>
      <c r="G2150" t="n">
        <v>14.7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63993-2025</t>
        </is>
      </c>
      <c r="B2151" s="1" t="n">
        <v>46021.37748842593</v>
      </c>
      <c r="C2151" s="1" t="n">
        <v>46078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Sveaskog</t>
        </is>
      </c>
      <c r="G2151" t="n">
        <v>5.5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34063-2023</t>
        </is>
      </c>
      <c r="B2152" s="1" t="n">
        <v>45135.4729050926</v>
      </c>
      <c r="C2152" s="1" t="n">
        <v>46078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9.5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58926-2022</t>
        </is>
      </c>
      <c r="B2153" s="1" t="n">
        <v>44896</v>
      </c>
      <c r="C2153" s="1" t="n">
        <v>46078</v>
      </c>
      <c r="D2153" t="inlineStr">
        <is>
          <t>VÄSTERBOTTENS LÄN</t>
        </is>
      </c>
      <c r="E2153" t="inlineStr">
        <is>
          <t>SKELLEFTEÅ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19839-2024</t>
        </is>
      </c>
      <c r="B2154" s="1" t="n">
        <v>45433</v>
      </c>
      <c r="C2154" s="1" t="n">
        <v>46078</v>
      </c>
      <c r="D2154" t="inlineStr">
        <is>
          <t>VÄSTERBOTTENS LÄN</t>
        </is>
      </c>
      <c r="E2154" t="inlineStr">
        <is>
          <t>SKELLEFTEÅ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21395-2022</t>
        </is>
      </c>
      <c r="B2155" s="1" t="n">
        <v>44705.92563657407</v>
      </c>
      <c r="C2155" s="1" t="n">
        <v>46078</v>
      </c>
      <c r="D2155" t="inlineStr">
        <is>
          <t>VÄSTERBOTTENS LÄN</t>
        </is>
      </c>
      <c r="E2155" t="inlineStr">
        <is>
          <t>SKELLEFTEÅ</t>
        </is>
      </c>
      <c r="G2155" t="n">
        <v>4.8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11260-2022</t>
        </is>
      </c>
      <c r="B2156" s="1" t="n">
        <v>44629</v>
      </c>
      <c r="C2156" s="1" t="n">
        <v>46078</v>
      </c>
      <c r="D2156" t="inlineStr">
        <is>
          <t>VÄSTERBOTTENS LÄN</t>
        </is>
      </c>
      <c r="E2156" t="inlineStr">
        <is>
          <t>SKELLEFTEÅ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5959-2023</t>
        </is>
      </c>
      <c r="B2157" s="1" t="n">
        <v>44963.95042824074</v>
      </c>
      <c r="C2157" s="1" t="n">
        <v>46078</v>
      </c>
      <c r="D2157" t="inlineStr">
        <is>
          <t>VÄSTERBOTTENS LÄN</t>
        </is>
      </c>
      <c r="E2157" t="inlineStr">
        <is>
          <t>SKELLEFTEÅ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64017-2025</t>
        </is>
      </c>
      <c r="B2158" s="1" t="n">
        <v>46021.45047453704</v>
      </c>
      <c r="C2158" s="1" t="n">
        <v>46078</v>
      </c>
      <c r="D2158" t="inlineStr">
        <is>
          <t>VÄSTERBOTTENS LÄN</t>
        </is>
      </c>
      <c r="E2158" t="inlineStr">
        <is>
          <t>SKELLEFTEÅ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34713-2024</t>
        </is>
      </c>
      <c r="B2159" s="1" t="n">
        <v>45526.56255787037</v>
      </c>
      <c r="C2159" s="1" t="n">
        <v>46078</v>
      </c>
      <c r="D2159" t="inlineStr">
        <is>
          <t>VÄSTERBOTTENS LÄN</t>
        </is>
      </c>
      <c r="E2159" t="inlineStr">
        <is>
          <t>SKELLEFTEÅ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8689-2025</t>
        </is>
      </c>
      <c r="B2160" s="1" t="n">
        <v>45712</v>
      </c>
      <c r="C2160" s="1" t="n">
        <v>46078</v>
      </c>
      <c r="D2160" t="inlineStr">
        <is>
          <t>VÄSTERBOTTENS LÄN</t>
        </is>
      </c>
      <c r="E2160" t="inlineStr">
        <is>
          <t>SKELLEFTEÅ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7630-2026</t>
        </is>
      </c>
      <c r="B2161" s="1" t="n">
        <v>46062.36101851852</v>
      </c>
      <c r="C2161" s="1" t="n">
        <v>46078</v>
      </c>
      <c r="D2161" t="inlineStr">
        <is>
          <t>VÄSTERBOTTENS LÄN</t>
        </is>
      </c>
      <c r="E2161" t="inlineStr">
        <is>
          <t>SKELLEFTEÅ</t>
        </is>
      </c>
      <c r="G2161" t="n">
        <v>6.1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7637-2026</t>
        </is>
      </c>
      <c r="B2162" s="1" t="n">
        <v>46062.36770833333</v>
      </c>
      <c r="C2162" s="1" t="n">
        <v>46078</v>
      </c>
      <c r="D2162" t="inlineStr">
        <is>
          <t>VÄSTERBOTTENS LÄN</t>
        </is>
      </c>
      <c r="E2162" t="inlineStr">
        <is>
          <t>SKELLEFTEÅ</t>
        </is>
      </c>
      <c r="G2162" t="n">
        <v>8.699999999999999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27631-2022</t>
        </is>
      </c>
      <c r="B2163" s="1" t="n">
        <v>44743</v>
      </c>
      <c r="C2163" s="1" t="n">
        <v>46078</v>
      </c>
      <c r="D2163" t="inlineStr">
        <is>
          <t>VÄSTERBOTTENS LÄN</t>
        </is>
      </c>
      <c r="E2163" t="inlineStr">
        <is>
          <t>SKELLEFTEÅ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56203-2023</t>
        </is>
      </c>
      <c r="B2164" s="1" t="n">
        <v>45240</v>
      </c>
      <c r="C2164" s="1" t="n">
        <v>46078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Holmen skog AB</t>
        </is>
      </c>
      <c r="G2164" t="n">
        <v>29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64020-2025</t>
        </is>
      </c>
      <c r="B2165" s="1" t="n">
        <v>46021.46155092592</v>
      </c>
      <c r="C2165" s="1" t="n">
        <v>46078</v>
      </c>
      <c r="D2165" t="inlineStr">
        <is>
          <t>VÄSTERBOTTENS LÄN</t>
        </is>
      </c>
      <c r="E2165" t="inlineStr">
        <is>
          <t>SKELLEFTEÅ</t>
        </is>
      </c>
      <c r="G2165" t="n">
        <v>4.5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46181-2022</t>
        </is>
      </c>
      <c r="B2166" s="1" t="n">
        <v>44845</v>
      </c>
      <c r="C2166" s="1" t="n">
        <v>46078</v>
      </c>
      <c r="D2166" t="inlineStr">
        <is>
          <t>VÄSTERBOTTENS LÄN</t>
        </is>
      </c>
      <c r="E2166" t="inlineStr">
        <is>
          <t>SKELLEFTEÅ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53903-2022</t>
        </is>
      </c>
      <c r="B2167" s="1" t="n">
        <v>44880</v>
      </c>
      <c r="C2167" s="1" t="n">
        <v>46078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Sveaskog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36779-2024</t>
        </is>
      </c>
      <c r="B2168" s="1" t="n">
        <v>45538.41059027778</v>
      </c>
      <c r="C2168" s="1" t="n">
        <v>46078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45011-2022</t>
        </is>
      </c>
      <c r="B2169" s="1" t="n">
        <v>44840</v>
      </c>
      <c r="C2169" s="1" t="n">
        <v>46078</v>
      </c>
      <c r="D2169" t="inlineStr">
        <is>
          <t>VÄSTERBOTTENS LÄN</t>
        </is>
      </c>
      <c r="E2169" t="inlineStr">
        <is>
          <t>SKELLEFTEÅ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41231-2024</t>
        </is>
      </c>
      <c r="B2170" s="1" t="n">
        <v>45559.56412037037</v>
      </c>
      <c r="C2170" s="1" t="n">
        <v>46078</v>
      </c>
      <c r="D2170" t="inlineStr">
        <is>
          <t>VÄSTERBOTTENS LÄN</t>
        </is>
      </c>
      <c r="E2170" t="inlineStr">
        <is>
          <t>SKELLEFTEÅ</t>
        </is>
      </c>
      <c r="G2170" t="n">
        <v>4.2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64141-2025</t>
        </is>
      </c>
      <c r="B2171" s="1" t="n">
        <v>46022.43075231482</v>
      </c>
      <c r="C2171" s="1" t="n">
        <v>46078</v>
      </c>
      <c r="D2171" t="inlineStr">
        <is>
          <t>VÄSTERBOTTENS LÄN</t>
        </is>
      </c>
      <c r="E2171" t="inlineStr">
        <is>
          <t>SKELLEFTEÅ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52999-2024</t>
        </is>
      </c>
      <c r="B2172" s="1" t="n">
        <v>45611.38667824074</v>
      </c>
      <c r="C2172" s="1" t="n">
        <v>46078</v>
      </c>
      <c r="D2172" t="inlineStr">
        <is>
          <t>VÄSTERBOTTENS LÄN</t>
        </is>
      </c>
      <c r="E2172" t="inlineStr">
        <is>
          <t>SKELLEFTEÅ</t>
        </is>
      </c>
      <c r="G2172" t="n">
        <v>6.3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40442-2023</t>
        </is>
      </c>
      <c r="B2173" s="1" t="n">
        <v>45170.27015046297</v>
      </c>
      <c r="C2173" s="1" t="n">
        <v>46078</v>
      </c>
      <c r="D2173" t="inlineStr">
        <is>
          <t>VÄSTERBOTTENS LÄN</t>
        </is>
      </c>
      <c r="E2173" t="inlineStr">
        <is>
          <t>SKELLEFTEÅ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8352-2026</t>
        </is>
      </c>
      <c r="B2174" s="1" t="n">
        <v>46064.64462962963</v>
      </c>
      <c r="C2174" s="1" t="n">
        <v>46078</v>
      </c>
      <c r="D2174" t="inlineStr">
        <is>
          <t>VÄSTERBOTTENS LÄN</t>
        </is>
      </c>
      <c r="E2174" t="inlineStr">
        <is>
          <t>SKELLEFTEÅ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60614-2023</t>
        </is>
      </c>
      <c r="B2175" s="1" t="n">
        <v>45260</v>
      </c>
      <c r="C2175" s="1" t="n">
        <v>46078</v>
      </c>
      <c r="D2175" t="inlineStr">
        <is>
          <t>VÄSTERBOTTENS LÄN</t>
        </is>
      </c>
      <c r="E2175" t="inlineStr">
        <is>
          <t>SKELLEFTEÅ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15825-2023</t>
        </is>
      </c>
      <c r="B2176" s="1" t="n">
        <v>45021.94521990741</v>
      </c>
      <c r="C2176" s="1" t="n">
        <v>46078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SCA</t>
        </is>
      </c>
      <c r="G2176" t="n">
        <v>16.8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8144-2026</t>
        </is>
      </c>
      <c r="B2177" s="1" t="n">
        <v>46064.34444444445</v>
      </c>
      <c r="C2177" s="1" t="n">
        <v>46078</v>
      </c>
      <c r="D2177" t="inlineStr">
        <is>
          <t>VÄSTERBOTTENS LÄN</t>
        </is>
      </c>
      <c r="E2177" t="inlineStr">
        <is>
          <t>SKELLEFTEÅ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48202-2024</t>
        </is>
      </c>
      <c r="B2178" s="1" t="n">
        <v>45589</v>
      </c>
      <c r="C2178" s="1" t="n">
        <v>46078</v>
      </c>
      <c r="D2178" t="inlineStr">
        <is>
          <t>VÄSTERBOTTENS LÄN</t>
        </is>
      </c>
      <c r="E2178" t="inlineStr">
        <is>
          <t>SKELLEFTEÅ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36201-2024</t>
        </is>
      </c>
      <c r="B2179" s="1" t="n">
        <v>45534.43785879629</v>
      </c>
      <c r="C2179" s="1" t="n">
        <v>46078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Holmen skog AB</t>
        </is>
      </c>
      <c r="G2179" t="n">
        <v>6.2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12763-2024</t>
        </is>
      </c>
      <c r="B2180" s="1" t="n">
        <v>45384</v>
      </c>
      <c r="C2180" s="1" t="n">
        <v>46078</v>
      </c>
      <c r="D2180" t="inlineStr">
        <is>
          <t>VÄSTERBOTTENS LÄN</t>
        </is>
      </c>
      <c r="E2180" t="inlineStr">
        <is>
          <t>SKELLEFTEÅ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38577-2023</t>
        </is>
      </c>
      <c r="B2181" s="1" t="n">
        <v>45161</v>
      </c>
      <c r="C2181" s="1" t="n">
        <v>46078</v>
      </c>
      <c r="D2181" t="inlineStr">
        <is>
          <t>VÄSTERBOTTENS LÄN</t>
        </is>
      </c>
      <c r="E2181" t="inlineStr">
        <is>
          <t>SKELLEFTEÅ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47534-2023</t>
        </is>
      </c>
      <c r="B2182" s="1" t="n">
        <v>45203.36484953704</v>
      </c>
      <c r="C2182" s="1" t="n">
        <v>46078</v>
      </c>
      <c r="D2182" t="inlineStr">
        <is>
          <t>VÄSTERBOTTENS LÄN</t>
        </is>
      </c>
      <c r="E2182" t="inlineStr">
        <is>
          <t>SKELLEFTEÅ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61584-2024</t>
        </is>
      </c>
      <c r="B2183" s="1" t="n">
        <v>45646.62739583333</v>
      </c>
      <c r="C2183" s="1" t="n">
        <v>46078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Sveaskog</t>
        </is>
      </c>
      <c r="G2183" t="n">
        <v>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2486-2022</t>
        </is>
      </c>
      <c r="B2184" s="1" t="n">
        <v>44579</v>
      </c>
      <c r="C2184" s="1" t="n">
        <v>46078</v>
      </c>
      <c r="D2184" t="inlineStr">
        <is>
          <t>VÄSTERBOTTENS LÄN</t>
        </is>
      </c>
      <c r="E2184" t="inlineStr">
        <is>
          <t>SKELLEFTEÅ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46731-2024</t>
        </is>
      </c>
      <c r="B2185" s="1" t="n">
        <v>45583</v>
      </c>
      <c r="C2185" s="1" t="n">
        <v>46078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Holmen skog AB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15740-2022</t>
        </is>
      </c>
      <c r="B2186" s="1" t="n">
        <v>44663.51881944444</v>
      </c>
      <c r="C2186" s="1" t="n">
        <v>46078</v>
      </c>
      <c r="D2186" t="inlineStr">
        <is>
          <t>VÄSTERBOTTENS LÄN</t>
        </is>
      </c>
      <c r="E2186" t="inlineStr">
        <is>
          <t>SKELLEFTEÅ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16653-2022</t>
        </is>
      </c>
      <c r="B2187" s="1" t="n">
        <v>44672</v>
      </c>
      <c r="C2187" s="1" t="n">
        <v>46078</v>
      </c>
      <c r="D2187" t="inlineStr">
        <is>
          <t>VÄSTERBOTTENS LÄN</t>
        </is>
      </c>
      <c r="E2187" t="inlineStr">
        <is>
          <t>SKELLEFTEÅ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65011-2023</t>
        </is>
      </c>
      <c r="B2188" s="1" t="n">
        <v>45287.38302083333</v>
      </c>
      <c r="C2188" s="1" t="n">
        <v>46078</v>
      </c>
      <c r="D2188" t="inlineStr">
        <is>
          <t>VÄSTERBOTTENS LÄN</t>
        </is>
      </c>
      <c r="E2188" t="inlineStr">
        <is>
          <t>SKELLEFTEÅ</t>
        </is>
      </c>
      <c r="G2188" t="n">
        <v>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39553-2021</t>
        </is>
      </c>
      <c r="B2189" s="1" t="n">
        <v>44416</v>
      </c>
      <c r="C2189" s="1" t="n">
        <v>46078</v>
      </c>
      <c r="D2189" t="inlineStr">
        <is>
          <t>VÄSTERBOTTENS LÄN</t>
        </is>
      </c>
      <c r="E2189" t="inlineStr">
        <is>
          <t>SKELLEFTEÅ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114-2026</t>
        </is>
      </c>
      <c r="B2190" s="1" t="n">
        <v>46024.55775462963</v>
      </c>
      <c r="C2190" s="1" t="n">
        <v>46078</v>
      </c>
      <c r="D2190" t="inlineStr">
        <is>
          <t>VÄSTERBOTTENS LÄN</t>
        </is>
      </c>
      <c r="E2190" t="inlineStr">
        <is>
          <t>SKELLEFTEÅ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14983-2023</t>
        </is>
      </c>
      <c r="B2191" s="1" t="n">
        <v>45014</v>
      </c>
      <c r="C2191" s="1" t="n">
        <v>46078</v>
      </c>
      <c r="D2191" t="inlineStr">
        <is>
          <t>VÄSTERBOTTENS LÄN</t>
        </is>
      </c>
      <c r="E2191" t="inlineStr">
        <is>
          <t>SKELLEFTEÅ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56435-2022</t>
        </is>
      </c>
      <c r="B2192" s="1" t="n">
        <v>44892.39662037037</v>
      </c>
      <c r="C2192" s="1" t="n">
        <v>46078</v>
      </c>
      <c r="D2192" t="inlineStr">
        <is>
          <t>VÄSTERBOTTENS LÄN</t>
        </is>
      </c>
      <c r="E2192" t="inlineStr">
        <is>
          <t>SKELLEFTEÅ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16183-2023</t>
        </is>
      </c>
      <c r="B2193" s="1" t="n">
        <v>45027</v>
      </c>
      <c r="C2193" s="1" t="n">
        <v>46078</v>
      </c>
      <c r="D2193" t="inlineStr">
        <is>
          <t>VÄSTERBOTTENS LÄN</t>
        </is>
      </c>
      <c r="E2193" t="inlineStr">
        <is>
          <t>SKELLEFTEÅ</t>
        </is>
      </c>
      <c r="G2193" t="n">
        <v>24.8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3045-2024</t>
        </is>
      </c>
      <c r="B2194" s="1" t="n">
        <v>45316</v>
      </c>
      <c r="C2194" s="1" t="n">
        <v>46078</v>
      </c>
      <c r="D2194" t="inlineStr">
        <is>
          <t>VÄSTERBOTTENS LÄN</t>
        </is>
      </c>
      <c r="E2194" t="inlineStr">
        <is>
          <t>SKELLEFTEÅ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14238-2025</t>
        </is>
      </c>
      <c r="B2195" s="1" t="n">
        <v>45740.6105787037</v>
      </c>
      <c r="C2195" s="1" t="n">
        <v>46078</v>
      </c>
      <c r="D2195" t="inlineStr">
        <is>
          <t>VÄSTERBOTTENS LÄN</t>
        </is>
      </c>
      <c r="E2195" t="inlineStr">
        <is>
          <t>SKELLEFTEÅ</t>
        </is>
      </c>
      <c r="G2195" t="n">
        <v>10.1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42109-2022</t>
        </is>
      </c>
      <c r="B2196" s="1" t="n">
        <v>44827</v>
      </c>
      <c r="C2196" s="1" t="n">
        <v>46078</v>
      </c>
      <c r="D2196" t="inlineStr">
        <is>
          <t>VÄSTERBOTTENS LÄN</t>
        </is>
      </c>
      <c r="E2196" t="inlineStr">
        <is>
          <t>SKELLEFTEÅ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36792-2024</t>
        </is>
      </c>
      <c r="B2197" s="1" t="n">
        <v>45538.44001157407</v>
      </c>
      <c r="C2197" s="1" t="n">
        <v>46078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Sveaskog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36794-2024</t>
        </is>
      </c>
      <c r="B2198" s="1" t="n">
        <v>45538.44354166667</v>
      </c>
      <c r="C2198" s="1" t="n">
        <v>46078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12515-2024</t>
        </is>
      </c>
      <c r="B2199" s="1" t="n">
        <v>45379</v>
      </c>
      <c r="C2199" s="1" t="n">
        <v>46078</v>
      </c>
      <c r="D2199" t="inlineStr">
        <is>
          <t>VÄSTERBOTTENS LÄN</t>
        </is>
      </c>
      <c r="E2199" t="inlineStr">
        <is>
          <t>SKELLEFTEÅ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3852-2023</t>
        </is>
      </c>
      <c r="B2200" s="1" t="n">
        <v>44950</v>
      </c>
      <c r="C2200" s="1" t="n">
        <v>46078</v>
      </c>
      <c r="D2200" t="inlineStr">
        <is>
          <t>VÄSTERBOTTENS LÄN</t>
        </is>
      </c>
      <c r="E2200" t="inlineStr">
        <is>
          <t>SKELLEFTEÅ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58960-2024</t>
        </is>
      </c>
      <c r="B2201" s="1" t="n">
        <v>45635</v>
      </c>
      <c r="C2201" s="1" t="n">
        <v>46078</v>
      </c>
      <c r="D2201" t="inlineStr">
        <is>
          <t>VÄSTERBOTTENS LÄN</t>
        </is>
      </c>
      <c r="E2201" t="inlineStr">
        <is>
          <t>SKELLEFTEÅ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22121-2023</t>
        </is>
      </c>
      <c r="B2202" s="1" t="n">
        <v>45069.57740740741</v>
      </c>
      <c r="C2202" s="1" t="n">
        <v>46078</v>
      </c>
      <c r="D2202" t="inlineStr">
        <is>
          <t>VÄSTERBOTTENS LÄN</t>
        </is>
      </c>
      <c r="E2202" t="inlineStr">
        <is>
          <t>SKELLEFTEÅ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30395-2024</t>
        </is>
      </c>
      <c r="B2203" s="1" t="n">
        <v>45491</v>
      </c>
      <c r="C2203" s="1" t="n">
        <v>46078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Holmen skog AB</t>
        </is>
      </c>
      <c r="G2203" t="n">
        <v>15.8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702-2023</t>
        </is>
      </c>
      <c r="B2204" s="1" t="n">
        <v>44930.92688657407</v>
      </c>
      <c r="C2204" s="1" t="n">
        <v>46078</v>
      </c>
      <c r="D2204" t="inlineStr">
        <is>
          <t>VÄSTERBOTTENS LÄN</t>
        </is>
      </c>
      <c r="E2204" t="inlineStr">
        <is>
          <t>SKELLEFTEÅ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17086-2023</t>
        </is>
      </c>
      <c r="B2205" s="1" t="n">
        <v>45030</v>
      </c>
      <c r="C2205" s="1" t="n">
        <v>46078</v>
      </c>
      <c r="D2205" t="inlineStr">
        <is>
          <t>VÄSTERBOTTENS LÄN</t>
        </is>
      </c>
      <c r="E2205" t="inlineStr">
        <is>
          <t>SKELLEFTEÅ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6416-2026</t>
        </is>
      </c>
      <c r="B2206" s="1" t="n">
        <v>46055</v>
      </c>
      <c r="C2206" s="1" t="n">
        <v>46078</v>
      </c>
      <c r="D2206" t="inlineStr">
        <is>
          <t>VÄSTERBOTTENS LÄN</t>
        </is>
      </c>
      <c r="E2206" t="inlineStr">
        <is>
          <t>SKELLEFTEÅ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60585-2022</t>
        </is>
      </c>
      <c r="B2207" s="1" t="n">
        <v>44911.58148148148</v>
      </c>
      <c r="C2207" s="1" t="n">
        <v>46078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Sveaskog</t>
        </is>
      </c>
      <c r="G2207" t="n">
        <v>6.1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56500-2024</t>
        </is>
      </c>
      <c r="B2208" s="1" t="n">
        <v>45625.49765046296</v>
      </c>
      <c r="C2208" s="1" t="n">
        <v>46078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56501-2024</t>
        </is>
      </c>
      <c r="B2209" s="1" t="n">
        <v>45625.49784722222</v>
      </c>
      <c r="C2209" s="1" t="n">
        <v>46078</v>
      </c>
      <c r="D2209" t="inlineStr">
        <is>
          <t>VÄSTERBOTTENS LÄN</t>
        </is>
      </c>
      <c r="E2209" t="inlineStr">
        <is>
          <t>SKELLEFTEÅ</t>
        </is>
      </c>
      <c r="G2209" t="n">
        <v>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8717-2026</t>
        </is>
      </c>
      <c r="B2210" s="1" t="n">
        <v>46065</v>
      </c>
      <c r="C2210" s="1" t="n">
        <v>46078</v>
      </c>
      <c r="D2210" t="inlineStr">
        <is>
          <t>VÄSTERBOTTENS LÄN</t>
        </is>
      </c>
      <c r="E2210" t="inlineStr">
        <is>
          <t>SKELLEFTEÅ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21812-2024</t>
        </is>
      </c>
      <c r="B2211" s="1" t="n">
        <v>45442.67990740741</v>
      </c>
      <c r="C2211" s="1" t="n">
        <v>46078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Holmen skog AB</t>
        </is>
      </c>
      <c r="G2211" t="n">
        <v>10.1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2877-2026</t>
        </is>
      </c>
      <c r="B2212" s="1" t="n">
        <v>46038</v>
      </c>
      <c r="C2212" s="1" t="n">
        <v>46078</v>
      </c>
      <c r="D2212" t="inlineStr">
        <is>
          <t>VÄSTERBOTTENS LÄN</t>
        </is>
      </c>
      <c r="E2212" t="inlineStr">
        <is>
          <t>SKELLEFTEÅ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45850-2024</t>
        </is>
      </c>
      <c r="B2213" s="1" t="n">
        <v>45580</v>
      </c>
      <c r="C2213" s="1" t="n">
        <v>46078</v>
      </c>
      <c r="D2213" t="inlineStr">
        <is>
          <t>VÄSTERBOTTENS LÄN</t>
        </is>
      </c>
      <c r="E2213" t="inlineStr">
        <is>
          <t>SKELLEFTEÅ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46482-2024</t>
        </is>
      </c>
      <c r="B2214" s="1" t="n">
        <v>45582.57383101852</v>
      </c>
      <c r="C2214" s="1" t="n">
        <v>46078</v>
      </c>
      <c r="D2214" t="inlineStr">
        <is>
          <t>VÄSTERBOTTENS LÄN</t>
        </is>
      </c>
      <c r="E2214" t="inlineStr">
        <is>
          <t>SKELLEFTEÅ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5470-2023</t>
        </is>
      </c>
      <c r="B2215" s="1" t="n">
        <v>44960</v>
      </c>
      <c r="C2215" s="1" t="n">
        <v>46078</v>
      </c>
      <c r="D2215" t="inlineStr">
        <is>
          <t>VÄSTERBOTTENS LÄN</t>
        </is>
      </c>
      <c r="E2215" t="inlineStr">
        <is>
          <t>SKELLEFTEÅ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464-2026</t>
        </is>
      </c>
      <c r="B2216" s="1" t="n">
        <v>46029.38431712963</v>
      </c>
      <c r="C2216" s="1" t="n">
        <v>46078</v>
      </c>
      <c r="D2216" t="inlineStr">
        <is>
          <t>VÄSTERBOTTENS LÄN</t>
        </is>
      </c>
      <c r="E2216" t="inlineStr">
        <is>
          <t>SKELLEFTEÅ</t>
        </is>
      </c>
      <c r="G2216" t="n">
        <v>4.7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31558-2023</t>
        </is>
      </c>
      <c r="B2217" s="1" t="n">
        <v>45104</v>
      </c>
      <c r="C2217" s="1" t="n">
        <v>46078</v>
      </c>
      <c r="D2217" t="inlineStr">
        <is>
          <t>VÄSTERBOTTENS LÄN</t>
        </is>
      </c>
      <c r="E2217" t="inlineStr">
        <is>
          <t>SKELLEFTEÅ</t>
        </is>
      </c>
      <c r="G2217" t="n">
        <v>6.2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33289-2023</t>
        </is>
      </c>
      <c r="B2218" s="1" t="n">
        <v>45116</v>
      </c>
      <c r="C2218" s="1" t="n">
        <v>46078</v>
      </c>
      <c r="D2218" t="inlineStr">
        <is>
          <t>VÄSTERBOTTENS LÄN</t>
        </is>
      </c>
      <c r="E2218" t="inlineStr">
        <is>
          <t>SKELLEFTEÅ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50488-2023</t>
        </is>
      </c>
      <c r="B2219" s="1" t="n">
        <v>45216</v>
      </c>
      <c r="C2219" s="1" t="n">
        <v>46078</v>
      </c>
      <c r="D2219" t="inlineStr">
        <is>
          <t>VÄSTERBOTTENS LÄN</t>
        </is>
      </c>
      <c r="E2219" t="inlineStr">
        <is>
          <t>SKELLEFTEÅ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31871-2024</t>
        </is>
      </c>
      <c r="B2220" s="1" t="n">
        <v>45509.92899305555</v>
      </c>
      <c r="C2220" s="1" t="n">
        <v>46078</v>
      </c>
      <c r="D2220" t="inlineStr">
        <is>
          <t>VÄSTERBOTTENS LÄN</t>
        </is>
      </c>
      <c r="E2220" t="inlineStr">
        <is>
          <t>SKELLEFTEÅ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9256-2026</t>
        </is>
      </c>
      <c r="B2221" s="1" t="n">
        <v>46070.51081018519</v>
      </c>
      <c r="C2221" s="1" t="n">
        <v>46078</v>
      </c>
      <c r="D2221" t="inlineStr">
        <is>
          <t>VÄSTERBOTTENS LÄN</t>
        </is>
      </c>
      <c r="E2221" t="inlineStr">
        <is>
          <t>SKELLEFTEÅ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60000-2022</t>
        </is>
      </c>
      <c r="B2222" s="1" t="n">
        <v>44909.4678125</v>
      </c>
      <c r="C2222" s="1" t="n">
        <v>46078</v>
      </c>
      <c r="D2222" t="inlineStr">
        <is>
          <t>VÄSTERBOTTENS LÄN</t>
        </is>
      </c>
      <c r="E2222" t="inlineStr">
        <is>
          <t>SKELLEFTEÅ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58572-2022</t>
        </is>
      </c>
      <c r="B2223" s="1" t="n">
        <v>44902</v>
      </c>
      <c r="C2223" s="1" t="n">
        <v>46078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14.7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473-2026</t>
        </is>
      </c>
      <c r="B2224" s="1" t="n">
        <v>46029.39254629629</v>
      </c>
      <c r="C2224" s="1" t="n">
        <v>46078</v>
      </c>
      <c r="D2224" t="inlineStr">
        <is>
          <t>VÄSTERBOTTENS LÄN</t>
        </is>
      </c>
      <c r="E2224" t="inlineStr">
        <is>
          <t>SKELLEFTEÅ</t>
        </is>
      </c>
      <c r="G2224" t="n">
        <v>12.8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5133-2025</t>
        </is>
      </c>
      <c r="B2225" s="1" t="n">
        <v>45691.57523148148</v>
      </c>
      <c r="C2225" s="1" t="n">
        <v>46078</v>
      </c>
      <c r="D2225" t="inlineStr">
        <is>
          <t>VÄSTERBOTTENS LÄN</t>
        </is>
      </c>
      <c r="E2225" t="inlineStr">
        <is>
          <t>SKELLEFTEÅ</t>
        </is>
      </c>
      <c r="G2225" t="n">
        <v>7.1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5147-2025</t>
        </is>
      </c>
      <c r="B2226" s="1" t="n">
        <v>45691.58826388889</v>
      </c>
      <c r="C2226" s="1" t="n">
        <v>46078</v>
      </c>
      <c r="D2226" t="inlineStr">
        <is>
          <t>VÄSTERBOTTENS LÄN</t>
        </is>
      </c>
      <c r="E2226" t="inlineStr">
        <is>
          <t>SKELLEFTEÅ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38398-2024</t>
        </is>
      </c>
      <c r="B2227" s="1" t="n">
        <v>45546.33550925926</v>
      </c>
      <c r="C2227" s="1" t="n">
        <v>46078</v>
      </c>
      <c r="D2227" t="inlineStr">
        <is>
          <t>VÄSTERBOTTENS LÄN</t>
        </is>
      </c>
      <c r="E2227" t="inlineStr">
        <is>
          <t>SKELLEFTEÅ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15332-2023</t>
        </is>
      </c>
      <c r="B2228" s="1" t="n">
        <v>45016</v>
      </c>
      <c r="C2228" s="1" t="n">
        <v>46078</v>
      </c>
      <c r="D2228" t="inlineStr">
        <is>
          <t>VÄSTERBOTTENS LÄN</t>
        </is>
      </c>
      <c r="E2228" t="inlineStr">
        <is>
          <t>SKELLEFTEÅ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19424-2023</t>
        </is>
      </c>
      <c r="B2229" s="1" t="n">
        <v>45049.92751157407</v>
      </c>
      <c r="C2229" s="1" t="n">
        <v>46078</v>
      </c>
      <c r="D2229" t="inlineStr">
        <is>
          <t>VÄSTERBOTTENS LÄN</t>
        </is>
      </c>
      <c r="E2229" t="inlineStr">
        <is>
          <t>SKELLEFTEÅ</t>
        </is>
      </c>
      <c r="G2229" t="n">
        <v>5.6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19428-2023</t>
        </is>
      </c>
      <c r="B2230" s="1" t="n">
        <v>45049.92771990741</v>
      </c>
      <c r="C2230" s="1" t="n">
        <v>46078</v>
      </c>
      <c r="D2230" t="inlineStr">
        <is>
          <t>VÄSTERBOTTENS LÄN</t>
        </is>
      </c>
      <c r="E2230" t="inlineStr">
        <is>
          <t>SKELLEFTEÅ</t>
        </is>
      </c>
      <c r="G2230" t="n">
        <v>5.6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29152-2023</t>
        </is>
      </c>
      <c r="B2231" s="1" t="n">
        <v>45105</v>
      </c>
      <c r="C2231" s="1" t="n">
        <v>46078</v>
      </c>
      <c r="D2231" t="inlineStr">
        <is>
          <t>VÄSTERBOTTENS LÄN</t>
        </is>
      </c>
      <c r="E2231" t="inlineStr">
        <is>
          <t>SKELLEFTEÅ</t>
        </is>
      </c>
      <c r="F2231" t="inlineStr">
        <is>
          <t>Holmen skog AB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35102-2023</t>
        </is>
      </c>
      <c r="B2232" s="1" t="n">
        <v>45145.46237268519</v>
      </c>
      <c r="C2232" s="1" t="n">
        <v>46078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21066-2021</t>
        </is>
      </c>
      <c r="B2233" s="1" t="n">
        <v>44319</v>
      </c>
      <c r="C2233" s="1" t="n">
        <v>46078</v>
      </c>
      <c r="D2233" t="inlineStr">
        <is>
          <t>VÄSTERBOTTENS LÄN</t>
        </is>
      </c>
      <c r="E2233" t="inlineStr">
        <is>
          <t>SKELLEFTEÅ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61348-2022</t>
        </is>
      </c>
      <c r="B2234" s="1" t="n">
        <v>44915.69402777778</v>
      </c>
      <c r="C2234" s="1" t="n">
        <v>46078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Sveaskog</t>
        </is>
      </c>
      <c r="G2234" t="n">
        <v>7.9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474-2026</t>
        </is>
      </c>
      <c r="B2235" s="1" t="n">
        <v>46029.39258101852</v>
      </c>
      <c r="C2235" s="1" t="n">
        <v>46078</v>
      </c>
      <c r="D2235" t="inlineStr">
        <is>
          <t>VÄSTERBOTTENS LÄN</t>
        </is>
      </c>
      <c r="E2235" t="inlineStr">
        <is>
          <t>SKELLEFTEÅ</t>
        </is>
      </c>
      <c r="G2235" t="n">
        <v>8.300000000000001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25473-2021</t>
        </is>
      </c>
      <c r="B2236" s="1" t="n">
        <v>44342.76399305555</v>
      </c>
      <c r="C2236" s="1" t="n">
        <v>46078</v>
      </c>
      <c r="D2236" t="inlineStr">
        <is>
          <t>VÄSTERBOTTENS LÄN</t>
        </is>
      </c>
      <c r="E2236" t="inlineStr">
        <is>
          <t>SKELLEFTEÅ</t>
        </is>
      </c>
      <c r="G2236" t="n">
        <v>6.6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5602-2023</t>
        </is>
      </c>
      <c r="B2237" s="1" t="n">
        <v>44960.55158564815</v>
      </c>
      <c r="C2237" s="1" t="n">
        <v>46078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12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7579-2022</t>
        </is>
      </c>
      <c r="B2238" s="1" t="n">
        <v>44607</v>
      </c>
      <c r="C2238" s="1" t="n">
        <v>46078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62319-2022</t>
        </is>
      </c>
      <c r="B2239" s="1" t="n">
        <v>44923</v>
      </c>
      <c r="C2239" s="1" t="n">
        <v>46078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Sveaskog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52218-2024</t>
        </is>
      </c>
      <c r="B2240" s="1" t="n">
        <v>45608.60149305555</v>
      </c>
      <c r="C2240" s="1" t="n">
        <v>46078</v>
      </c>
      <c r="D2240" t="inlineStr">
        <is>
          <t>VÄSTERBOTTENS LÄN</t>
        </is>
      </c>
      <c r="E2240" t="inlineStr">
        <is>
          <t>SKELLEFTEÅ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57085-2023</t>
        </is>
      </c>
      <c r="B2241" s="1" t="n">
        <v>45245.25636574074</v>
      </c>
      <c r="C2241" s="1" t="n">
        <v>46078</v>
      </c>
      <c r="D2241" t="inlineStr">
        <is>
          <t>VÄSTERBOTTENS LÄN</t>
        </is>
      </c>
      <c r="E2241" t="inlineStr">
        <is>
          <t>SKELLEFTEÅ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9255-2026</t>
        </is>
      </c>
      <c r="B2242" s="1" t="n">
        <v>46070.51079861111</v>
      </c>
      <c r="C2242" s="1" t="n">
        <v>46078</v>
      </c>
      <c r="D2242" t="inlineStr">
        <is>
          <t>VÄSTERBOTTENS LÄN</t>
        </is>
      </c>
      <c r="E2242" t="inlineStr">
        <is>
          <t>SKELLEFTEÅ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59165-2023</t>
        </is>
      </c>
      <c r="B2243" s="1" t="n">
        <v>45251</v>
      </c>
      <c r="C2243" s="1" t="n">
        <v>46078</v>
      </c>
      <c r="D2243" t="inlineStr">
        <is>
          <t>VÄSTERBOTTENS LÄN</t>
        </is>
      </c>
      <c r="E2243" t="inlineStr">
        <is>
          <t>SKELLEFTEÅ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40347-2024</t>
        </is>
      </c>
      <c r="B2244" s="1" t="n">
        <v>45555.35193287037</v>
      </c>
      <c r="C2244" s="1" t="n">
        <v>46078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Kommuner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617-2026</t>
        </is>
      </c>
      <c r="B2245" s="1" t="n">
        <v>46029.54206018519</v>
      </c>
      <c r="C2245" s="1" t="n">
        <v>46078</v>
      </c>
      <c r="D2245" t="inlineStr">
        <is>
          <t>VÄSTERBOTTENS LÄN</t>
        </is>
      </c>
      <c r="E2245" t="inlineStr">
        <is>
          <t>SKELLEFTEÅ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11076-2024</t>
        </is>
      </c>
      <c r="B2246" s="1" t="n">
        <v>45370</v>
      </c>
      <c r="C2246" s="1" t="n">
        <v>46078</v>
      </c>
      <c r="D2246" t="inlineStr">
        <is>
          <t>VÄSTERBOTTENS LÄN</t>
        </is>
      </c>
      <c r="E2246" t="inlineStr">
        <is>
          <t>SKELLEFTEÅ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25596-2022</t>
        </is>
      </c>
      <c r="B2247" s="1" t="n">
        <v>44732</v>
      </c>
      <c r="C2247" s="1" t="n">
        <v>46078</v>
      </c>
      <c r="D2247" t="inlineStr">
        <is>
          <t>VÄSTERBOTTENS LÄN</t>
        </is>
      </c>
      <c r="E2247" t="inlineStr">
        <is>
          <t>SKELLEFTEÅ</t>
        </is>
      </c>
      <c r="G2247" t="n">
        <v>4.7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52462-2021</t>
        </is>
      </c>
      <c r="B2248" s="1" t="n">
        <v>44463</v>
      </c>
      <c r="C2248" s="1" t="n">
        <v>46078</v>
      </c>
      <c r="D2248" t="inlineStr">
        <is>
          <t>VÄSTERBOTTENS LÄN</t>
        </is>
      </c>
      <c r="E2248" t="inlineStr">
        <is>
          <t>SKELLEFTEÅ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56952-2024</t>
        </is>
      </c>
      <c r="B2249" s="1" t="n">
        <v>45628</v>
      </c>
      <c r="C2249" s="1" t="n">
        <v>46078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1007-2026</t>
        </is>
      </c>
      <c r="B2250" s="1" t="n">
        <v>46030.59869212963</v>
      </c>
      <c r="C2250" s="1" t="n">
        <v>46078</v>
      </c>
      <c r="D2250" t="inlineStr">
        <is>
          <t>VÄSTERBOTTENS LÄN</t>
        </is>
      </c>
      <c r="E2250" t="inlineStr">
        <is>
          <t>SKELLEFTEÅ</t>
        </is>
      </c>
      <c r="G2250" t="n">
        <v>5.3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1095-2026</t>
        </is>
      </c>
      <c r="B2251" s="1" t="n">
        <v>46030.66328703704</v>
      </c>
      <c r="C2251" s="1" t="n">
        <v>46078</v>
      </c>
      <c r="D2251" t="inlineStr">
        <is>
          <t>VÄSTERBOTTENS LÄN</t>
        </is>
      </c>
      <c r="E2251" t="inlineStr">
        <is>
          <t>SKELLEFTEÅ</t>
        </is>
      </c>
      <c r="G2251" t="n">
        <v>7.6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983-2026</t>
        </is>
      </c>
      <c r="B2252" s="1" t="n">
        <v>46030.58021990741</v>
      </c>
      <c r="C2252" s="1" t="n">
        <v>46078</v>
      </c>
      <c r="D2252" t="inlineStr">
        <is>
          <t>VÄSTERBOTTENS LÄN</t>
        </is>
      </c>
      <c r="E2252" t="inlineStr">
        <is>
          <t>SKELLEFTEÅ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55528-2023</t>
        </is>
      </c>
      <c r="B2253" s="1" t="n">
        <v>45238.59362268518</v>
      </c>
      <c r="C2253" s="1" t="n">
        <v>46078</v>
      </c>
      <c r="D2253" t="inlineStr">
        <is>
          <t>VÄSTERBOTTENS LÄN</t>
        </is>
      </c>
      <c r="E2253" t="inlineStr">
        <is>
          <t>SKELLEFTEÅ</t>
        </is>
      </c>
      <c r="G2253" t="n">
        <v>9.6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20163-2025</t>
        </is>
      </c>
      <c r="B2254" s="1" t="n">
        <v>45772.57280092593</v>
      </c>
      <c r="C2254" s="1" t="n">
        <v>46078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5.9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20216-2025</t>
        </is>
      </c>
      <c r="B2255" s="1" t="n">
        <v>45772</v>
      </c>
      <c r="C2255" s="1" t="n">
        <v>46078</v>
      </c>
      <c r="D2255" t="inlineStr">
        <is>
          <t>VÄSTERBOTTENS LÄN</t>
        </is>
      </c>
      <c r="E2255" t="inlineStr">
        <is>
          <t>SKELLEFTEÅ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20220-2025</t>
        </is>
      </c>
      <c r="B2256" s="1" t="n">
        <v>45772</v>
      </c>
      <c r="C2256" s="1" t="n">
        <v>46078</v>
      </c>
      <c r="D2256" t="inlineStr">
        <is>
          <t>VÄSTERBOTTENS LÄN</t>
        </is>
      </c>
      <c r="E2256" t="inlineStr">
        <is>
          <t>SKELLEFTEÅ</t>
        </is>
      </c>
      <c r="G2256" t="n">
        <v>18.6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57197-2021</t>
        </is>
      </c>
      <c r="B2257" s="1" t="n">
        <v>44482.92284722222</v>
      </c>
      <c r="C2257" s="1" t="n">
        <v>46078</v>
      </c>
      <c r="D2257" t="inlineStr">
        <is>
          <t>VÄSTERBOTTENS LÄN</t>
        </is>
      </c>
      <c r="E2257" t="inlineStr">
        <is>
          <t>SKELLEFTEÅ</t>
        </is>
      </c>
      <c r="G2257" t="n">
        <v>4.9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47039-2021</t>
        </is>
      </c>
      <c r="B2258" s="1" t="n">
        <v>44446</v>
      </c>
      <c r="C2258" s="1" t="n">
        <v>46078</v>
      </c>
      <c r="D2258" t="inlineStr">
        <is>
          <t>VÄSTERBOTTENS LÄN</t>
        </is>
      </c>
      <c r="E2258" t="inlineStr">
        <is>
          <t>SKELLEFTEÅ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57899-2022</t>
        </is>
      </c>
      <c r="B2259" s="1" t="n">
        <v>44900</v>
      </c>
      <c r="C2259" s="1" t="n">
        <v>46078</v>
      </c>
      <c r="D2259" t="inlineStr">
        <is>
          <t>VÄSTERBOTTENS LÄN</t>
        </is>
      </c>
      <c r="E2259" t="inlineStr">
        <is>
          <t>SKELLEFTEÅ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9982-2026</t>
        </is>
      </c>
      <c r="B2260" s="1" t="n">
        <v>46073.5375462963</v>
      </c>
      <c r="C2260" s="1" t="n">
        <v>46078</v>
      </c>
      <c r="D2260" t="inlineStr">
        <is>
          <t>VÄSTERBOTTENS LÄN</t>
        </is>
      </c>
      <c r="E2260" t="inlineStr">
        <is>
          <t>SKELLEFTEÅ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38493-2024</t>
        </is>
      </c>
      <c r="B2261" s="1" t="n">
        <v>45546</v>
      </c>
      <c r="C2261" s="1" t="n">
        <v>46078</v>
      </c>
      <c r="D2261" t="inlineStr">
        <is>
          <t>VÄSTERBOTTENS LÄN</t>
        </is>
      </c>
      <c r="E2261" t="inlineStr">
        <is>
          <t>SKELLEFTEÅ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41006-2023</t>
        </is>
      </c>
      <c r="B2262" s="1" t="n">
        <v>45173</v>
      </c>
      <c r="C2262" s="1" t="n">
        <v>46078</v>
      </c>
      <c r="D2262" t="inlineStr">
        <is>
          <t>VÄSTERBOTTENS LÄN</t>
        </is>
      </c>
      <c r="E2262" t="inlineStr">
        <is>
          <t>SKELLEFTEÅ</t>
        </is>
      </c>
      <c r="G2262" t="n">
        <v>7.7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17568-2024</t>
        </is>
      </c>
      <c r="B2263" s="1" t="n">
        <v>45415</v>
      </c>
      <c r="C2263" s="1" t="n">
        <v>46078</v>
      </c>
      <c r="D2263" t="inlineStr">
        <is>
          <t>VÄSTERBOTTENS LÄN</t>
        </is>
      </c>
      <c r="E2263" t="inlineStr">
        <is>
          <t>SKELLEFTEÅ</t>
        </is>
      </c>
      <c r="G2263" t="n">
        <v>6.6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30212-2023</t>
        </is>
      </c>
      <c r="B2264" s="1" t="n">
        <v>45110</v>
      </c>
      <c r="C2264" s="1" t="n">
        <v>46078</v>
      </c>
      <c r="D2264" t="inlineStr">
        <is>
          <t>VÄSTERBOTTENS LÄN</t>
        </is>
      </c>
      <c r="E2264" t="inlineStr">
        <is>
          <t>SKELLEFTEÅ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9808-2026</t>
        </is>
      </c>
      <c r="B2265" s="1" t="n">
        <v>46072.62802083333</v>
      </c>
      <c r="C2265" s="1" t="n">
        <v>46078</v>
      </c>
      <c r="D2265" t="inlineStr">
        <is>
          <t>VÄSTERBOTTENS LÄN</t>
        </is>
      </c>
      <c r="E2265" t="inlineStr">
        <is>
          <t>SKELLEFTEÅ</t>
        </is>
      </c>
      <c r="G2265" t="n">
        <v>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23759-2023</t>
        </is>
      </c>
      <c r="B2266" s="1" t="n">
        <v>45077</v>
      </c>
      <c r="C2266" s="1" t="n">
        <v>46078</v>
      </c>
      <c r="D2266" t="inlineStr">
        <is>
          <t>VÄSTERBOTTENS LÄN</t>
        </is>
      </c>
      <c r="E2266" t="inlineStr">
        <is>
          <t>SKELLEFTEÅ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1732-2026</t>
        </is>
      </c>
      <c r="B2267" s="1" t="n">
        <v>46034.63582175926</v>
      </c>
      <c r="C2267" s="1" t="n">
        <v>46078</v>
      </c>
      <c r="D2267" t="inlineStr">
        <is>
          <t>VÄSTERBOTTENS LÄN</t>
        </is>
      </c>
      <c r="E2267" t="inlineStr">
        <is>
          <t>SKELLEFTEÅ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1763-2026</t>
        </is>
      </c>
      <c r="B2268" s="1" t="n">
        <v>46034.6775</v>
      </c>
      <c r="C2268" s="1" t="n">
        <v>46078</v>
      </c>
      <c r="D2268" t="inlineStr">
        <is>
          <t>VÄSTERBOTTENS LÄN</t>
        </is>
      </c>
      <c r="E2268" t="inlineStr">
        <is>
          <t>SKELLEFTEÅ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19066-2023</t>
        </is>
      </c>
      <c r="B2269" s="1" t="n">
        <v>45043</v>
      </c>
      <c r="C2269" s="1" t="n">
        <v>46078</v>
      </c>
      <c r="D2269" t="inlineStr">
        <is>
          <t>VÄSTERBOTTENS LÄN</t>
        </is>
      </c>
      <c r="E2269" t="inlineStr">
        <is>
          <t>SKELLEFTEÅ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10490-2026</t>
        </is>
      </c>
      <c r="B2270" s="1" t="n">
        <v>46077.52505787037</v>
      </c>
      <c r="C2270" s="1" t="n">
        <v>46078</v>
      </c>
      <c r="D2270" t="inlineStr">
        <is>
          <t>VÄSTERBOTTENS LÄN</t>
        </is>
      </c>
      <c r="E2270" t="inlineStr">
        <is>
          <t>SKELLEFTEÅ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10187-2026</t>
        </is>
      </c>
      <c r="B2271" s="1" t="n">
        <v>46076.44756944444</v>
      </c>
      <c r="C2271" s="1" t="n">
        <v>46078</v>
      </c>
      <c r="D2271" t="inlineStr">
        <is>
          <t>VÄSTERBOTTENS LÄN</t>
        </is>
      </c>
      <c r="E2271" t="inlineStr">
        <is>
          <t>SKELLEFTEÅ</t>
        </is>
      </c>
      <c r="G2271" t="n">
        <v>6.4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56444-2024</t>
        </is>
      </c>
      <c r="B2272" s="1" t="n">
        <v>45625.42461805556</v>
      </c>
      <c r="C2272" s="1" t="n">
        <v>46078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10270-2026</t>
        </is>
      </c>
      <c r="B2273" s="1" t="n">
        <v>46076.57822916667</v>
      </c>
      <c r="C2273" s="1" t="n">
        <v>46078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45690-2024</t>
        </is>
      </c>
      <c r="B2274" s="1" t="n">
        <v>45579</v>
      </c>
      <c r="C2274" s="1" t="n">
        <v>46078</v>
      </c>
      <c r="D2274" t="inlineStr">
        <is>
          <t>VÄSTERBOTTENS LÄN</t>
        </is>
      </c>
      <c r="E2274" t="inlineStr">
        <is>
          <t>SKELLEFTEÅ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1548-2026</t>
        </is>
      </c>
      <c r="B2275" s="1" t="n">
        <v>46034.3870949074</v>
      </c>
      <c r="C2275" s="1" t="n">
        <v>46078</v>
      </c>
      <c r="D2275" t="inlineStr">
        <is>
          <t>VÄSTERBOTTENS LÄN</t>
        </is>
      </c>
      <c r="E2275" t="inlineStr">
        <is>
          <t>SKELLEFTEÅ</t>
        </is>
      </c>
      <c r="G2275" t="n">
        <v>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1551-2026</t>
        </is>
      </c>
      <c r="B2276" s="1" t="n">
        <v>46034.38724537037</v>
      </c>
      <c r="C2276" s="1" t="n">
        <v>46078</v>
      </c>
      <c r="D2276" t="inlineStr">
        <is>
          <t>VÄSTERBOTTENS LÄN</t>
        </is>
      </c>
      <c r="E2276" t="inlineStr">
        <is>
          <t>SKELLEFTEÅ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1896-2026</t>
        </is>
      </c>
      <c r="B2277" s="1" t="n">
        <v>46035.50795138889</v>
      </c>
      <c r="C2277" s="1" t="n">
        <v>46078</v>
      </c>
      <c r="D2277" t="inlineStr">
        <is>
          <t>VÄSTERBOTTENS LÄN</t>
        </is>
      </c>
      <c r="E2277" t="inlineStr">
        <is>
          <t>SKELLEFTEÅ</t>
        </is>
      </c>
      <c r="G2277" t="n">
        <v>4.9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24505-2022</t>
        </is>
      </c>
      <c r="B2278" s="1" t="n">
        <v>44726.92622685185</v>
      </c>
      <c r="C2278" s="1" t="n">
        <v>46078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1578-2026</t>
        </is>
      </c>
      <c r="B2279" s="1" t="n">
        <v>46034.42350694445</v>
      </c>
      <c r="C2279" s="1" t="n">
        <v>46078</v>
      </c>
      <c r="D2279" t="inlineStr">
        <is>
          <t>VÄSTERBOTTENS LÄN</t>
        </is>
      </c>
      <c r="E2279" t="inlineStr">
        <is>
          <t>SKELLEFTEÅ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27028-2022</t>
        </is>
      </c>
      <c r="B2280" s="1" t="n">
        <v>44740</v>
      </c>
      <c r="C2280" s="1" t="n">
        <v>46078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SCA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62064-2024</t>
        </is>
      </c>
      <c r="B2281" s="1" t="n">
        <v>45656</v>
      </c>
      <c r="C2281" s="1" t="n">
        <v>46078</v>
      </c>
      <c r="D2281" t="inlineStr">
        <is>
          <t>VÄSTERBOTTENS LÄN</t>
        </is>
      </c>
      <c r="E2281" t="inlineStr">
        <is>
          <t>SKELLEFTEÅ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26293-2025</t>
        </is>
      </c>
      <c r="B2282" s="1" t="n">
        <v>45805</v>
      </c>
      <c r="C2282" s="1" t="n">
        <v>46078</v>
      </c>
      <c r="D2282" t="inlineStr">
        <is>
          <t>VÄSTERBOTTENS LÄN</t>
        </is>
      </c>
      <c r="E2282" t="inlineStr">
        <is>
          <t>SKELLEFTEÅ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1550-2026</t>
        </is>
      </c>
      <c r="B2283" s="1" t="n">
        <v>46034.38722222222</v>
      </c>
      <c r="C2283" s="1" t="n">
        <v>46078</v>
      </c>
      <c r="D2283" t="inlineStr">
        <is>
          <t>VÄSTERBOTTENS LÄN</t>
        </is>
      </c>
      <c r="E2283" t="inlineStr">
        <is>
          <t>SKELLEFTEÅ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47007-2024</t>
        </is>
      </c>
      <c r="B2284" s="1" t="n">
        <v>45586.38399305556</v>
      </c>
      <c r="C2284" s="1" t="n">
        <v>46078</v>
      </c>
      <c r="D2284" t="inlineStr">
        <is>
          <t>VÄSTERBOTTENS LÄN</t>
        </is>
      </c>
      <c r="E2284" t="inlineStr">
        <is>
          <t>SKELLEFTEÅ</t>
        </is>
      </c>
      <c r="G2284" t="n">
        <v>22.2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52475-2022</t>
        </is>
      </c>
      <c r="B2285" s="1" t="n">
        <v>44869</v>
      </c>
      <c r="C2285" s="1" t="n">
        <v>46078</v>
      </c>
      <c r="D2285" t="inlineStr">
        <is>
          <t>VÄSTERBOTTENS LÄN</t>
        </is>
      </c>
      <c r="E2285" t="inlineStr">
        <is>
          <t>SKELLEFTEÅ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3164-2025</t>
        </is>
      </c>
      <c r="B2286" s="1" t="n">
        <v>45679.34158564815</v>
      </c>
      <c r="C2286" s="1" t="n">
        <v>46078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58012-2023</t>
        </is>
      </c>
      <c r="B2287" s="1" t="n">
        <v>45244</v>
      </c>
      <c r="C2287" s="1" t="n">
        <v>46078</v>
      </c>
      <c r="D2287" t="inlineStr">
        <is>
          <t>VÄSTERBOTTENS LÄN</t>
        </is>
      </c>
      <c r="E2287" t="inlineStr">
        <is>
          <t>SKELLEFTEÅ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1524-2026</t>
        </is>
      </c>
      <c r="B2288" s="1" t="n">
        <v>46034.36497685185</v>
      </c>
      <c r="C2288" s="1" t="n">
        <v>46078</v>
      </c>
      <c r="D2288" t="inlineStr">
        <is>
          <t>VÄSTERBOTTENS LÄN</t>
        </is>
      </c>
      <c r="E2288" t="inlineStr">
        <is>
          <t>SKELLEFTEÅ</t>
        </is>
      </c>
      <c r="G2288" t="n">
        <v>20.7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10420-2026</t>
        </is>
      </c>
      <c r="B2289" s="1" t="n">
        <v>46077.36194444444</v>
      </c>
      <c r="C2289" s="1" t="n">
        <v>46078</v>
      </c>
      <c r="D2289" t="inlineStr">
        <is>
          <t>VÄSTERBOTTENS LÄN</t>
        </is>
      </c>
      <c r="E2289" t="inlineStr">
        <is>
          <t>SKELLEFTEÅ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1022-2025</t>
        </is>
      </c>
      <c r="B2290" s="1" t="n">
        <v>45665</v>
      </c>
      <c r="C2290" s="1" t="n">
        <v>46078</v>
      </c>
      <c r="D2290" t="inlineStr">
        <is>
          <t>VÄSTERBOTTENS LÄN</t>
        </is>
      </c>
      <c r="E2290" t="inlineStr">
        <is>
          <t>SKELLEFTEÅ</t>
        </is>
      </c>
      <c r="G2290" t="n">
        <v>5.5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9925-2022</t>
        </is>
      </c>
      <c r="B2291" s="1" t="n">
        <v>44620.92208333333</v>
      </c>
      <c r="C2291" s="1" t="n">
        <v>46078</v>
      </c>
      <c r="D2291" t="inlineStr">
        <is>
          <t>VÄSTERBOTTENS LÄN</t>
        </is>
      </c>
      <c r="E2291" t="inlineStr">
        <is>
          <t>SKELLEFTEÅ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59689-2024</t>
        </is>
      </c>
      <c r="B2292" s="1" t="n">
        <v>45639.40660879629</v>
      </c>
      <c r="C2292" s="1" t="n">
        <v>46078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61064-2023</t>
        </is>
      </c>
      <c r="B2293" s="1" t="n">
        <v>45259</v>
      </c>
      <c r="C2293" s="1" t="n">
        <v>46078</v>
      </c>
      <c r="D2293" t="inlineStr">
        <is>
          <t>VÄSTERBOTTENS LÄN</t>
        </is>
      </c>
      <c r="E2293" t="inlineStr">
        <is>
          <t>SKELLEFTEÅ</t>
        </is>
      </c>
      <c r="G2293" t="n">
        <v>5.8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50464-2023</t>
        </is>
      </c>
      <c r="B2294" s="1" t="n">
        <v>45216.84891203704</v>
      </c>
      <c r="C2294" s="1" t="n">
        <v>46078</v>
      </c>
      <c r="D2294" t="inlineStr">
        <is>
          <t>VÄSTERBOTTENS LÄN</t>
        </is>
      </c>
      <c r="E2294" t="inlineStr">
        <is>
          <t>SKELLEFTEÅ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3446-2026</t>
        </is>
      </c>
      <c r="B2295" s="1" t="n">
        <v>46042</v>
      </c>
      <c r="C2295" s="1" t="n">
        <v>46078</v>
      </c>
      <c r="D2295" t="inlineStr">
        <is>
          <t>VÄSTERBOTTENS LÄN</t>
        </is>
      </c>
      <c r="E2295" t="inlineStr">
        <is>
          <t>SKELLEFTEÅ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16494-2023</t>
        </is>
      </c>
      <c r="B2296" s="1" t="n">
        <v>45029.60325231482</v>
      </c>
      <c r="C2296" s="1" t="n">
        <v>46078</v>
      </c>
      <c r="D2296" t="inlineStr">
        <is>
          <t>VÄSTERBOTTENS LÄN</t>
        </is>
      </c>
      <c r="E2296" t="inlineStr">
        <is>
          <t>SKELLEFTEÅ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1501-2026</t>
        </is>
      </c>
      <c r="B2297" s="1" t="n">
        <v>46034.33572916667</v>
      </c>
      <c r="C2297" s="1" t="n">
        <v>46078</v>
      </c>
      <c r="D2297" t="inlineStr">
        <is>
          <t>VÄSTERBOTTENS LÄN</t>
        </is>
      </c>
      <c r="E2297" t="inlineStr">
        <is>
          <t>SKELLEFTEÅ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1817-2026</t>
        </is>
      </c>
      <c r="B2298" s="1" t="n">
        <v>46035.34459490741</v>
      </c>
      <c r="C2298" s="1" t="n">
        <v>46078</v>
      </c>
      <c r="D2298" t="inlineStr">
        <is>
          <t>VÄSTERBOTTENS LÄN</t>
        </is>
      </c>
      <c r="E2298" t="inlineStr">
        <is>
          <t>SKELLEFTEÅ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26708-2024</t>
        </is>
      </c>
      <c r="B2299" s="1" t="n">
        <v>45470</v>
      </c>
      <c r="C2299" s="1" t="n">
        <v>46078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42357-2022</t>
        </is>
      </c>
      <c r="B2300" s="1" t="n">
        <v>44827</v>
      </c>
      <c r="C2300" s="1" t="n">
        <v>46078</v>
      </c>
      <c r="D2300" t="inlineStr">
        <is>
          <t>VÄSTERBOTTENS LÄN</t>
        </is>
      </c>
      <c r="E2300" t="inlineStr">
        <is>
          <t>SKELLEFTEÅ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1761-2026</t>
        </is>
      </c>
      <c r="B2301" s="1" t="n">
        <v>46034.67740740741</v>
      </c>
      <c r="C2301" s="1" t="n">
        <v>46078</v>
      </c>
      <c r="D2301" t="inlineStr">
        <is>
          <t>VÄSTERBOTTENS LÄN</t>
        </is>
      </c>
      <c r="E2301" t="inlineStr">
        <is>
          <t>SKELLEFTEÅ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62284-2022</t>
        </is>
      </c>
      <c r="B2302" s="1" t="n">
        <v>44923.40487268518</v>
      </c>
      <c r="C2302" s="1" t="n">
        <v>46078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Sveaskog</t>
        </is>
      </c>
      <c r="G2302" t="n">
        <v>13.4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33521-2021</t>
        </is>
      </c>
      <c r="B2303" s="1" t="n">
        <v>44377</v>
      </c>
      <c r="C2303" s="1" t="n">
        <v>46078</v>
      </c>
      <c r="D2303" t="inlineStr">
        <is>
          <t>VÄSTERBOTTENS LÄN</t>
        </is>
      </c>
      <c r="E2303" t="inlineStr">
        <is>
          <t>SKELLEFTEÅ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56471-2023</t>
        </is>
      </c>
      <c r="B2304" s="1" t="n">
        <v>45243</v>
      </c>
      <c r="C2304" s="1" t="n">
        <v>46078</v>
      </c>
      <c r="D2304" t="inlineStr">
        <is>
          <t>VÄSTERBOTTENS LÄN</t>
        </is>
      </c>
      <c r="E2304" t="inlineStr">
        <is>
          <t>SKELLEFTEÅ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10144-2026</t>
        </is>
      </c>
      <c r="B2305" s="1" t="n">
        <v>46076.35237268519</v>
      </c>
      <c r="C2305" s="1" t="n">
        <v>46078</v>
      </c>
      <c r="D2305" t="inlineStr">
        <is>
          <t>VÄSTERBOTTENS LÄN</t>
        </is>
      </c>
      <c r="E2305" t="inlineStr">
        <is>
          <t>SKELLEFTEÅ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1917-2026</t>
        </is>
      </c>
      <c r="B2306" s="1" t="n">
        <v>46035</v>
      </c>
      <c r="C2306" s="1" t="n">
        <v>46078</v>
      </c>
      <c r="D2306" t="inlineStr">
        <is>
          <t>VÄSTERBOTTENS LÄN</t>
        </is>
      </c>
      <c r="E2306" t="inlineStr">
        <is>
          <t>SKELLEFTEÅ</t>
        </is>
      </c>
      <c r="G2306" t="n">
        <v>0.1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11945-2023</t>
        </is>
      </c>
      <c r="B2307" s="1" t="n">
        <v>44995</v>
      </c>
      <c r="C2307" s="1" t="n">
        <v>46078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Sveaskog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1665-2026</t>
        </is>
      </c>
      <c r="B2308" s="1" t="n">
        <v>46034.55868055556</v>
      </c>
      <c r="C2308" s="1" t="n">
        <v>46078</v>
      </c>
      <c r="D2308" t="inlineStr">
        <is>
          <t>VÄSTERBOTTENS LÄN</t>
        </is>
      </c>
      <c r="E2308" t="inlineStr">
        <is>
          <t>SKELLEFTEÅ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64920-2023</t>
        </is>
      </c>
      <c r="B2309" s="1" t="n">
        <v>45282.68806712963</v>
      </c>
      <c r="C2309" s="1" t="n">
        <v>46078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Sveaskog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10147-2026</t>
        </is>
      </c>
      <c r="B2310" s="1" t="n">
        <v>46076.35459490741</v>
      </c>
      <c r="C2310" s="1" t="n">
        <v>46078</v>
      </c>
      <c r="D2310" t="inlineStr">
        <is>
          <t>VÄSTERBOTTENS LÄN</t>
        </is>
      </c>
      <c r="E2310" t="inlineStr">
        <is>
          <t>SKELLEFTEÅ</t>
        </is>
      </c>
      <c r="G2310" t="n">
        <v>4.3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10150-2026</t>
        </is>
      </c>
      <c r="B2311" s="1" t="n">
        <v>46076.35689814815</v>
      </c>
      <c r="C2311" s="1" t="n">
        <v>46078</v>
      </c>
      <c r="D2311" t="inlineStr">
        <is>
          <t>VÄSTERBOTTENS LÄN</t>
        </is>
      </c>
      <c r="E2311" t="inlineStr">
        <is>
          <t>SKELLEFTEÅ</t>
        </is>
      </c>
      <c r="G2311" t="n">
        <v>13.6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10563-2026</t>
        </is>
      </c>
      <c r="B2312" s="1" t="n">
        <v>46077.6405787037</v>
      </c>
      <c r="C2312" s="1" t="n">
        <v>46078</v>
      </c>
      <c r="D2312" t="inlineStr">
        <is>
          <t>VÄSTERBOTTENS LÄN</t>
        </is>
      </c>
      <c r="E2312" t="inlineStr">
        <is>
          <t>SKELLEFTEÅ</t>
        </is>
      </c>
      <c r="G2312" t="n">
        <v>14.4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30986-2024</t>
        </is>
      </c>
      <c r="B2313" s="1" t="n">
        <v>45499.52881944444</v>
      </c>
      <c r="C2313" s="1" t="n">
        <v>46078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Sveaskog</t>
        </is>
      </c>
      <c r="G2313" t="n">
        <v>13.9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32820-2023</t>
        </is>
      </c>
      <c r="B2314" s="1" t="n">
        <v>45112</v>
      </c>
      <c r="C2314" s="1" t="n">
        <v>46078</v>
      </c>
      <c r="D2314" t="inlineStr">
        <is>
          <t>VÄSTERBOTTENS LÄN</t>
        </is>
      </c>
      <c r="E2314" t="inlineStr">
        <is>
          <t>SKELLEFTEÅ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38505-2021</t>
        </is>
      </c>
      <c r="B2315" s="1" t="n">
        <v>44407.49136574074</v>
      </c>
      <c r="C2315" s="1" t="n">
        <v>46078</v>
      </c>
      <c r="D2315" t="inlineStr">
        <is>
          <t>VÄSTERBOTTENS LÄN</t>
        </is>
      </c>
      <c r="E2315" t="inlineStr">
        <is>
          <t>SKELLEFTEÅ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35732-2023</t>
        </is>
      </c>
      <c r="B2316" s="1" t="n">
        <v>45147</v>
      </c>
      <c r="C2316" s="1" t="n">
        <v>46078</v>
      </c>
      <c r="D2316" t="inlineStr">
        <is>
          <t>VÄSTERBOTTENS LÄN</t>
        </is>
      </c>
      <c r="E2316" t="inlineStr">
        <is>
          <t>SKELLEFTEÅ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1523-2026</t>
        </is>
      </c>
      <c r="B2317" s="1" t="n">
        <v>46034.36490740741</v>
      </c>
      <c r="C2317" s="1" t="n">
        <v>46078</v>
      </c>
      <c r="D2317" t="inlineStr">
        <is>
          <t>VÄSTERBOTTENS LÄN</t>
        </is>
      </c>
      <c r="E2317" t="inlineStr">
        <is>
          <t>SKELLEFTEÅ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19498-2023</t>
        </is>
      </c>
      <c r="B2318" s="1" t="n">
        <v>45049</v>
      </c>
      <c r="C2318" s="1" t="n">
        <v>46078</v>
      </c>
      <c r="D2318" t="inlineStr">
        <is>
          <t>VÄSTERBOTTENS LÄN</t>
        </is>
      </c>
      <c r="E2318" t="inlineStr">
        <is>
          <t>SKELLEFTEÅ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23169-2024</t>
        </is>
      </c>
      <c r="B2319" s="1" t="n">
        <v>45450</v>
      </c>
      <c r="C2319" s="1" t="n">
        <v>46078</v>
      </c>
      <c r="D2319" t="inlineStr">
        <is>
          <t>VÄSTERBOTTENS LÄN</t>
        </is>
      </c>
      <c r="E2319" t="inlineStr">
        <is>
          <t>SKELLEFTEÅ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60488-2022</t>
        </is>
      </c>
      <c r="B2320" s="1" t="n">
        <v>44911.43144675926</v>
      </c>
      <c r="C2320" s="1" t="n">
        <v>46078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Sveaskog</t>
        </is>
      </c>
      <c r="G2320" t="n">
        <v>11.6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  <c r="U2320">
        <f>HYPERLINK("https://klasma.github.io/Logging_2482/knärot/A 60488-2022 karta knärot.png", "A 60488-2022")</f>
        <v/>
      </c>
      <c r="V2320">
        <f>HYPERLINK("https://klasma.github.io/Logging_2482/klagomål/A 60488-2022 FSC-klagomål.docx", "A 60488-2022")</f>
        <v/>
      </c>
      <c r="W2320">
        <f>HYPERLINK("https://klasma.github.io/Logging_2482/klagomålsmail/A 60488-2022 FSC-klagomål mail.docx", "A 60488-2022")</f>
        <v/>
      </c>
      <c r="X2320">
        <f>HYPERLINK("https://klasma.github.io/Logging_2482/tillsyn/A 60488-2022 tillsynsbegäran.docx", "A 60488-2022")</f>
        <v/>
      </c>
      <c r="Y2320">
        <f>HYPERLINK("https://klasma.github.io/Logging_2482/tillsynsmail/A 60488-2022 tillsynsbegäran mail.docx", "A 60488-2022")</f>
        <v/>
      </c>
    </row>
    <row r="2321" ht="15" customHeight="1">
      <c r="A2321" t="inlineStr">
        <is>
          <t>A 32677-2022</t>
        </is>
      </c>
      <c r="B2321" s="1" t="n">
        <v>44783.55438657408</v>
      </c>
      <c r="C2321" s="1" t="n">
        <v>46078</v>
      </c>
      <c r="D2321" t="inlineStr">
        <is>
          <t>VÄSTERBOTTENS LÄN</t>
        </is>
      </c>
      <c r="E2321" t="inlineStr">
        <is>
          <t>SKELLEFTEÅ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8241-2025</t>
        </is>
      </c>
      <c r="B2322" s="1" t="n">
        <v>45708.48162037037</v>
      </c>
      <c r="C2322" s="1" t="n">
        <v>46078</v>
      </c>
      <c r="D2322" t="inlineStr">
        <is>
          <t>VÄSTERBOTTENS LÄN</t>
        </is>
      </c>
      <c r="E2322" t="inlineStr">
        <is>
          <t>SKELLEFTEÅ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8301-2025</t>
        </is>
      </c>
      <c r="B2323" s="1" t="n">
        <v>45708</v>
      </c>
      <c r="C2323" s="1" t="n">
        <v>46078</v>
      </c>
      <c r="D2323" t="inlineStr">
        <is>
          <t>VÄSTERBOTTENS LÄN</t>
        </is>
      </c>
      <c r="E2323" t="inlineStr">
        <is>
          <t>SKELLEFTEÅ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70718-2021</t>
        </is>
      </c>
      <c r="B2324" s="1" t="n">
        <v>44536</v>
      </c>
      <c r="C2324" s="1" t="n">
        <v>46078</v>
      </c>
      <c r="D2324" t="inlineStr">
        <is>
          <t>VÄSTERBOTTENS LÄN</t>
        </is>
      </c>
      <c r="E2324" t="inlineStr">
        <is>
          <t>SKELLEFTEÅ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25182-2022</t>
        </is>
      </c>
      <c r="B2325" s="1" t="n">
        <v>44729.60717592593</v>
      </c>
      <c r="C2325" s="1" t="n">
        <v>46078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6.4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58376-2022</t>
        </is>
      </c>
      <c r="B2326" s="1" t="n">
        <v>44901</v>
      </c>
      <c r="C2326" s="1" t="n">
        <v>46078</v>
      </c>
      <c r="D2326" t="inlineStr">
        <is>
          <t>VÄSTERBOTTENS LÄN</t>
        </is>
      </c>
      <c r="E2326" t="inlineStr">
        <is>
          <t>SKELLEFTEÅ</t>
        </is>
      </c>
      <c r="G2326" t="n">
        <v>0.2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33710-2023</t>
        </is>
      </c>
      <c r="B2327" s="1" t="n">
        <v>45132.92306712963</v>
      </c>
      <c r="C2327" s="1" t="n">
        <v>46078</v>
      </c>
      <c r="D2327" t="inlineStr">
        <is>
          <t>VÄSTERBOTTENS LÄN</t>
        </is>
      </c>
      <c r="E2327" t="inlineStr">
        <is>
          <t>SKELLEFTEÅ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56539-2024</t>
        </is>
      </c>
      <c r="B2328" s="1" t="n">
        <v>45625</v>
      </c>
      <c r="C2328" s="1" t="n">
        <v>46078</v>
      </c>
      <c r="D2328" t="inlineStr">
        <is>
          <t>VÄSTERBOTTENS LÄN</t>
        </is>
      </c>
      <c r="E2328" t="inlineStr">
        <is>
          <t>SKELLEFTEÅ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43723-2024</t>
        </is>
      </c>
      <c r="B2329" s="1" t="n">
        <v>45569.63114583334</v>
      </c>
      <c r="C2329" s="1" t="n">
        <v>46078</v>
      </c>
      <c r="D2329" t="inlineStr">
        <is>
          <t>VÄSTERBOTTENS LÄN</t>
        </is>
      </c>
      <c r="E2329" t="inlineStr">
        <is>
          <t>SKELLEFTEÅ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43748-2024</t>
        </is>
      </c>
      <c r="B2330" s="1" t="n">
        <v>45569.66576388889</v>
      </c>
      <c r="C2330" s="1" t="n">
        <v>46078</v>
      </c>
      <c r="D2330" t="inlineStr">
        <is>
          <t>VÄSTERBOTTENS LÄN</t>
        </is>
      </c>
      <c r="E2330" t="inlineStr">
        <is>
          <t>SKELLEFTEÅ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49981-2024</t>
        </is>
      </c>
      <c r="B2331" s="1" t="n">
        <v>45597.75133101852</v>
      </c>
      <c r="C2331" s="1" t="n">
        <v>46078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Sveaskog</t>
        </is>
      </c>
      <c r="G2331" t="n">
        <v>5.5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38717-2023</t>
        </is>
      </c>
      <c r="B2332" s="1" t="n">
        <v>45160</v>
      </c>
      <c r="C2332" s="1" t="n">
        <v>46078</v>
      </c>
      <c r="D2332" t="inlineStr">
        <is>
          <t>VÄSTERBOTTENS LÄN</t>
        </is>
      </c>
      <c r="E2332" t="inlineStr">
        <is>
          <t>SKELLEFTEÅ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48204-2024</t>
        </is>
      </c>
      <c r="B2333" s="1" t="n">
        <v>45589</v>
      </c>
      <c r="C2333" s="1" t="n">
        <v>46078</v>
      </c>
      <c r="D2333" t="inlineStr">
        <is>
          <t>VÄSTERBOTTENS LÄN</t>
        </is>
      </c>
      <c r="E2333" t="inlineStr">
        <is>
          <t>SKELLEFTEÅ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8644-2025</t>
        </is>
      </c>
      <c r="B2334" s="1" t="n">
        <v>45712</v>
      </c>
      <c r="C2334" s="1" t="n">
        <v>46078</v>
      </c>
      <c r="D2334" t="inlineStr">
        <is>
          <t>VÄSTERBOTTENS LÄN</t>
        </is>
      </c>
      <c r="E2334" t="inlineStr">
        <is>
          <t>SKELLEFTEÅ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51734-2021</t>
        </is>
      </c>
      <c r="B2335" s="1" t="n">
        <v>44461</v>
      </c>
      <c r="C2335" s="1" t="n">
        <v>46078</v>
      </c>
      <c r="D2335" t="inlineStr">
        <is>
          <t>VÄSTERBOTTENS LÄN</t>
        </is>
      </c>
      <c r="E2335" t="inlineStr">
        <is>
          <t>SKELLEFTEÅ</t>
        </is>
      </c>
      <c r="G2335" t="n">
        <v>3.5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47544-2024</t>
        </is>
      </c>
      <c r="B2336" s="1" t="n">
        <v>45587</v>
      </c>
      <c r="C2336" s="1" t="n">
        <v>46078</v>
      </c>
      <c r="D2336" t="inlineStr">
        <is>
          <t>VÄSTERBOTTENS LÄN</t>
        </is>
      </c>
      <c r="E2336" t="inlineStr">
        <is>
          <t>SKELLEFTEÅ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55873-2023</t>
        </is>
      </c>
      <c r="B2337" s="1" t="n">
        <v>45239</v>
      </c>
      <c r="C2337" s="1" t="n">
        <v>46078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Sveaskog</t>
        </is>
      </c>
      <c r="G2337" t="n">
        <v>7.8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18101-2021</t>
        </is>
      </c>
      <c r="B2338" s="1" t="n">
        <v>44302</v>
      </c>
      <c r="C2338" s="1" t="n">
        <v>46078</v>
      </c>
      <c r="D2338" t="inlineStr">
        <is>
          <t>VÄSTERBOTTENS LÄN</t>
        </is>
      </c>
      <c r="E2338" t="inlineStr">
        <is>
          <t>SKELLEFTEÅ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8442-2025</t>
        </is>
      </c>
      <c r="B2339" s="1" t="n">
        <v>45709.44940972222</v>
      </c>
      <c r="C2339" s="1" t="n">
        <v>46078</v>
      </c>
      <c r="D2339" t="inlineStr">
        <is>
          <t>VÄSTERBOTTENS LÄN</t>
        </is>
      </c>
      <c r="E2339" t="inlineStr">
        <is>
          <t>SKELLEFTEÅ</t>
        </is>
      </c>
      <c r="G2339" t="n">
        <v>4.7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10841-2025</t>
        </is>
      </c>
      <c r="B2340" s="1" t="n">
        <v>45722.57315972223</v>
      </c>
      <c r="C2340" s="1" t="n">
        <v>46078</v>
      </c>
      <c r="D2340" t="inlineStr">
        <is>
          <t>VÄSTERBOTTENS LÄN</t>
        </is>
      </c>
      <c r="E2340" t="inlineStr">
        <is>
          <t>SKELLEFTEÅ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51396-2023</t>
        </is>
      </c>
      <c r="B2341" s="1" t="n">
        <v>45219.67503472222</v>
      </c>
      <c r="C2341" s="1" t="n">
        <v>46078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7.5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26389-2024</t>
        </is>
      </c>
      <c r="B2342" s="1" t="n">
        <v>45469.43194444444</v>
      </c>
      <c r="C2342" s="1" t="n">
        <v>46078</v>
      </c>
      <c r="D2342" t="inlineStr">
        <is>
          <t>VÄSTERBOTTENS LÄN</t>
        </is>
      </c>
      <c r="E2342" t="inlineStr">
        <is>
          <t>SKELLEFTEÅ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52862-2024</t>
        </is>
      </c>
      <c r="B2343" s="1" t="n">
        <v>45610.61991898148</v>
      </c>
      <c r="C2343" s="1" t="n">
        <v>46078</v>
      </c>
      <c r="D2343" t="inlineStr">
        <is>
          <t>VÄSTERBOTTENS LÄN</t>
        </is>
      </c>
      <c r="E2343" t="inlineStr">
        <is>
          <t>SKELLEFTEÅ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52864-2024</t>
        </is>
      </c>
      <c r="B2344" s="1" t="n">
        <v>45610.62194444444</v>
      </c>
      <c r="C2344" s="1" t="n">
        <v>46078</v>
      </c>
      <c r="D2344" t="inlineStr">
        <is>
          <t>VÄSTERBOTTENS LÄN</t>
        </is>
      </c>
      <c r="E2344" t="inlineStr">
        <is>
          <t>SKELLEFTEÅ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11077-2024</t>
        </is>
      </c>
      <c r="B2345" s="1" t="n">
        <v>45370.92724537037</v>
      </c>
      <c r="C2345" s="1" t="n">
        <v>46078</v>
      </c>
      <c r="D2345" t="inlineStr">
        <is>
          <t>VÄSTERBOTTENS LÄN</t>
        </is>
      </c>
      <c r="E2345" t="inlineStr">
        <is>
          <t>SKELLEFTEÅ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11079-2024</t>
        </is>
      </c>
      <c r="B2346" s="1" t="n">
        <v>45370.92737268518</v>
      </c>
      <c r="C2346" s="1" t="n">
        <v>46078</v>
      </c>
      <c r="D2346" t="inlineStr">
        <is>
          <t>VÄSTERBOTTENS LÄN</t>
        </is>
      </c>
      <c r="E2346" t="inlineStr">
        <is>
          <t>SKELLEFTEÅ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713-2025</t>
        </is>
      </c>
      <c r="B2347" s="1" t="n">
        <v>45664</v>
      </c>
      <c r="C2347" s="1" t="n">
        <v>46078</v>
      </c>
      <c r="D2347" t="inlineStr">
        <is>
          <t>VÄSTERBOTTENS LÄN</t>
        </is>
      </c>
      <c r="E2347" t="inlineStr">
        <is>
          <t>SKELLEFTEÅ</t>
        </is>
      </c>
      <c r="G2347" t="n">
        <v>7.1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4102-2023</t>
        </is>
      </c>
      <c r="B2348" s="1" t="n">
        <v>44952</v>
      </c>
      <c r="C2348" s="1" t="n">
        <v>46078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Sveaskog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53641-2022</t>
        </is>
      </c>
      <c r="B2349" s="1" t="n">
        <v>44879.93</v>
      </c>
      <c r="C2349" s="1" t="n">
        <v>46078</v>
      </c>
      <c r="D2349" t="inlineStr">
        <is>
          <t>VÄSTERBOTTENS LÄN</t>
        </is>
      </c>
      <c r="E2349" t="inlineStr">
        <is>
          <t>SKELLEFTEÅ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9465-2024</t>
        </is>
      </c>
      <c r="B2350" s="1" t="n">
        <v>45359.54578703704</v>
      </c>
      <c r="C2350" s="1" t="n">
        <v>46078</v>
      </c>
      <c r="D2350" t="inlineStr">
        <is>
          <t>VÄSTERBOTTENS LÄN</t>
        </is>
      </c>
      <c r="E2350" t="inlineStr">
        <is>
          <t>SKELLEFTEÅ</t>
        </is>
      </c>
      <c r="G2350" t="n">
        <v>4.7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51993-2024</t>
        </is>
      </c>
      <c r="B2351" s="1" t="n">
        <v>45607</v>
      </c>
      <c r="C2351" s="1" t="n">
        <v>46078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Kommuner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46846-2024</t>
        </is>
      </c>
      <c r="B2352" s="1" t="n">
        <v>45583</v>
      </c>
      <c r="C2352" s="1" t="n">
        <v>46078</v>
      </c>
      <c r="D2352" t="inlineStr">
        <is>
          <t>VÄSTERBOTTENS LÄN</t>
        </is>
      </c>
      <c r="E2352" t="inlineStr">
        <is>
          <t>SKELLEFTEÅ</t>
        </is>
      </c>
      <c r="G2352" t="n">
        <v>7.5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58897-2022</t>
        </is>
      </c>
      <c r="B2353" s="1" t="n">
        <v>44895</v>
      </c>
      <c r="C2353" s="1" t="n">
        <v>46078</v>
      </c>
      <c r="D2353" t="inlineStr">
        <is>
          <t>VÄSTERBOTTENS LÄN</t>
        </is>
      </c>
      <c r="E2353" t="inlineStr">
        <is>
          <t>SKELLEFTEÅ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52493-2023</t>
        </is>
      </c>
      <c r="B2354" s="1" t="n">
        <v>45225.45331018518</v>
      </c>
      <c r="C2354" s="1" t="n">
        <v>46078</v>
      </c>
      <c r="D2354" t="inlineStr">
        <is>
          <t>VÄSTERBOTTENS LÄN</t>
        </is>
      </c>
      <c r="E2354" t="inlineStr">
        <is>
          <t>SKELLEFTEÅ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56993-2022</t>
        </is>
      </c>
      <c r="B2355" s="1" t="n">
        <v>44894</v>
      </c>
      <c r="C2355" s="1" t="n">
        <v>46078</v>
      </c>
      <c r="D2355" t="inlineStr">
        <is>
          <t>VÄSTERBOTTENS LÄN</t>
        </is>
      </c>
      <c r="E2355" t="inlineStr">
        <is>
          <t>SKELLEFTEÅ</t>
        </is>
      </c>
      <c r="G2355" t="n">
        <v>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41242-2024</t>
        </is>
      </c>
      <c r="B2356" s="1" t="n">
        <v>45559.57296296296</v>
      </c>
      <c r="C2356" s="1" t="n">
        <v>46078</v>
      </c>
      <c r="D2356" t="inlineStr">
        <is>
          <t>VÄSTERBOTTENS LÄN</t>
        </is>
      </c>
      <c r="E2356" t="inlineStr">
        <is>
          <t>SKELLEFTEÅ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54974-2024</t>
        </is>
      </c>
      <c r="B2357" s="1" t="n">
        <v>45620.67599537037</v>
      </c>
      <c r="C2357" s="1" t="n">
        <v>46078</v>
      </c>
      <c r="D2357" t="inlineStr">
        <is>
          <t>VÄSTERBOTTENS LÄN</t>
        </is>
      </c>
      <c r="E2357" t="inlineStr">
        <is>
          <t>SKELLEFTEÅ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8887-2025</t>
        </is>
      </c>
      <c r="B2358" s="1" t="n">
        <v>45713.39284722223</v>
      </c>
      <c r="C2358" s="1" t="n">
        <v>46078</v>
      </c>
      <c r="D2358" t="inlineStr">
        <is>
          <t>VÄSTERBOTTENS LÄN</t>
        </is>
      </c>
      <c r="E2358" t="inlineStr">
        <is>
          <t>SKELLEFTEÅ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8927-2025</t>
        </is>
      </c>
      <c r="B2359" s="1" t="n">
        <v>45713.44215277778</v>
      </c>
      <c r="C2359" s="1" t="n">
        <v>46078</v>
      </c>
      <c r="D2359" t="inlineStr">
        <is>
          <t>VÄSTERBOTTENS LÄN</t>
        </is>
      </c>
      <c r="E2359" t="inlineStr">
        <is>
          <t>SKELLEFTEÅ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17071-2023</t>
        </is>
      </c>
      <c r="B2360" s="1" t="n">
        <v>45030</v>
      </c>
      <c r="C2360" s="1" t="n">
        <v>46078</v>
      </c>
      <c r="D2360" t="inlineStr">
        <is>
          <t>VÄSTERBOTTENS LÄN</t>
        </is>
      </c>
      <c r="E2360" t="inlineStr">
        <is>
          <t>SKELLEFTEÅ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642-2025</t>
        </is>
      </c>
      <c r="B2361" s="1" t="n">
        <v>45660</v>
      </c>
      <c r="C2361" s="1" t="n">
        <v>46078</v>
      </c>
      <c r="D2361" t="inlineStr">
        <is>
          <t>VÄSTERBOTTENS LÄN</t>
        </is>
      </c>
      <c r="E2361" t="inlineStr">
        <is>
          <t>SKELLEFTEÅ</t>
        </is>
      </c>
      <c r="G2361" t="n">
        <v>6.2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24604-2024</t>
        </is>
      </c>
      <c r="B2362" s="1" t="n">
        <v>45460</v>
      </c>
      <c r="C2362" s="1" t="n">
        <v>46078</v>
      </c>
      <c r="D2362" t="inlineStr">
        <is>
          <t>VÄSTERBOTTENS LÄN</t>
        </is>
      </c>
      <c r="E2362" t="inlineStr">
        <is>
          <t>SKELLEFTEÅ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39513-2023</t>
        </is>
      </c>
      <c r="B2363" s="1" t="n">
        <v>45167</v>
      </c>
      <c r="C2363" s="1" t="n">
        <v>46078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6596-2023</t>
        </is>
      </c>
      <c r="B2364" s="1" t="n">
        <v>44963</v>
      </c>
      <c r="C2364" s="1" t="n">
        <v>46078</v>
      </c>
      <c r="D2364" t="inlineStr">
        <is>
          <t>VÄSTERBOTTENS LÄN</t>
        </is>
      </c>
      <c r="E2364" t="inlineStr">
        <is>
          <t>SKELLEFTEÅ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38503-2024</t>
        </is>
      </c>
      <c r="B2365" s="1" t="n">
        <v>45546.52896990741</v>
      </c>
      <c r="C2365" s="1" t="n">
        <v>46078</v>
      </c>
      <c r="D2365" t="inlineStr">
        <is>
          <t>VÄSTERBOTTENS LÄN</t>
        </is>
      </c>
      <c r="E2365" t="inlineStr">
        <is>
          <t>SKELLEFTEÅ</t>
        </is>
      </c>
      <c r="G2365" t="n">
        <v>8.9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13487-2025</t>
        </is>
      </c>
      <c r="B2366" s="1" t="n">
        <v>45736.42761574074</v>
      </c>
      <c r="C2366" s="1" t="n">
        <v>46078</v>
      </c>
      <c r="D2366" t="inlineStr">
        <is>
          <t>VÄSTERBOTTENS LÄN</t>
        </is>
      </c>
      <c r="E2366" t="inlineStr">
        <is>
          <t>SKELLEFTEÅ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2393-2023</t>
        </is>
      </c>
      <c r="B2367" s="1" t="n">
        <v>44942.9234375</v>
      </c>
      <c r="C2367" s="1" t="n">
        <v>46078</v>
      </c>
      <c r="D2367" t="inlineStr">
        <is>
          <t>VÄSTERBOTTENS LÄN</t>
        </is>
      </c>
      <c r="E2367" t="inlineStr">
        <is>
          <t>SKELLEFTEÅ</t>
        </is>
      </c>
      <c r="G2367" t="n">
        <v>7.6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47514-2024</t>
        </is>
      </c>
      <c r="B2368" s="1" t="n">
        <v>45587</v>
      </c>
      <c r="C2368" s="1" t="n">
        <v>46078</v>
      </c>
      <c r="D2368" t="inlineStr">
        <is>
          <t>VÄSTERBOTTENS LÄN</t>
        </is>
      </c>
      <c r="E2368" t="inlineStr">
        <is>
          <t>SKELLEFTEÅ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24653-2021</t>
        </is>
      </c>
      <c r="B2369" s="1" t="n">
        <v>44340</v>
      </c>
      <c r="C2369" s="1" t="n">
        <v>46078</v>
      </c>
      <c r="D2369" t="inlineStr">
        <is>
          <t>VÄSTERBOTTENS LÄN</t>
        </is>
      </c>
      <c r="E2369" t="inlineStr">
        <is>
          <t>SKELLEFTEÅ</t>
        </is>
      </c>
      <c r="G2369" t="n">
        <v>6.7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36546-2024</t>
        </is>
      </c>
      <c r="B2370" s="1" t="n">
        <v>45537</v>
      </c>
      <c r="C2370" s="1" t="n">
        <v>46078</v>
      </c>
      <c r="D2370" t="inlineStr">
        <is>
          <t>VÄSTERBOTTENS LÄN</t>
        </is>
      </c>
      <c r="E2370" t="inlineStr">
        <is>
          <t>SKELLEFTEÅ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44479-2024</t>
        </is>
      </c>
      <c r="B2371" s="1" t="n">
        <v>45574</v>
      </c>
      <c r="C2371" s="1" t="n">
        <v>46078</v>
      </c>
      <c r="D2371" t="inlineStr">
        <is>
          <t>VÄSTERBOTTENS LÄN</t>
        </is>
      </c>
      <c r="E2371" t="inlineStr">
        <is>
          <t>SKELLEFTEÅ</t>
        </is>
      </c>
      <c r="G2371" t="n">
        <v>7.7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61101-2022</t>
        </is>
      </c>
      <c r="B2372" s="1" t="n">
        <v>44915</v>
      </c>
      <c r="C2372" s="1" t="n">
        <v>46078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Sveaskog</t>
        </is>
      </c>
      <c r="G2372" t="n">
        <v>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27698-2021</t>
        </is>
      </c>
      <c r="B2373" s="1" t="n">
        <v>44354.44306712963</v>
      </c>
      <c r="C2373" s="1" t="n">
        <v>46078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15906-2023</t>
        </is>
      </c>
      <c r="B2374" s="1" t="n">
        <v>45021</v>
      </c>
      <c r="C2374" s="1" t="n">
        <v>46078</v>
      </c>
      <c r="D2374" t="inlineStr">
        <is>
          <t>VÄSTERBOTTENS LÄN</t>
        </is>
      </c>
      <c r="E2374" t="inlineStr">
        <is>
          <t>SKELLEFTEÅ</t>
        </is>
      </c>
      <c r="G2374" t="n">
        <v>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41710-2024</t>
        </is>
      </c>
      <c r="B2375" s="1" t="n">
        <v>45560.70313657408</v>
      </c>
      <c r="C2375" s="1" t="n">
        <v>46078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13493-2025</t>
        </is>
      </c>
      <c r="B2376" s="1" t="n">
        <v>45736.43454861111</v>
      </c>
      <c r="C2376" s="1" t="n">
        <v>46078</v>
      </c>
      <c r="D2376" t="inlineStr">
        <is>
          <t>VÄSTERBOTTENS LÄN</t>
        </is>
      </c>
      <c r="E2376" t="inlineStr">
        <is>
          <t>SKELLEFTEÅ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9053-2022</t>
        </is>
      </c>
      <c r="B2377" s="1" t="n">
        <v>44615</v>
      </c>
      <c r="C2377" s="1" t="n">
        <v>46078</v>
      </c>
      <c r="D2377" t="inlineStr">
        <is>
          <t>VÄSTERBOTTENS LÄN</t>
        </is>
      </c>
      <c r="E2377" t="inlineStr">
        <is>
          <t>SKELLEFTEÅ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50338-2023</t>
        </is>
      </c>
      <c r="B2378" s="1" t="n">
        <v>45216</v>
      </c>
      <c r="C2378" s="1" t="n">
        <v>46078</v>
      </c>
      <c r="D2378" t="inlineStr">
        <is>
          <t>VÄSTERBOTTENS LÄN</t>
        </is>
      </c>
      <c r="E2378" t="inlineStr">
        <is>
          <t>SKELLEFTEÅ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29687-2021</t>
        </is>
      </c>
      <c r="B2379" s="1" t="n">
        <v>44362.37407407408</v>
      </c>
      <c r="C2379" s="1" t="n">
        <v>46078</v>
      </c>
      <c r="D2379" t="inlineStr">
        <is>
          <t>VÄSTERBOTTENS LÄN</t>
        </is>
      </c>
      <c r="E2379" t="inlineStr">
        <is>
          <t>SKELLEFTEÅ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1206-2023</t>
        </is>
      </c>
      <c r="B2380" s="1" t="n">
        <v>44930</v>
      </c>
      <c r="C2380" s="1" t="n">
        <v>46078</v>
      </c>
      <c r="D2380" t="inlineStr">
        <is>
          <t>VÄSTERBOTTENS LÄN</t>
        </is>
      </c>
      <c r="E2380" t="inlineStr">
        <is>
          <t>SKELLEFTEÅ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17961-2025</t>
        </is>
      </c>
      <c r="B2381" s="1" t="n">
        <v>45761.32622685185</v>
      </c>
      <c r="C2381" s="1" t="n">
        <v>46078</v>
      </c>
      <c r="D2381" t="inlineStr">
        <is>
          <t>VÄSTERBOTTENS LÄN</t>
        </is>
      </c>
      <c r="E2381" t="inlineStr">
        <is>
          <t>SKELLEFTEÅ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11942-2023</t>
        </is>
      </c>
      <c r="B2382" s="1" t="n">
        <v>44995.52376157408</v>
      </c>
      <c r="C2382" s="1" t="n">
        <v>46078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Sveaskog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52920-2024</t>
        </is>
      </c>
      <c r="B2383" s="1" t="n">
        <v>45610</v>
      </c>
      <c r="C2383" s="1" t="n">
        <v>46078</v>
      </c>
      <c r="D2383" t="inlineStr">
        <is>
          <t>VÄSTERBOTTENS LÄN</t>
        </is>
      </c>
      <c r="E2383" t="inlineStr">
        <is>
          <t>SKELLEFTEÅ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15745-2025</t>
        </is>
      </c>
      <c r="B2384" s="1" t="n">
        <v>45748.5515162037</v>
      </c>
      <c r="C2384" s="1" t="n">
        <v>46078</v>
      </c>
      <c r="D2384" t="inlineStr">
        <is>
          <t>VÄSTERBOTTENS LÄN</t>
        </is>
      </c>
      <c r="E2384" t="inlineStr">
        <is>
          <t>SKELLEFTEÅ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54193-2021</t>
        </is>
      </c>
      <c r="B2385" s="1" t="n">
        <v>44470</v>
      </c>
      <c r="C2385" s="1" t="n">
        <v>46078</v>
      </c>
      <c r="D2385" t="inlineStr">
        <is>
          <t>VÄSTERBOTTENS LÄN</t>
        </is>
      </c>
      <c r="E2385" t="inlineStr">
        <is>
          <t>SKELLEFTEÅ</t>
        </is>
      </c>
      <c r="G2385" t="n">
        <v>26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33109-2024</t>
        </is>
      </c>
      <c r="B2386" s="1" t="n">
        <v>45517</v>
      </c>
      <c r="C2386" s="1" t="n">
        <v>46078</v>
      </c>
      <c r="D2386" t="inlineStr">
        <is>
          <t>VÄSTERBOTTENS LÄN</t>
        </is>
      </c>
      <c r="E2386" t="inlineStr">
        <is>
          <t>SKELLEFTEÅ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4138-2024</t>
        </is>
      </c>
      <c r="B2387" s="1" t="n">
        <v>45323</v>
      </c>
      <c r="C2387" s="1" t="n">
        <v>46078</v>
      </c>
      <c r="D2387" t="inlineStr">
        <is>
          <t>VÄSTERBOTTENS LÄN</t>
        </is>
      </c>
      <c r="E2387" t="inlineStr">
        <is>
          <t>SKELLEFTEÅ</t>
        </is>
      </c>
      <c r="G2387" t="n">
        <v>5.6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19422-2023</t>
        </is>
      </c>
      <c r="B2388" s="1" t="n">
        <v>45049</v>
      </c>
      <c r="C2388" s="1" t="n">
        <v>46078</v>
      </c>
      <c r="D2388" t="inlineStr">
        <is>
          <t>VÄSTERBOTTENS LÄN</t>
        </is>
      </c>
      <c r="E2388" t="inlineStr">
        <is>
          <t>SKELLEFTEÅ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21883-2022</t>
        </is>
      </c>
      <c r="B2389" s="1" t="n">
        <v>44711</v>
      </c>
      <c r="C2389" s="1" t="n">
        <v>46078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28283-2024</t>
        </is>
      </c>
      <c r="B2390" s="1" t="n">
        <v>45477.46223379629</v>
      </c>
      <c r="C2390" s="1" t="n">
        <v>46078</v>
      </c>
      <c r="D2390" t="inlineStr">
        <is>
          <t>VÄSTERBOTTENS LÄN</t>
        </is>
      </c>
      <c r="E2390" t="inlineStr">
        <is>
          <t>SKELLEFTEÅ</t>
        </is>
      </c>
      <c r="G2390" t="n">
        <v>6.2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11989-2023</t>
        </is>
      </c>
      <c r="B2391" s="1" t="n">
        <v>44994</v>
      </c>
      <c r="C2391" s="1" t="n">
        <v>46078</v>
      </c>
      <c r="D2391" t="inlineStr">
        <is>
          <t>VÄSTERBOTTENS LÄN</t>
        </is>
      </c>
      <c r="E2391" t="inlineStr">
        <is>
          <t>SKELLEFTEÅ</t>
        </is>
      </c>
      <c r="G2391" t="n">
        <v>6.8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55500-2024</t>
        </is>
      </c>
      <c r="B2392" s="1" t="n">
        <v>45622.45622685185</v>
      </c>
      <c r="C2392" s="1" t="n">
        <v>46078</v>
      </c>
      <c r="D2392" t="inlineStr">
        <is>
          <t>VÄSTERBOTTENS LÄN</t>
        </is>
      </c>
      <c r="E2392" t="inlineStr">
        <is>
          <t>SKELLEFTEÅ</t>
        </is>
      </c>
      <c r="G2392" t="n">
        <v>11.2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25638-2023</t>
        </is>
      </c>
      <c r="B2393" s="1" t="n">
        <v>45084</v>
      </c>
      <c r="C2393" s="1" t="n">
        <v>46078</v>
      </c>
      <c r="D2393" t="inlineStr">
        <is>
          <t>VÄSTERBOTTENS LÄN</t>
        </is>
      </c>
      <c r="E2393" t="inlineStr">
        <is>
          <t>SKELLEFTEÅ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11707-2023</t>
        </is>
      </c>
      <c r="B2394" s="1" t="n">
        <v>44992</v>
      </c>
      <c r="C2394" s="1" t="n">
        <v>46078</v>
      </c>
      <c r="D2394" t="inlineStr">
        <is>
          <t>VÄSTERBOTTENS LÄN</t>
        </is>
      </c>
      <c r="E2394" t="inlineStr">
        <is>
          <t>SKELLEFTEÅ</t>
        </is>
      </c>
      <c r="G2394" t="n">
        <v>7.2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14663-2024</t>
        </is>
      </c>
      <c r="B2395" s="1" t="n">
        <v>45397.41376157408</v>
      </c>
      <c r="C2395" s="1" t="n">
        <v>46078</v>
      </c>
      <c r="D2395" t="inlineStr">
        <is>
          <t>VÄSTERBOTTENS LÄN</t>
        </is>
      </c>
      <c r="E2395" t="inlineStr">
        <is>
          <t>SKELLEFTEÅ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65178-2023</t>
        </is>
      </c>
      <c r="B2396" s="1" t="n">
        <v>45288.93209490741</v>
      </c>
      <c r="C2396" s="1" t="n">
        <v>46078</v>
      </c>
      <c r="D2396" t="inlineStr">
        <is>
          <t>VÄSTERBOTTENS LÄN</t>
        </is>
      </c>
      <c r="E2396" t="inlineStr">
        <is>
          <t>SKELLEFTEÅ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52548-2022</t>
        </is>
      </c>
      <c r="B2397" s="1" t="n">
        <v>44874</v>
      </c>
      <c r="C2397" s="1" t="n">
        <v>46078</v>
      </c>
      <c r="D2397" t="inlineStr">
        <is>
          <t>VÄSTERBOTTENS LÄN</t>
        </is>
      </c>
      <c r="E2397" t="inlineStr">
        <is>
          <t>SKELLEFTEÅ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4022-2024</t>
        </is>
      </c>
      <c r="B2398" s="1" t="n">
        <v>45323</v>
      </c>
      <c r="C2398" s="1" t="n">
        <v>46078</v>
      </c>
      <c r="D2398" t="inlineStr">
        <is>
          <t>VÄSTERBOTTENS LÄN</t>
        </is>
      </c>
      <c r="E2398" t="inlineStr">
        <is>
          <t>SKELLEFTEÅ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4458-2023</t>
        </is>
      </c>
      <c r="B2399" s="1" t="n">
        <v>44952</v>
      </c>
      <c r="C2399" s="1" t="n">
        <v>46078</v>
      </c>
      <c r="D2399" t="inlineStr">
        <is>
          <t>VÄSTERBOTTENS LÄN</t>
        </is>
      </c>
      <c r="E2399" t="inlineStr">
        <is>
          <t>SKELLEFTEÅ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50515-2024</t>
        </is>
      </c>
      <c r="B2400" s="1" t="n">
        <v>45601.55185185185</v>
      </c>
      <c r="C2400" s="1" t="n">
        <v>46078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8.5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2090-2024</t>
        </is>
      </c>
      <c r="B2401" s="1" t="n">
        <v>45309.434375</v>
      </c>
      <c r="C2401" s="1" t="n">
        <v>46078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Sveaskog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46108-2024</t>
        </is>
      </c>
      <c r="B2402" s="1" t="n">
        <v>45581</v>
      </c>
      <c r="C2402" s="1" t="n">
        <v>46078</v>
      </c>
      <c r="D2402" t="inlineStr">
        <is>
          <t>VÄSTERBOTTENS LÄN</t>
        </is>
      </c>
      <c r="E2402" t="inlineStr">
        <is>
          <t>SKELLEFTEÅ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16642-2025</t>
        </is>
      </c>
      <c r="B2403" s="1" t="n">
        <v>45754.37208333334</v>
      </c>
      <c r="C2403" s="1" t="n">
        <v>46078</v>
      </c>
      <c r="D2403" t="inlineStr">
        <is>
          <t>VÄSTERBOTTENS LÄN</t>
        </is>
      </c>
      <c r="E2403" t="inlineStr">
        <is>
          <t>SKELLEFTEÅ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2043-2024</t>
        </is>
      </c>
      <c r="B2404" s="1" t="n">
        <v>45308</v>
      </c>
      <c r="C2404" s="1" t="n">
        <v>46078</v>
      </c>
      <c r="D2404" t="inlineStr">
        <is>
          <t>VÄSTERBOTTENS LÄN</t>
        </is>
      </c>
      <c r="E2404" t="inlineStr">
        <is>
          <t>SKELLEFTEÅ</t>
        </is>
      </c>
      <c r="G2404" t="n">
        <v>10.5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30369-2023</t>
        </is>
      </c>
      <c r="B2405" s="1" t="n">
        <v>45111</v>
      </c>
      <c r="C2405" s="1" t="n">
        <v>46078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4104-2023</t>
        </is>
      </c>
      <c r="B2406" s="1" t="n">
        <v>44952</v>
      </c>
      <c r="C2406" s="1" t="n">
        <v>46078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Sveaskog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5373-2023</t>
        </is>
      </c>
      <c r="B2407" s="1" t="n">
        <v>44957</v>
      </c>
      <c r="C2407" s="1" t="n">
        <v>46078</v>
      </c>
      <c r="D2407" t="inlineStr">
        <is>
          <t>VÄSTERBOTTENS LÄN</t>
        </is>
      </c>
      <c r="E2407" t="inlineStr">
        <is>
          <t>SKELLEFTEÅ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58575-2023</t>
        </is>
      </c>
      <c r="B2408" s="1" t="n">
        <v>45251.44665509259</v>
      </c>
      <c r="C2408" s="1" t="n">
        <v>46078</v>
      </c>
      <c r="D2408" t="inlineStr">
        <is>
          <t>VÄSTERBOTTENS LÄN</t>
        </is>
      </c>
      <c r="E2408" t="inlineStr">
        <is>
          <t>SKELLEFTEÅ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21842-2022</t>
        </is>
      </c>
      <c r="B2409" s="1" t="n">
        <v>44711.30804398148</v>
      </c>
      <c r="C2409" s="1" t="n">
        <v>46078</v>
      </c>
      <c r="D2409" t="inlineStr">
        <is>
          <t>VÄSTERBOTTENS LÄN</t>
        </is>
      </c>
      <c r="E2409" t="inlineStr">
        <is>
          <t>SKELLEFTEÅ</t>
        </is>
      </c>
      <c r="G2409" t="n">
        <v>5.4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26626-2024</t>
        </is>
      </c>
      <c r="B2410" s="1" t="n">
        <v>45469.78458333333</v>
      </c>
      <c r="C2410" s="1" t="n">
        <v>46078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Sveaskog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36327-2023</t>
        </is>
      </c>
      <c r="B2411" s="1" t="n">
        <v>45152</v>
      </c>
      <c r="C2411" s="1" t="n">
        <v>46078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Holmen skog AB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35952-2023</t>
        </is>
      </c>
      <c r="B2412" s="1" t="n">
        <v>45148</v>
      </c>
      <c r="C2412" s="1" t="n">
        <v>46078</v>
      </c>
      <c r="D2412" t="inlineStr">
        <is>
          <t>VÄSTERBOTTENS LÄN</t>
        </is>
      </c>
      <c r="E2412" t="inlineStr">
        <is>
          <t>SKELLEFTEÅ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10911-2024</t>
        </is>
      </c>
      <c r="B2413" s="1" t="n">
        <v>45370</v>
      </c>
      <c r="C2413" s="1" t="n">
        <v>46078</v>
      </c>
      <c r="D2413" t="inlineStr">
        <is>
          <t>VÄSTERBOTTENS LÄN</t>
        </is>
      </c>
      <c r="E2413" t="inlineStr">
        <is>
          <t>SKELLEFTEÅ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18443-2025</t>
        </is>
      </c>
      <c r="B2414" s="1" t="n">
        <v>45762.65668981482</v>
      </c>
      <c r="C2414" s="1" t="n">
        <v>46078</v>
      </c>
      <c r="D2414" t="inlineStr">
        <is>
          <t>VÄSTERBOTTENS LÄN</t>
        </is>
      </c>
      <c r="E2414" t="inlineStr">
        <is>
          <t>SKELLEFTEÅ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7875-2023</t>
        </is>
      </c>
      <c r="B2415" s="1" t="n">
        <v>44967</v>
      </c>
      <c r="C2415" s="1" t="n">
        <v>46078</v>
      </c>
      <c r="D2415" t="inlineStr">
        <is>
          <t>VÄSTERBOTTENS LÄN</t>
        </is>
      </c>
      <c r="E2415" t="inlineStr">
        <is>
          <t>SKELLEFTEÅ</t>
        </is>
      </c>
      <c r="G2415" t="n">
        <v>0.1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53720-2024</t>
        </is>
      </c>
      <c r="B2416" s="1" t="n">
        <v>45615.43817129629</v>
      </c>
      <c r="C2416" s="1" t="n">
        <v>46078</v>
      </c>
      <c r="D2416" t="inlineStr">
        <is>
          <t>VÄSTERBOTTENS LÄN</t>
        </is>
      </c>
      <c r="E2416" t="inlineStr">
        <is>
          <t>SKELLEFTEÅ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32747-2023</t>
        </is>
      </c>
      <c r="B2417" s="1" t="n">
        <v>45122</v>
      </c>
      <c r="C2417" s="1" t="n">
        <v>46078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51222-2022</t>
        </is>
      </c>
      <c r="B2418" s="1" t="n">
        <v>44868.63834490741</v>
      </c>
      <c r="C2418" s="1" t="n">
        <v>46078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Holmen skog AB</t>
        </is>
      </c>
      <c r="G2418" t="n">
        <v>16.4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56627-2021</t>
        </is>
      </c>
      <c r="B2419" s="1" t="n">
        <v>44480.84313657408</v>
      </c>
      <c r="C2419" s="1" t="n">
        <v>46078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Sveaskog</t>
        </is>
      </c>
      <c r="G2419" t="n">
        <v>20.1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15089-2025</t>
        </is>
      </c>
      <c r="B2420" s="1" t="n">
        <v>45744.32665509259</v>
      </c>
      <c r="C2420" s="1" t="n">
        <v>46078</v>
      </c>
      <c r="D2420" t="inlineStr">
        <is>
          <t>VÄSTERBOTTENS LÄN</t>
        </is>
      </c>
      <c r="E2420" t="inlineStr">
        <is>
          <t>SKELLEFTEÅ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9740-2023</t>
        </is>
      </c>
      <c r="B2421" s="1" t="n">
        <v>44978</v>
      </c>
      <c r="C2421" s="1" t="n">
        <v>46078</v>
      </c>
      <c r="D2421" t="inlineStr">
        <is>
          <t>VÄSTERBOTTENS LÄN</t>
        </is>
      </c>
      <c r="E2421" t="inlineStr">
        <is>
          <t>SKELLEFTEÅ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58838-2023</t>
        </is>
      </c>
      <c r="B2422" s="1" t="n">
        <v>45252.41853009259</v>
      </c>
      <c r="C2422" s="1" t="n">
        <v>46078</v>
      </c>
      <c r="D2422" t="inlineStr">
        <is>
          <t>VÄSTERBOTTENS LÄN</t>
        </is>
      </c>
      <c r="E2422" t="inlineStr">
        <is>
          <t>SKELLEFTEÅ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17026-2023</t>
        </is>
      </c>
      <c r="B2423" s="1" t="n">
        <v>45030</v>
      </c>
      <c r="C2423" s="1" t="n">
        <v>46078</v>
      </c>
      <c r="D2423" t="inlineStr">
        <is>
          <t>VÄSTERBOTTENS LÄN</t>
        </is>
      </c>
      <c r="E2423" t="inlineStr">
        <is>
          <t>SKELLEFTEÅ</t>
        </is>
      </c>
      <c r="G2423" t="n">
        <v>7.1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28433-2023</t>
        </is>
      </c>
      <c r="B2424" s="1" t="n">
        <v>45102.60045138889</v>
      </c>
      <c r="C2424" s="1" t="n">
        <v>46078</v>
      </c>
      <c r="D2424" t="inlineStr">
        <is>
          <t>VÄSTERBOTTENS LÄN</t>
        </is>
      </c>
      <c r="E2424" t="inlineStr">
        <is>
          <t>SKELLEFTEÅ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35881-2024</t>
        </is>
      </c>
      <c r="B2425" s="1" t="n">
        <v>45533.35347222222</v>
      </c>
      <c r="C2425" s="1" t="n">
        <v>46078</v>
      </c>
      <c r="D2425" t="inlineStr">
        <is>
          <t>VÄSTERBOTTENS LÄN</t>
        </is>
      </c>
      <c r="E2425" t="inlineStr">
        <is>
          <t>SKELLEFTEÅ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52129-2022</t>
        </is>
      </c>
      <c r="B2426" s="1" t="n">
        <v>44868</v>
      </c>
      <c r="C2426" s="1" t="n">
        <v>46078</v>
      </c>
      <c r="D2426" t="inlineStr">
        <is>
          <t>VÄSTERBOTTENS LÄN</t>
        </is>
      </c>
      <c r="E2426" t="inlineStr">
        <is>
          <t>SKELLEFTEÅ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42995-2024</t>
        </is>
      </c>
      <c r="B2427" s="1" t="n">
        <v>45567.37570601852</v>
      </c>
      <c r="C2427" s="1" t="n">
        <v>46078</v>
      </c>
      <c r="D2427" t="inlineStr">
        <is>
          <t>VÄSTERBOTTENS LÄN</t>
        </is>
      </c>
      <c r="E2427" t="inlineStr">
        <is>
          <t>SKELLEFTEÅ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41112-2024</t>
        </is>
      </c>
      <c r="B2428" s="1" t="n">
        <v>45559.45047453704</v>
      </c>
      <c r="C2428" s="1" t="n">
        <v>46078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5.3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41118-2024</t>
        </is>
      </c>
      <c r="B2429" s="1" t="n">
        <v>45559.45327546296</v>
      </c>
      <c r="C2429" s="1" t="n">
        <v>46078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4.5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23520-2024</t>
        </is>
      </c>
      <c r="B2430" s="1" t="n">
        <v>45453</v>
      </c>
      <c r="C2430" s="1" t="n">
        <v>46078</v>
      </c>
      <c r="D2430" t="inlineStr">
        <is>
          <t>VÄSTERBOTTENS LÄN</t>
        </is>
      </c>
      <c r="E2430" t="inlineStr">
        <is>
          <t>SKELLEFTEÅ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46657-2024</t>
        </is>
      </c>
      <c r="B2431" s="1" t="n">
        <v>45583.36118055556</v>
      </c>
      <c r="C2431" s="1" t="n">
        <v>46078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53124-2024</t>
        </is>
      </c>
      <c r="B2432" s="1" t="n">
        <v>45611.58855324074</v>
      </c>
      <c r="C2432" s="1" t="n">
        <v>46078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Holmen skog AB</t>
        </is>
      </c>
      <c r="G2432" t="n">
        <v>6.8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5660-2024</t>
        </is>
      </c>
      <c r="B2433" s="1" t="n">
        <v>45334.64248842592</v>
      </c>
      <c r="C2433" s="1" t="n">
        <v>46078</v>
      </c>
      <c r="D2433" t="inlineStr">
        <is>
          <t>VÄSTERBOTTENS LÄN</t>
        </is>
      </c>
      <c r="E2433" t="inlineStr">
        <is>
          <t>SKELLEFTEÅ</t>
        </is>
      </c>
      <c r="G2433" t="n">
        <v>14.1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43749-2024</t>
        </is>
      </c>
      <c r="B2434" s="1" t="n">
        <v>45569.66871527778</v>
      </c>
      <c r="C2434" s="1" t="n">
        <v>46078</v>
      </c>
      <c r="D2434" t="inlineStr">
        <is>
          <t>VÄSTERBOTTENS LÄN</t>
        </is>
      </c>
      <c r="E2434" t="inlineStr">
        <is>
          <t>SKELLEFTEÅ</t>
        </is>
      </c>
      <c r="G2434" t="n">
        <v>6.3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56529-2024</t>
        </is>
      </c>
      <c r="B2435" s="1" t="n">
        <v>45625.5534837963</v>
      </c>
      <c r="C2435" s="1" t="n">
        <v>46078</v>
      </c>
      <c r="D2435" t="inlineStr">
        <is>
          <t>VÄSTERBOTTENS LÄN</t>
        </is>
      </c>
      <c r="E2435" t="inlineStr">
        <is>
          <t>SKELLEFTEÅ</t>
        </is>
      </c>
      <c r="G2435" t="n">
        <v>4.6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56530-2024</t>
        </is>
      </c>
      <c r="B2436" s="1" t="n">
        <v>45625</v>
      </c>
      <c r="C2436" s="1" t="n">
        <v>46078</v>
      </c>
      <c r="D2436" t="inlineStr">
        <is>
          <t>VÄSTERBOTTENS LÄN</t>
        </is>
      </c>
      <c r="E2436" t="inlineStr">
        <is>
          <t>SKELLEFTEÅ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52453-2021</t>
        </is>
      </c>
      <c r="B2437" s="1" t="n">
        <v>44463</v>
      </c>
      <c r="C2437" s="1" t="n">
        <v>46078</v>
      </c>
      <c r="D2437" t="inlineStr">
        <is>
          <t>VÄSTERBOTTENS LÄN</t>
        </is>
      </c>
      <c r="E2437" t="inlineStr">
        <is>
          <t>SKELLEFTEÅ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16239-2023</t>
        </is>
      </c>
      <c r="B2438" s="1" t="n">
        <v>45028</v>
      </c>
      <c r="C2438" s="1" t="n">
        <v>46078</v>
      </c>
      <c r="D2438" t="inlineStr">
        <is>
          <t>VÄSTERBOTTENS LÄN</t>
        </is>
      </c>
      <c r="E2438" t="inlineStr">
        <is>
          <t>SKELLEFTEÅ</t>
        </is>
      </c>
      <c r="G2438" t="n">
        <v>0.3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6837-2022</t>
        </is>
      </c>
      <c r="B2439" s="1" t="n">
        <v>44602</v>
      </c>
      <c r="C2439" s="1" t="n">
        <v>46078</v>
      </c>
      <c r="D2439" t="inlineStr">
        <is>
          <t>VÄSTERBOTTENS LÄN</t>
        </is>
      </c>
      <c r="E2439" t="inlineStr">
        <is>
          <t>SKELLEFTEÅ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1256-2024</t>
        </is>
      </c>
      <c r="B2440" s="1" t="n">
        <v>45302</v>
      </c>
      <c r="C2440" s="1" t="n">
        <v>46078</v>
      </c>
      <c r="D2440" t="inlineStr">
        <is>
          <t>VÄSTERBOTTENS LÄN</t>
        </is>
      </c>
      <c r="E2440" t="inlineStr">
        <is>
          <t>SKELLEFTEÅ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45788-2024</t>
        </is>
      </c>
      <c r="B2441" s="1" t="n">
        <v>45579</v>
      </c>
      <c r="C2441" s="1" t="n">
        <v>46078</v>
      </c>
      <c r="D2441" t="inlineStr">
        <is>
          <t>VÄSTERBOTTENS LÄN</t>
        </is>
      </c>
      <c r="E2441" t="inlineStr">
        <is>
          <t>SKELLEFTEÅ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47910-2023</t>
        </is>
      </c>
      <c r="B2442" s="1" t="n">
        <v>45204.5140625</v>
      </c>
      <c r="C2442" s="1" t="n">
        <v>46078</v>
      </c>
      <c r="D2442" t="inlineStr">
        <is>
          <t>VÄSTERBOTTENS LÄN</t>
        </is>
      </c>
      <c r="E2442" t="inlineStr">
        <is>
          <t>SKELLEFTEÅ</t>
        </is>
      </c>
      <c r="G2442" t="n">
        <v>6.7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6244-2024</t>
        </is>
      </c>
      <c r="B2443" s="1" t="n">
        <v>45337</v>
      </c>
      <c r="C2443" s="1" t="n">
        <v>46078</v>
      </c>
      <c r="D2443" t="inlineStr">
        <is>
          <t>VÄSTERBOTTENS LÄN</t>
        </is>
      </c>
      <c r="E2443" t="inlineStr">
        <is>
          <t>SKELLEFTEÅ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62599-2023</t>
        </is>
      </c>
      <c r="B2444" s="1" t="n">
        <v>45267</v>
      </c>
      <c r="C2444" s="1" t="n">
        <v>46078</v>
      </c>
      <c r="D2444" t="inlineStr">
        <is>
          <t>VÄSTERBOTTENS LÄN</t>
        </is>
      </c>
      <c r="E2444" t="inlineStr">
        <is>
          <t>SKELLEFTEÅ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62601-2023</t>
        </is>
      </c>
      <c r="B2445" s="1" t="n">
        <v>45267</v>
      </c>
      <c r="C2445" s="1" t="n">
        <v>46078</v>
      </c>
      <c r="D2445" t="inlineStr">
        <is>
          <t>VÄSTERBOTTENS LÄN</t>
        </is>
      </c>
      <c r="E2445" t="inlineStr">
        <is>
          <t>SKELLEFTEÅ</t>
        </is>
      </c>
      <c r="G2445" t="n">
        <v>5.6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56072-2022</t>
        </is>
      </c>
      <c r="B2446" s="1" t="n">
        <v>44889.60342592592</v>
      </c>
      <c r="C2446" s="1" t="n">
        <v>46078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60210-2024</t>
        </is>
      </c>
      <c r="B2447" s="1" t="n">
        <v>45642</v>
      </c>
      <c r="C2447" s="1" t="n">
        <v>46078</v>
      </c>
      <c r="D2447" t="inlineStr">
        <is>
          <t>VÄSTERBOTTENS LÄN</t>
        </is>
      </c>
      <c r="E2447" t="inlineStr">
        <is>
          <t>SKELLEFTEÅ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55907-2023</t>
        </is>
      </c>
      <c r="B2448" s="1" t="n">
        <v>45239</v>
      </c>
      <c r="C2448" s="1" t="n">
        <v>46078</v>
      </c>
      <c r="D2448" t="inlineStr">
        <is>
          <t>VÄSTERBOTTENS LÄN</t>
        </is>
      </c>
      <c r="E2448" t="inlineStr">
        <is>
          <t>SKELLEFTEÅ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8648-2023</t>
        </is>
      </c>
      <c r="B2449" s="1" t="n">
        <v>44977.98358796296</v>
      </c>
      <c r="C2449" s="1" t="n">
        <v>46078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SCA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25491-2021</t>
        </is>
      </c>
      <c r="B2450" s="1" t="n">
        <v>44342</v>
      </c>
      <c r="C2450" s="1" t="n">
        <v>46078</v>
      </c>
      <c r="D2450" t="inlineStr">
        <is>
          <t>VÄSTERBOTTENS LÄN</t>
        </is>
      </c>
      <c r="E2450" t="inlineStr">
        <is>
          <t>SKELLEFTEÅ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40274-2023</t>
        </is>
      </c>
      <c r="B2451" s="1" t="n">
        <v>45169.55936342593</v>
      </c>
      <c r="C2451" s="1" t="n">
        <v>46078</v>
      </c>
      <c r="D2451" t="inlineStr">
        <is>
          <t>VÄSTERBOTTENS LÄN</t>
        </is>
      </c>
      <c r="E2451" t="inlineStr">
        <is>
          <t>SKELLEFTEÅ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50476-2024</t>
        </is>
      </c>
      <c r="B2452" s="1" t="n">
        <v>45601.47450231481</v>
      </c>
      <c r="C2452" s="1" t="n">
        <v>46078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13569-2025</t>
        </is>
      </c>
      <c r="B2453" s="1" t="n">
        <v>45736.57212962963</v>
      </c>
      <c r="C2453" s="1" t="n">
        <v>46078</v>
      </c>
      <c r="D2453" t="inlineStr">
        <is>
          <t>VÄSTERBOTTENS LÄN</t>
        </is>
      </c>
      <c r="E2453" t="inlineStr">
        <is>
          <t>SKELLEFTEÅ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38616-2024</t>
        </is>
      </c>
      <c r="B2454" s="1" t="n">
        <v>45546.70543981482</v>
      </c>
      <c r="C2454" s="1" t="n">
        <v>46078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Holmen skog AB</t>
        </is>
      </c>
      <c r="G2454" t="n">
        <v>9.199999999999999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16236-2025</t>
        </is>
      </c>
      <c r="B2455" s="1" t="n">
        <v>45750</v>
      </c>
      <c r="C2455" s="1" t="n">
        <v>46078</v>
      </c>
      <c r="D2455" t="inlineStr">
        <is>
          <t>VÄSTERBOTTENS LÄN</t>
        </is>
      </c>
      <c r="E2455" t="inlineStr">
        <is>
          <t>SKELLEFTEÅ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51664-2023</t>
        </is>
      </c>
      <c r="B2456" s="1" t="n">
        <v>45215</v>
      </c>
      <c r="C2456" s="1" t="n">
        <v>46078</v>
      </c>
      <c r="D2456" t="inlineStr">
        <is>
          <t>VÄSTERBOTTENS LÄN</t>
        </is>
      </c>
      <c r="E2456" t="inlineStr">
        <is>
          <t>SKELLEFTEÅ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46078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45374-2024</t>
        </is>
      </c>
      <c r="B2458" s="1" t="n">
        <v>45576.51516203704</v>
      </c>
      <c r="C2458" s="1" t="n">
        <v>46078</v>
      </c>
      <c r="D2458" t="inlineStr">
        <is>
          <t>VÄSTERBOTTENS LÄN</t>
        </is>
      </c>
      <c r="E2458" t="inlineStr">
        <is>
          <t>SKELLEFTEÅ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45403-2024</t>
        </is>
      </c>
      <c r="B2459" s="1" t="n">
        <v>45576.57667824074</v>
      </c>
      <c r="C2459" s="1" t="n">
        <v>46078</v>
      </c>
      <c r="D2459" t="inlineStr">
        <is>
          <t>VÄSTERBOTTENS LÄN</t>
        </is>
      </c>
      <c r="E2459" t="inlineStr">
        <is>
          <t>SKELLEFTEÅ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71798-2021</t>
        </is>
      </c>
      <c r="B2460" s="1" t="n">
        <v>44543.56943287037</v>
      </c>
      <c r="C2460" s="1" t="n">
        <v>46078</v>
      </c>
      <c r="D2460" t="inlineStr">
        <is>
          <t>VÄSTERBOTTENS LÄN</t>
        </is>
      </c>
      <c r="E2460" t="inlineStr">
        <is>
          <t>SKELLEFTEÅ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26955-2023</t>
        </is>
      </c>
      <c r="B2461" s="1" t="n">
        <v>45091</v>
      </c>
      <c r="C2461" s="1" t="n">
        <v>46078</v>
      </c>
      <c r="D2461" t="inlineStr">
        <is>
          <t>VÄSTERBOTTENS LÄN</t>
        </is>
      </c>
      <c r="E2461" t="inlineStr">
        <is>
          <t>SKELLEFTEÅ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5374-2025</t>
        </is>
      </c>
      <c r="B2462" s="1" t="n">
        <v>45692</v>
      </c>
      <c r="C2462" s="1" t="n">
        <v>46078</v>
      </c>
      <c r="D2462" t="inlineStr">
        <is>
          <t>VÄSTERBOTTENS LÄN</t>
        </is>
      </c>
      <c r="E2462" t="inlineStr">
        <is>
          <t>SKELLEFTEÅ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4034-2024</t>
        </is>
      </c>
      <c r="B2463" s="1" t="n">
        <v>45323.41511574074</v>
      </c>
      <c r="C2463" s="1" t="n">
        <v>46078</v>
      </c>
      <c r="D2463" t="inlineStr">
        <is>
          <t>VÄSTERBOTTENS LÄN</t>
        </is>
      </c>
      <c r="E2463" t="inlineStr">
        <is>
          <t>SKELLEFTEÅ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5563-2025</t>
        </is>
      </c>
      <c r="B2464" s="1" t="n">
        <v>45693</v>
      </c>
      <c r="C2464" s="1" t="n">
        <v>46078</v>
      </c>
      <c r="D2464" t="inlineStr">
        <is>
          <t>VÄSTERBOTTENS LÄN</t>
        </is>
      </c>
      <c r="E2464" t="inlineStr">
        <is>
          <t>SKELLEFTEÅ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8341-2024</t>
        </is>
      </c>
      <c r="B2465" s="1" t="n">
        <v>45351</v>
      </c>
      <c r="C2465" s="1" t="n">
        <v>46078</v>
      </c>
      <c r="D2465" t="inlineStr">
        <is>
          <t>VÄSTERBOTTENS LÄN</t>
        </is>
      </c>
      <c r="E2465" t="inlineStr">
        <is>
          <t>SKELLEFTEÅ</t>
        </is>
      </c>
      <c r="G2465" t="n">
        <v>9.6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1402-2025</t>
        </is>
      </c>
      <c r="B2466" s="1" t="n">
        <v>45667.70535879629</v>
      </c>
      <c r="C2466" s="1" t="n">
        <v>46078</v>
      </c>
      <c r="D2466" t="inlineStr">
        <is>
          <t>VÄSTERBOTTENS LÄN</t>
        </is>
      </c>
      <c r="E2466" t="inlineStr">
        <is>
          <t>SKELLEFTEÅ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5783-2025</t>
        </is>
      </c>
      <c r="B2467" s="1" t="n">
        <v>45694.63975694445</v>
      </c>
      <c r="C2467" s="1" t="n">
        <v>46078</v>
      </c>
      <c r="D2467" t="inlineStr">
        <is>
          <t>VÄSTERBOTTENS LÄN</t>
        </is>
      </c>
      <c r="E2467" t="inlineStr">
        <is>
          <t>SKELLEFTEÅ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16251-2025</t>
        </is>
      </c>
      <c r="B2468" s="1" t="n">
        <v>45750.69998842593</v>
      </c>
      <c r="C2468" s="1" t="n">
        <v>46078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Kommuner</t>
        </is>
      </c>
      <c r="G2468" t="n">
        <v>4.6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9448-2025</t>
        </is>
      </c>
      <c r="B2469" s="1" t="n">
        <v>45715.42537037037</v>
      </c>
      <c r="C2469" s="1" t="n">
        <v>46078</v>
      </c>
      <c r="D2469" t="inlineStr">
        <is>
          <t>VÄSTERBOTTENS LÄN</t>
        </is>
      </c>
      <c r="E2469" t="inlineStr">
        <is>
          <t>SKELLEFTEÅ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12537-2024</t>
        </is>
      </c>
      <c r="B2470" s="1" t="n">
        <v>45379</v>
      </c>
      <c r="C2470" s="1" t="n">
        <v>46078</v>
      </c>
      <c r="D2470" t="inlineStr">
        <is>
          <t>VÄSTERBOTTENS LÄN</t>
        </is>
      </c>
      <c r="E2470" t="inlineStr">
        <is>
          <t>SKELLEFTEÅ</t>
        </is>
      </c>
      <c r="G2470" t="n">
        <v>5.3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22205-2024</t>
        </is>
      </c>
      <c r="B2471" s="1" t="n">
        <v>45446.37524305555</v>
      </c>
      <c r="C2471" s="1" t="n">
        <v>46078</v>
      </c>
      <c r="D2471" t="inlineStr">
        <is>
          <t>VÄSTERBOTTENS LÄN</t>
        </is>
      </c>
      <c r="E2471" t="inlineStr">
        <is>
          <t>SKELLEFTEÅ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19491-2023</t>
        </is>
      </c>
      <c r="B2472" s="1" t="n">
        <v>45049</v>
      </c>
      <c r="C2472" s="1" t="n">
        <v>46078</v>
      </c>
      <c r="D2472" t="inlineStr">
        <is>
          <t>VÄSTERBOTTENS LÄN</t>
        </is>
      </c>
      <c r="E2472" t="inlineStr">
        <is>
          <t>SKELLEFTEÅ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18564-2024</t>
        </is>
      </c>
      <c r="B2473" s="1" t="n">
        <v>45425</v>
      </c>
      <c r="C2473" s="1" t="n">
        <v>46078</v>
      </c>
      <c r="D2473" t="inlineStr">
        <is>
          <t>VÄSTERBOTTENS LÄN</t>
        </is>
      </c>
      <c r="E2473" t="inlineStr">
        <is>
          <t>SKELLEFTEÅ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7745-2024</t>
        </is>
      </c>
      <c r="B2474" s="1" t="n">
        <v>45348</v>
      </c>
      <c r="C2474" s="1" t="n">
        <v>46078</v>
      </c>
      <c r="D2474" t="inlineStr">
        <is>
          <t>VÄSTERBOTTENS LÄN</t>
        </is>
      </c>
      <c r="E2474" t="inlineStr">
        <is>
          <t>SKELLEFTEÅ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11629-2023</t>
        </is>
      </c>
      <c r="B2475" s="1" t="n">
        <v>44994.43855324074</v>
      </c>
      <c r="C2475" s="1" t="n">
        <v>46078</v>
      </c>
      <c r="D2475" t="inlineStr">
        <is>
          <t>VÄSTERBOTTENS LÄN</t>
        </is>
      </c>
      <c r="E2475" t="inlineStr">
        <is>
          <t>SKELLEFTEÅ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11642-2023</t>
        </is>
      </c>
      <c r="B2476" s="1" t="n">
        <v>44994.45225694445</v>
      </c>
      <c r="C2476" s="1" t="n">
        <v>46078</v>
      </c>
      <c r="D2476" t="inlineStr">
        <is>
          <t>VÄSTERBOTTENS LÄN</t>
        </is>
      </c>
      <c r="E2476" t="inlineStr">
        <is>
          <t>SKELLEFTEÅ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41297-2024</t>
        </is>
      </c>
      <c r="B2477" s="1" t="n">
        <v>45559.61015046296</v>
      </c>
      <c r="C2477" s="1" t="n">
        <v>46078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72692-2021</t>
        </is>
      </c>
      <c r="B2478" s="1" t="n">
        <v>44545</v>
      </c>
      <c r="C2478" s="1" t="n">
        <v>46078</v>
      </c>
      <c r="D2478" t="inlineStr">
        <is>
          <t>VÄSTERBOTTENS LÄN</t>
        </is>
      </c>
      <c r="E2478" t="inlineStr">
        <is>
          <t>SKELLEFTEÅ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26462-2023</t>
        </is>
      </c>
      <c r="B2479" s="1" t="n">
        <v>45092.4658449074</v>
      </c>
      <c r="C2479" s="1" t="n">
        <v>46078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4.4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37796-2023</t>
        </is>
      </c>
      <c r="B2480" s="1" t="n">
        <v>45159.92447916666</v>
      </c>
      <c r="C2480" s="1" t="n">
        <v>46078</v>
      </c>
      <c r="D2480" t="inlineStr">
        <is>
          <t>VÄSTERBOTTENS LÄN</t>
        </is>
      </c>
      <c r="E2480" t="inlineStr">
        <is>
          <t>SKELLEFTEÅ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27253-2024</t>
        </is>
      </c>
      <c r="B2481" s="1" t="n">
        <v>45471.70609953703</v>
      </c>
      <c r="C2481" s="1" t="n">
        <v>46078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Holmen skog AB</t>
        </is>
      </c>
      <c r="G2481" t="n">
        <v>12.5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59783-2024</t>
        </is>
      </c>
      <c r="B2482" s="1" t="n">
        <v>45639.57982638889</v>
      </c>
      <c r="C2482" s="1" t="n">
        <v>46078</v>
      </c>
      <c r="D2482" t="inlineStr">
        <is>
          <t>VÄSTERBOTTENS LÄN</t>
        </is>
      </c>
      <c r="E2482" t="inlineStr">
        <is>
          <t>SKELLEFTEÅ</t>
        </is>
      </c>
      <c r="G2482" t="n">
        <v>4.1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61105-2022</t>
        </is>
      </c>
      <c r="B2483" s="1" t="n">
        <v>44915.41087962963</v>
      </c>
      <c r="C2483" s="1" t="n">
        <v>46078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19.5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61132-2022</t>
        </is>
      </c>
      <c r="B2484" s="1" t="n">
        <v>44915.44849537037</v>
      </c>
      <c r="C2484" s="1" t="n">
        <v>46078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14.5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12715-2022</t>
        </is>
      </c>
      <c r="B2485" s="1" t="n">
        <v>44641</v>
      </c>
      <c r="C2485" s="1" t="n">
        <v>46078</v>
      </c>
      <c r="D2485" t="inlineStr">
        <is>
          <t>VÄSTERBOTTENS LÄN</t>
        </is>
      </c>
      <c r="E2485" t="inlineStr">
        <is>
          <t>SKELLEFTEÅ</t>
        </is>
      </c>
      <c r="G2485" t="n">
        <v>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62058-2024</t>
        </is>
      </c>
      <c r="B2486" s="1" t="n">
        <v>45656.37960648148</v>
      </c>
      <c r="C2486" s="1" t="n">
        <v>46078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Sveaskog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19107-2025</t>
        </is>
      </c>
      <c r="B2487" s="1" t="n">
        <v>45768.37873842593</v>
      </c>
      <c r="C2487" s="1" t="n">
        <v>46078</v>
      </c>
      <c r="D2487" t="inlineStr">
        <is>
          <t>VÄSTERBOTTENS LÄN</t>
        </is>
      </c>
      <c r="E2487" t="inlineStr">
        <is>
          <t>SKELLEFTEÅ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23458-2023</t>
        </is>
      </c>
      <c r="B2488" s="1" t="n">
        <v>45076.61943287037</v>
      </c>
      <c r="C2488" s="1" t="n">
        <v>46078</v>
      </c>
      <c r="D2488" t="inlineStr">
        <is>
          <t>VÄSTERBOTTENS LÄN</t>
        </is>
      </c>
      <c r="E2488" t="inlineStr">
        <is>
          <t>SKELLEFTEÅ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18975-2023</t>
        </is>
      </c>
      <c r="B2489" s="1" t="n">
        <v>45044</v>
      </c>
      <c r="C2489" s="1" t="n">
        <v>46078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52871-2022</t>
        </is>
      </c>
      <c r="B2490" s="1" t="n">
        <v>44872</v>
      </c>
      <c r="C2490" s="1" t="n">
        <v>46078</v>
      </c>
      <c r="D2490" t="inlineStr">
        <is>
          <t>VÄSTERBOTTENS LÄN</t>
        </is>
      </c>
      <c r="E2490" t="inlineStr">
        <is>
          <t>SKELLEFTEÅ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35435-2024</t>
        </is>
      </c>
      <c r="B2491" s="1" t="n">
        <v>45531.41481481482</v>
      </c>
      <c r="C2491" s="1" t="n">
        <v>46078</v>
      </c>
      <c r="D2491" t="inlineStr">
        <is>
          <t>VÄSTERBOTTENS LÄN</t>
        </is>
      </c>
      <c r="E2491" t="inlineStr">
        <is>
          <t>SKELLEFTEÅ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26253-2024</t>
        </is>
      </c>
      <c r="B2492" s="1" t="n">
        <v>45468.64837962963</v>
      </c>
      <c r="C2492" s="1" t="n">
        <v>46078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28203-2023</t>
        </is>
      </c>
      <c r="B2493" s="1" t="n">
        <v>45096</v>
      </c>
      <c r="C2493" s="1" t="n">
        <v>46078</v>
      </c>
      <c r="D2493" t="inlineStr">
        <is>
          <t>VÄSTERBOTTENS LÄN</t>
        </is>
      </c>
      <c r="E2493" t="inlineStr">
        <is>
          <t>SKELLEFTEÅ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49429-2024</t>
        </is>
      </c>
      <c r="B2494" s="1" t="n">
        <v>45595.80703703704</v>
      </c>
      <c r="C2494" s="1" t="n">
        <v>46078</v>
      </c>
      <c r="D2494" t="inlineStr">
        <is>
          <t>VÄSTERBOTTENS LÄN</t>
        </is>
      </c>
      <c r="E2494" t="inlineStr">
        <is>
          <t>SKELLEFTEÅ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3600-2023</t>
        </is>
      </c>
      <c r="B2495" s="1" t="n">
        <v>44946</v>
      </c>
      <c r="C2495" s="1" t="n">
        <v>46078</v>
      </c>
      <c r="D2495" t="inlineStr">
        <is>
          <t>VÄSTERBOTTENS LÄN</t>
        </is>
      </c>
      <c r="E2495" t="inlineStr">
        <is>
          <t>SKELLEFTEÅ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46557-2024</t>
        </is>
      </c>
      <c r="B2496" s="1" t="n">
        <v>45582.67056712963</v>
      </c>
      <c r="C2496" s="1" t="n">
        <v>46078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51476-2021</t>
        </is>
      </c>
      <c r="B2497" s="1" t="n">
        <v>44462</v>
      </c>
      <c r="C2497" s="1" t="n">
        <v>46078</v>
      </c>
      <c r="D2497" t="inlineStr">
        <is>
          <t>VÄSTERBOTTENS LÄN</t>
        </is>
      </c>
      <c r="E2497" t="inlineStr">
        <is>
          <t>SKELLEFTEÅ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1746-2025</t>
        </is>
      </c>
      <c r="B2498" s="1" t="n">
        <v>45671.40643518518</v>
      </c>
      <c r="C2498" s="1" t="n">
        <v>46078</v>
      </c>
      <c r="D2498" t="inlineStr">
        <is>
          <t>VÄSTERBOTTENS LÄN</t>
        </is>
      </c>
      <c r="E2498" t="inlineStr">
        <is>
          <t>SKELLEFTEÅ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33776-2024</t>
        </is>
      </c>
      <c r="B2499" s="1" t="n">
        <v>45520.57944444445</v>
      </c>
      <c r="C2499" s="1" t="n">
        <v>46078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Sveaskog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31872-2024</t>
        </is>
      </c>
      <c r="B2500" s="1" t="n">
        <v>45509.9290625</v>
      </c>
      <c r="C2500" s="1" t="n">
        <v>46078</v>
      </c>
      <c r="D2500" t="inlineStr">
        <is>
          <t>VÄSTERBOTTENS LÄN</t>
        </is>
      </c>
      <c r="E2500" t="inlineStr">
        <is>
          <t>SKELLEFTEÅ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10567-2023</t>
        </is>
      </c>
      <c r="B2501" s="1" t="n">
        <v>44981</v>
      </c>
      <c r="C2501" s="1" t="n">
        <v>46078</v>
      </c>
      <c r="D2501" t="inlineStr">
        <is>
          <t>VÄSTERBOTTENS LÄN</t>
        </is>
      </c>
      <c r="E2501" t="inlineStr">
        <is>
          <t>SKELLEFTEÅ</t>
        </is>
      </c>
      <c r="G2501" t="n">
        <v>7.8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52509-2024</t>
        </is>
      </c>
      <c r="B2502" s="1" t="n">
        <v>45609.59239583334</v>
      </c>
      <c r="C2502" s="1" t="n">
        <v>46078</v>
      </c>
      <c r="D2502" t="inlineStr">
        <is>
          <t>VÄSTERBOTTENS LÄN</t>
        </is>
      </c>
      <c r="E2502" t="inlineStr">
        <is>
          <t>SKELLEFTEÅ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41064-2024</t>
        </is>
      </c>
      <c r="B2503" s="1" t="n">
        <v>45559.38644675926</v>
      </c>
      <c r="C2503" s="1" t="n">
        <v>46078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19778-2025</t>
        </is>
      </c>
      <c r="B2504" s="1" t="n">
        <v>45771.42734953704</v>
      </c>
      <c r="C2504" s="1" t="n">
        <v>46078</v>
      </c>
      <c r="D2504" t="inlineStr">
        <is>
          <t>VÄSTERBOTTENS LÄN</t>
        </is>
      </c>
      <c r="E2504" t="inlineStr">
        <is>
          <t>SKELLEFTEÅ</t>
        </is>
      </c>
      <c r="G2504" t="n">
        <v>6.7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12701-2025</t>
        </is>
      </c>
      <c r="B2505" s="1" t="n">
        <v>45733.46592592593</v>
      </c>
      <c r="C2505" s="1" t="n">
        <v>46078</v>
      </c>
      <c r="D2505" t="inlineStr">
        <is>
          <t>VÄSTERBOTTENS LÄN</t>
        </is>
      </c>
      <c r="E2505" t="inlineStr">
        <is>
          <t>SKELLEFTEÅ</t>
        </is>
      </c>
      <c r="G2505" t="n">
        <v>7.2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35135-2024</t>
        </is>
      </c>
      <c r="B2506" s="1" t="n">
        <v>45530.34371527778</v>
      </c>
      <c r="C2506" s="1" t="n">
        <v>46078</v>
      </c>
      <c r="D2506" t="inlineStr">
        <is>
          <t>VÄSTERBOTTENS LÄN</t>
        </is>
      </c>
      <c r="E2506" t="inlineStr">
        <is>
          <t>SKELLEFTEÅ</t>
        </is>
      </c>
      <c r="G2506" t="n">
        <v>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50232-2024</t>
        </is>
      </c>
      <c r="B2507" s="1" t="n">
        <v>45600.55253472222</v>
      </c>
      <c r="C2507" s="1" t="n">
        <v>46078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61697-2022</t>
        </is>
      </c>
      <c r="B2508" s="1" t="n">
        <v>44911</v>
      </c>
      <c r="C2508" s="1" t="n">
        <v>46078</v>
      </c>
      <c r="D2508" t="inlineStr">
        <is>
          <t>VÄSTERBOTTENS LÄN</t>
        </is>
      </c>
      <c r="E2508" t="inlineStr">
        <is>
          <t>SKELLEFTEÅ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5740-2023</t>
        </is>
      </c>
      <c r="B2509" s="1" t="n">
        <v>44962.79574074074</v>
      </c>
      <c r="C2509" s="1" t="n">
        <v>46078</v>
      </c>
      <c r="D2509" t="inlineStr">
        <is>
          <t>VÄSTERBOTTENS LÄN</t>
        </is>
      </c>
      <c r="E2509" t="inlineStr">
        <is>
          <t>SKELLEFTEÅ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45643-2024</t>
        </is>
      </c>
      <c r="B2510" s="1" t="n">
        <v>45579</v>
      </c>
      <c r="C2510" s="1" t="n">
        <v>46078</v>
      </c>
      <c r="D2510" t="inlineStr">
        <is>
          <t>VÄSTERBOTTENS LÄN</t>
        </is>
      </c>
      <c r="E2510" t="inlineStr">
        <is>
          <t>SKELLEFTEÅ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37499-2024</t>
        </is>
      </c>
      <c r="B2511" s="1" t="n">
        <v>45541.36834490741</v>
      </c>
      <c r="C2511" s="1" t="n">
        <v>46078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36867-2024</t>
        </is>
      </c>
      <c r="B2512" s="1" t="n">
        <v>45538.57938657407</v>
      </c>
      <c r="C2512" s="1" t="n">
        <v>46078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8539-2022</t>
        </is>
      </c>
      <c r="B2513" s="1" t="n">
        <v>44613</v>
      </c>
      <c r="C2513" s="1" t="n">
        <v>46078</v>
      </c>
      <c r="D2513" t="inlineStr">
        <is>
          <t>VÄSTERBOTTENS LÄN</t>
        </is>
      </c>
      <c r="E2513" t="inlineStr">
        <is>
          <t>SKELLEFTEÅ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27439-2024</t>
        </is>
      </c>
      <c r="B2514" s="1" t="n">
        <v>45474</v>
      </c>
      <c r="C2514" s="1" t="n">
        <v>46078</v>
      </c>
      <c r="D2514" t="inlineStr">
        <is>
          <t>VÄSTERBOTTENS LÄN</t>
        </is>
      </c>
      <c r="E2514" t="inlineStr">
        <is>
          <t>SKELLEFTEÅ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50894-2024</t>
        </is>
      </c>
      <c r="B2515" s="1" t="n">
        <v>45602.67774305555</v>
      </c>
      <c r="C2515" s="1" t="n">
        <v>46078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Sveaskog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5220-2024</t>
        </is>
      </c>
      <c r="B2516" s="1" t="n">
        <v>45330</v>
      </c>
      <c r="C2516" s="1" t="n">
        <v>46078</v>
      </c>
      <c r="D2516" t="inlineStr">
        <is>
          <t>VÄSTERBOTTENS LÄN</t>
        </is>
      </c>
      <c r="E2516" t="inlineStr">
        <is>
          <t>SKELLEFTEÅ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50070-2024</t>
        </is>
      </c>
      <c r="B2517" s="1" t="n">
        <v>45600.35901620371</v>
      </c>
      <c r="C2517" s="1" t="n">
        <v>46078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Kommuner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1853-2023</t>
        </is>
      </c>
      <c r="B2518" s="1" t="n">
        <v>44938.90767361111</v>
      </c>
      <c r="C2518" s="1" t="n">
        <v>46078</v>
      </c>
      <c r="D2518" t="inlineStr">
        <is>
          <t>VÄSTERBOTTENS LÄN</t>
        </is>
      </c>
      <c r="E2518" t="inlineStr">
        <is>
          <t>SKELLEFTEÅ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44100-2024</t>
        </is>
      </c>
      <c r="B2519" s="1" t="n">
        <v>45572.62739583333</v>
      </c>
      <c r="C2519" s="1" t="n">
        <v>46078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Holmen skog AB</t>
        </is>
      </c>
      <c r="G2519" t="n">
        <v>6.7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33274-2023</t>
        </is>
      </c>
      <c r="B2520" s="1" t="n">
        <v>45127.59840277778</v>
      </c>
      <c r="C2520" s="1" t="n">
        <v>46078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Holmen skog AB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63525-2023</t>
        </is>
      </c>
      <c r="B2521" s="1" t="n">
        <v>45274</v>
      </c>
      <c r="C2521" s="1" t="n">
        <v>46078</v>
      </c>
      <c r="D2521" t="inlineStr">
        <is>
          <t>VÄSTERBOTTENS LÄN</t>
        </is>
      </c>
      <c r="E2521" t="inlineStr">
        <is>
          <t>SKELLEFTEÅ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11963-2023</t>
        </is>
      </c>
      <c r="B2522" s="1" t="n">
        <v>44994</v>
      </c>
      <c r="C2522" s="1" t="n">
        <v>46078</v>
      </c>
      <c r="D2522" t="inlineStr">
        <is>
          <t>VÄSTERBOTTENS LÄN</t>
        </is>
      </c>
      <c r="E2522" t="inlineStr">
        <is>
          <t>SKELLEFTEÅ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26545-2022</t>
        </is>
      </c>
      <c r="B2523" s="1" t="n">
        <v>44739.46318287037</v>
      </c>
      <c r="C2523" s="1" t="n">
        <v>46078</v>
      </c>
      <c r="D2523" t="inlineStr">
        <is>
          <t>VÄSTERBOTTENS LÄN</t>
        </is>
      </c>
      <c r="E2523" t="inlineStr">
        <is>
          <t>SKELLEFTEÅ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19582-2024</t>
        </is>
      </c>
      <c r="B2524" s="1" t="n">
        <v>45429.92415509259</v>
      </c>
      <c r="C2524" s="1" t="n">
        <v>46078</v>
      </c>
      <c r="D2524" t="inlineStr">
        <is>
          <t>VÄSTERBOTTENS LÄN</t>
        </is>
      </c>
      <c r="E2524" t="inlineStr">
        <is>
          <t>SKELLEFTEÅ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1640-2023</t>
        </is>
      </c>
      <c r="B2525" s="1" t="n">
        <v>44937</v>
      </c>
      <c r="C2525" s="1" t="n">
        <v>46078</v>
      </c>
      <c r="D2525" t="inlineStr">
        <is>
          <t>VÄSTERBOTTENS LÄN</t>
        </is>
      </c>
      <c r="E2525" t="inlineStr">
        <is>
          <t>SKELLEFTEÅ</t>
        </is>
      </c>
      <c r="G2525" t="n">
        <v>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3445-2024</t>
        </is>
      </c>
      <c r="B2526" s="1" t="n">
        <v>45320</v>
      </c>
      <c r="C2526" s="1" t="n">
        <v>46078</v>
      </c>
      <c r="D2526" t="inlineStr">
        <is>
          <t>VÄSTERBOTTENS LÄN</t>
        </is>
      </c>
      <c r="E2526" t="inlineStr">
        <is>
          <t>SKELLEFTEÅ</t>
        </is>
      </c>
      <c r="G2526" t="n">
        <v>19.1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3453-2024</t>
        </is>
      </c>
      <c r="B2527" s="1" t="n">
        <v>45320.39112268519</v>
      </c>
      <c r="C2527" s="1" t="n">
        <v>46078</v>
      </c>
      <c r="D2527" t="inlineStr">
        <is>
          <t>VÄSTERBOTTENS LÄN</t>
        </is>
      </c>
      <c r="E2527" t="inlineStr">
        <is>
          <t>SKELLEFTEÅ</t>
        </is>
      </c>
      <c r="G2527" t="n">
        <v>11.3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33519-2021</t>
        </is>
      </c>
      <c r="B2528" s="1" t="n">
        <v>44377.75302083333</v>
      </c>
      <c r="C2528" s="1" t="n">
        <v>46078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26257-2024</t>
        </is>
      </c>
      <c r="B2529" s="1" t="n">
        <v>45468</v>
      </c>
      <c r="C2529" s="1" t="n">
        <v>46078</v>
      </c>
      <c r="D2529" t="inlineStr">
        <is>
          <t>VÄSTERBOTTENS LÄN</t>
        </is>
      </c>
      <c r="E2529" t="inlineStr">
        <is>
          <t>SKELLEFTEÅ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28666-2021</t>
        </is>
      </c>
      <c r="B2530" s="1" t="n">
        <v>44357</v>
      </c>
      <c r="C2530" s="1" t="n">
        <v>46078</v>
      </c>
      <c r="D2530" t="inlineStr">
        <is>
          <t>VÄSTERBOTTENS LÄN</t>
        </is>
      </c>
      <c r="E2530" t="inlineStr">
        <is>
          <t>SKELLEFTEÅ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60498-2022</t>
        </is>
      </c>
      <c r="B2531" s="1" t="n">
        <v>44911.44347222222</v>
      </c>
      <c r="C2531" s="1" t="n">
        <v>46078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Sveaskog</t>
        </is>
      </c>
      <c r="G2531" t="n">
        <v>21.2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33520-2021</t>
        </is>
      </c>
      <c r="B2532" s="1" t="n">
        <v>44377.75653935185</v>
      </c>
      <c r="C2532" s="1" t="n">
        <v>46078</v>
      </c>
      <c r="D2532" t="inlineStr">
        <is>
          <t>VÄSTERBOTTENS LÄN</t>
        </is>
      </c>
      <c r="E2532" t="inlineStr">
        <is>
          <t>SKELLEFTEÅ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64258-2023</t>
        </is>
      </c>
      <c r="B2533" s="1" t="n">
        <v>45279</v>
      </c>
      <c r="C2533" s="1" t="n">
        <v>46078</v>
      </c>
      <c r="D2533" t="inlineStr">
        <is>
          <t>VÄSTERBOTTENS LÄN</t>
        </is>
      </c>
      <c r="E2533" t="inlineStr">
        <is>
          <t>SKELLEFTEÅ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8203-2022</t>
        </is>
      </c>
      <c r="B2534" s="1" t="n">
        <v>44609</v>
      </c>
      <c r="C2534" s="1" t="n">
        <v>46078</v>
      </c>
      <c r="D2534" t="inlineStr">
        <is>
          <t>VÄSTERBOTTENS LÄN</t>
        </is>
      </c>
      <c r="E2534" t="inlineStr">
        <is>
          <t>SKELLEFTEÅ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24327-2023</t>
        </is>
      </c>
      <c r="B2535" s="1" t="n">
        <v>45080</v>
      </c>
      <c r="C2535" s="1" t="n">
        <v>46078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SCA</t>
        </is>
      </c>
      <c r="G2535" t="n">
        <v>5.5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531-2023</t>
        </is>
      </c>
      <c r="B2536" s="1" t="n">
        <v>44925</v>
      </c>
      <c r="C2536" s="1" t="n">
        <v>46078</v>
      </c>
      <c r="D2536" t="inlineStr">
        <is>
          <t>VÄSTERBOTTENS LÄN</t>
        </is>
      </c>
      <c r="E2536" t="inlineStr">
        <is>
          <t>SKELLEFTEÅ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45576-2023</t>
        </is>
      </c>
      <c r="B2537" s="1" t="n">
        <v>45188</v>
      </c>
      <c r="C2537" s="1" t="n">
        <v>46078</v>
      </c>
      <c r="D2537" t="inlineStr">
        <is>
          <t>VÄSTERBOTTENS LÄN</t>
        </is>
      </c>
      <c r="E2537" t="inlineStr">
        <is>
          <t>SKELLEFTEÅ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36513-2024</t>
        </is>
      </c>
      <c r="B2538" s="1" t="n">
        <v>45537.42751157407</v>
      </c>
      <c r="C2538" s="1" t="n">
        <v>46078</v>
      </c>
      <c r="D2538" t="inlineStr">
        <is>
          <t>VÄSTERBOTTENS LÄN</t>
        </is>
      </c>
      <c r="E2538" t="inlineStr">
        <is>
          <t>SKELLEFTEÅ</t>
        </is>
      </c>
      <c r="G2538" t="n">
        <v>24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2326-2025</t>
        </is>
      </c>
      <c r="B2539" s="1" t="n">
        <v>45673.63425925926</v>
      </c>
      <c r="C2539" s="1" t="n">
        <v>46078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Holmen skog AB</t>
        </is>
      </c>
      <c r="G2539" t="n">
        <v>4.7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56797-2024</t>
        </is>
      </c>
      <c r="B2540" s="1" t="n">
        <v>45628.46482638889</v>
      </c>
      <c r="C2540" s="1" t="n">
        <v>46078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Holmen skog AB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19073-2023</t>
        </is>
      </c>
      <c r="B2541" s="1" t="n">
        <v>45048.37394675926</v>
      </c>
      <c r="C2541" s="1" t="n">
        <v>46078</v>
      </c>
      <c r="D2541" t="inlineStr">
        <is>
          <t>VÄSTERBOTTENS LÄN</t>
        </is>
      </c>
      <c r="E2541" t="inlineStr">
        <is>
          <t>SKELLEFTEÅ</t>
        </is>
      </c>
      <c r="G2541" t="n">
        <v>4.8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4958-2025</t>
        </is>
      </c>
      <c r="B2542" s="1" t="n">
        <v>45689.58603009259</v>
      </c>
      <c r="C2542" s="1" t="n">
        <v>46078</v>
      </c>
      <c r="D2542" t="inlineStr">
        <is>
          <t>VÄSTERBOTTENS LÄN</t>
        </is>
      </c>
      <c r="E2542" t="inlineStr">
        <is>
          <t>SKELLEFTEÅ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4959-2025</t>
        </is>
      </c>
      <c r="B2543" s="1" t="n">
        <v>45689.59054398148</v>
      </c>
      <c r="C2543" s="1" t="n">
        <v>46078</v>
      </c>
      <c r="D2543" t="inlineStr">
        <is>
          <t>VÄSTERBOTTENS LÄN</t>
        </is>
      </c>
      <c r="E2543" t="inlineStr">
        <is>
          <t>SKELLEFTEÅ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46584-2023</t>
        </is>
      </c>
      <c r="B2544" s="1" t="n">
        <v>45198</v>
      </c>
      <c r="C2544" s="1" t="n">
        <v>46078</v>
      </c>
      <c r="D2544" t="inlineStr">
        <is>
          <t>VÄSTERBOTTENS LÄN</t>
        </is>
      </c>
      <c r="E2544" t="inlineStr">
        <is>
          <t>SKELLEFTEÅ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37547-2024</t>
        </is>
      </c>
      <c r="B2545" s="1" t="n">
        <v>45541.42965277778</v>
      </c>
      <c r="C2545" s="1" t="n">
        <v>46078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6.6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52686-2023</t>
        </is>
      </c>
      <c r="B2546" s="1" t="n">
        <v>45225.73399305555</v>
      </c>
      <c r="C2546" s="1" t="n">
        <v>46078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Sveaskog</t>
        </is>
      </c>
      <c r="G2546" t="n">
        <v>18.1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59664-2022</t>
        </is>
      </c>
      <c r="B2547" s="1" t="n">
        <v>44908.33321759259</v>
      </c>
      <c r="C2547" s="1" t="n">
        <v>46078</v>
      </c>
      <c r="D2547" t="inlineStr">
        <is>
          <t>VÄSTERBOTTENS LÄN</t>
        </is>
      </c>
      <c r="E2547" t="inlineStr">
        <is>
          <t>SKELLEFTEÅ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7916-2025</t>
        </is>
      </c>
      <c r="B2548" s="1" t="n">
        <v>45707.35113425926</v>
      </c>
      <c r="C2548" s="1" t="n">
        <v>46078</v>
      </c>
      <c r="D2548" t="inlineStr">
        <is>
          <t>VÄSTERBOTTENS LÄN</t>
        </is>
      </c>
      <c r="E2548" t="inlineStr">
        <is>
          <t>SKELLEFTEÅ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4032-2024</t>
        </is>
      </c>
      <c r="B2549" s="1" t="n">
        <v>45323.40850694444</v>
      </c>
      <c r="C2549" s="1" t="n">
        <v>46078</v>
      </c>
      <c r="D2549" t="inlineStr">
        <is>
          <t>VÄSTERBOTTENS LÄN</t>
        </is>
      </c>
      <c r="E2549" t="inlineStr">
        <is>
          <t>SKELLEFTEÅ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47686-2024</t>
        </is>
      </c>
      <c r="B2550" s="1" t="n">
        <v>45588.42978009259</v>
      </c>
      <c r="C2550" s="1" t="n">
        <v>46078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12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34615-2024</t>
        </is>
      </c>
      <c r="B2551" s="1" t="n">
        <v>45526.41416666667</v>
      </c>
      <c r="C2551" s="1" t="n">
        <v>46078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20340-2025</t>
        </is>
      </c>
      <c r="B2552" s="1" t="n">
        <v>45775.36581018518</v>
      </c>
      <c r="C2552" s="1" t="n">
        <v>46078</v>
      </c>
      <c r="D2552" t="inlineStr">
        <is>
          <t>VÄSTERBOTTENS LÄN</t>
        </is>
      </c>
      <c r="E2552" t="inlineStr">
        <is>
          <t>SKELLEFTEÅ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58250-2022</t>
        </is>
      </c>
      <c r="B2553" s="1" t="n">
        <v>44894</v>
      </c>
      <c r="C2553" s="1" t="n">
        <v>46078</v>
      </c>
      <c r="D2553" t="inlineStr">
        <is>
          <t>VÄSTERBOTTENS LÄN</t>
        </is>
      </c>
      <c r="E2553" t="inlineStr">
        <is>
          <t>SKELLEFTEÅ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58008-2024</t>
        </is>
      </c>
      <c r="B2554" s="1" t="n">
        <v>45631.65482638889</v>
      </c>
      <c r="C2554" s="1" t="n">
        <v>46078</v>
      </c>
      <c r="D2554" t="inlineStr">
        <is>
          <t>VÄSTERBOTTENS LÄN</t>
        </is>
      </c>
      <c r="E2554" t="inlineStr">
        <is>
          <t>SKELLEFTEÅ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25237-2023</t>
        </is>
      </c>
      <c r="B2555" s="1" t="n">
        <v>45079</v>
      </c>
      <c r="C2555" s="1" t="n">
        <v>46078</v>
      </c>
      <c r="D2555" t="inlineStr">
        <is>
          <t>VÄSTERBOTTENS LÄN</t>
        </is>
      </c>
      <c r="E2555" t="inlineStr">
        <is>
          <t>SKELLEFTEÅ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11525-2024</t>
        </is>
      </c>
      <c r="B2556" s="1" t="n">
        <v>45372</v>
      </c>
      <c r="C2556" s="1" t="n">
        <v>46078</v>
      </c>
      <c r="D2556" t="inlineStr">
        <is>
          <t>VÄSTERBOTTENS LÄN</t>
        </is>
      </c>
      <c r="E2556" t="inlineStr">
        <is>
          <t>SKELLEFTEÅ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38940-2022</t>
        </is>
      </c>
      <c r="B2557" s="1" t="n">
        <v>44816</v>
      </c>
      <c r="C2557" s="1" t="n">
        <v>46078</v>
      </c>
      <c r="D2557" t="inlineStr">
        <is>
          <t>VÄSTERBOTTENS LÄN</t>
        </is>
      </c>
      <c r="E2557" t="inlineStr">
        <is>
          <t>SKELLEFTEÅ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32709-2024</t>
        </is>
      </c>
      <c r="B2558" s="1" t="n">
        <v>45516.3629050926</v>
      </c>
      <c r="C2558" s="1" t="n">
        <v>46078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8.9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18819-2023</t>
        </is>
      </c>
      <c r="B2559" s="1" t="n">
        <v>45044</v>
      </c>
      <c r="C2559" s="1" t="n">
        <v>46078</v>
      </c>
      <c r="D2559" t="inlineStr">
        <is>
          <t>VÄSTERBOTTENS LÄN</t>
        </is>
      </c>
      <c r="E2559" t="inlineStr">
        <is>
          <t>SKELLEFTEÅ</t>
        </is>
      </c>
      <c r="G2559" t="n">
        <v>3.5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51810-2024</t>
        </is>
      </c>
      <c r="B2560" s="1" t="n">
        <v>45607.48707175926</v>
      </c>
      <c r="C2560" s="1" t="n">
        <v>46078</v>
      </c>
      <c r="D2560" t="inlineStr">
        <is>
          <t>VÄSTERBOTTENS LÄN</t>
        </is>
      </c>
      <c r="E2560" t="inlineStr">
        <is>
          <t>SKELLEFTEÅ</t>
        </is>
      </c>
      <c r="G2560" t="n">
        <v>9.699999999999999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46480-2024</t>
        </is>
      </c>
      <c r="B2561" s="1" t="n">
        <v>45582.57158564815</v>
      </c>
      <c r="C2561" s="1" t="n">
        <v>46078</v>
      </c>
      <c r="D2561" t="inlineStr">
        <is>
          <t>VÄSTERBOTTENS LÄN</t>
        </is>
      </c>
      <c r="E2561" t="inlineStr">
        <is>
          <t>SKELLEFTEÅ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55743-2024</t>
        </is>
      </c>
      <c r="B2562" s="1" t="n">
        <v>45623.30952546297</v>
      </c>
      <c r="C2562" s="1" t="n">
        <v>46078</v>
      </c>
      <c r="D2562" t="inlineStr">
        <is>
          <t>VÄSTERBOTTENS LÄN</t>
        </is>
      </c>
      <c r="E2562" t="inlineStr">
        <is>
          <t>SKELLEFTEÅ</t>
        </is>
      </c>
      <c r="G2562" t="n">
        <v>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16663-2025</t>
        </is>
      </c>
      <c r="B2563" s="1" t="n">
        <v>45754.41936342593</v>
      </c>
      <c r="C2563" s="1" t="n">
        <v>46078</v>
      </c>
      <c r="D2563" t="inlineStr">
        <is>
          <t>VÄSTERBOTTENS LÄN</t>
        </is>
      </c>
      <c r="E2563" t="inlineStr">
        <is>
          <t>SKELLEFTEÅ</t>
        </is>
      </c>
      <c r="G2563" t="n">
        <v>8.300000000000001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53000-2024</t>
        </is>
      </c>
      <c r="B2564" s="1" t="n">
        <v>45611.38673611111</v>
      </c>
      <c r="C2564" s="1" t="n">
        <v>46078</v>
      </c>
      <c r="D2564" t="inlineStr">
        <is>
          <t>VÄSTERBOTTENS LÄN</t>
        </is>
      </c>
      <c r="E2564" t="inlineStr">
        <is>
          <t>SKELLEFTEÅ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61467-2022</t>
        </is>
      </c>
      <c r="B2565" s="1" t="n">
        <v>44916</v>
      </c>
      <c r="C2565" s="1" t="n">
        <v>46078</v>
      </c>
      <c r="D2565" t="inlineStr">
        <is>
          <t>VÄSTERBOTTENS LÄN</t>
        </is>
      </c>
      <c r="E2565" t="inlineStr">
        <is>
          <t>SKELLEFTEÅ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12855-2025</t>
        </is>
      </c>
      <c r="B2566" s="1" t="n">
        <v>45733.66163194444</v>
      </c>
      <c r="C2566" s="1" t="n">
        <v>46078</v>
      </c>
      <c r="D2566" t="inlineStr">
        <is>
          <t>VÄSTERBOTTENS LÄN</t>
        </is>
      </c>
      <c r="E2566" t="inlineStr">
        <is>
          <t>SKELLEFTEÅ</t>
        </is>
      </c>
      <c r="G2566" t="n">
        <v>7.8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7364-2023</t>
        </is>
      </c>
      <c r="B2567" s="1" t="n">
        <v>44971</v>
      </c>
      <c r="C2567" s="1" t="n">
        <v>46078</v>
      </c>
      <c r="D2567" t="inlineStr">
        <is>
          <t>VÄSTERBOTTENS LÄN</t>
        </is>
      </c>
      <c r="E2567" t="inlineStr">
        <is>
          <t>SKELLEFTEÅ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27555-2022</t>
        </is>
      </c>
      <c r="B2568" s="1" t="n">
        <v>44742.92666666667</v>
      </c>
      <c r="C2568" s="1" t="n">
        <v>46078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Kommuner</t>
        </is>
      </c>
      <c r="G2568" t="n">
        <v>5.3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34986-2023</t>
        </is>
      </c>
      <c r="B2569" s="1" t="n">
        <v>45142</v>
      </c>
      <c r="C2569" s="1" t="n">
        <v>46078</v>
      </c>
      <c r="D2569" t="inlineStr">
        <is>
          <t>VÄSTERBOTTENS LÄN</t>
        </is>
      </c>
      <c r="E2569" t="inlineStr">
        <is>
          <t>SKELLEFTEÅ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58053-2022</t>
        </is>
      </c>
      <c r="B2570" s="1" t="n">
        <v>44900</v>
      </c>
      <c r="C2570" s="1" t="n">
        <v>46078</v>
      </c>
      <c r="D2570" t="inlineStr">
        <is>
          <t>VÄSTERBOTTENS LÄN</t>
        </is>
      </c>
      <c r="E2570" t="inlineStr">
        <is>
          <t>SKELLEFTEÅ</t>
        </is>
      </c>
      <c r="G2570" t="n">
        <v>5.3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27542-2024</t>
        </is>
      </c>
      <c r="B2571" s="1" t="n">
        <v>45474.59413194445</v>
      </c>
      <c r="C2571" s="1" t="n">
        <v>46078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Sveaskog</t>
        </is>
      </c>
      <c r="G2571" t="n">
        <v>17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33184-2023</t>
        </is>
      </c>
      <c r="B2572" s="1" t="n">
        <v>45114</v>
      </c>
      <c r="C2572" s="1" t="n">
        <v>46078</v>
      </c>
      <c r="D2572" t="inlineStr">
        <is>
          <t>VÄSTERBOTTENS LÄN</t>
        </is>
      </c>
      <c r="E2572" t="inlineStr">
        <is>
          <t>SKELLEFTEÅ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803-2022</t>
        </is>
      </c>
      <c r="B2573" s="1" t="n">
        <v>44568</v>
      </c>
      <c r="C2573" s="1" t="n">
        <v>46078</v>
      </c>
      <c r="D2573" t="inlineStr">
        <is>
          <t>VÄSTERBOTTENS LÄN</t>
        </is>
      </c>
      <c r="E2573" t="inlineStr">
        <is>
          <t>SKELLEFTEÅ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32914-2024</t>
        </is>
      </c>
      <c r="B2574" s="1" t="n">
        <v>45516.95133101852</v>
      </c>
      <c r="C2574" s="1" t="n">
        <v>46078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SCA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14016-2025</t>
        </is>
      </c>
      <c r="B2575" s="1" t="n">
        <v>45740.31862268518</v>
      </c>
      <c r="C2575" s="1" t="n">
        <v>46078</v>
      </c>
      <c r="D2575" t="inlineStr">
        <is>
          <t>VÄSTERBOTTENS LÄN</t>
        </is>
      </c>
      <c r="E2575" t="inlineStr">
        <is>
          <t>SKELLEFTEÅ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6016-2023</t>
        </is>
      </c>
      <c r="B2576" s="1" t="n">
        <v>44959</v>
      </c>
      <c r="C2576" s="1" t="n">
        <v>46078</v>
      </c>
      <c r="D2576" t="inlineStr">
        <is>
          <t>VÄSTERBOTTENS LÄN</t>
        </is>
      </c>
      <c r="E2576" t="inlineStr">
        <is>
          <t>SKELLEFTEÅ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58542-2024</t>
        </is>
      </c>
      <c r="B2577" s="1" t="n">
        <v>45635.45708333333</v>
      </c>
      <c r="C2577" s="1" t="n">
        <v>46078</v>
      </c>
      <c r="D2577" t="inlineStr">
        <is>
          <t>VÄSTERBOTTENS LÄN</t>
        </is>
      </c>
      <c r="E2577" t="inlineStr">
        <is>
          <t>SKELLEFTEÅ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42877-2024</t>
        </is>
      </c>
      <c r="B2578" s="1" t="n">
        <v>45566.68878472222</v>
      </c>
      <c r="C2578" s="1" t="n">
        <v>46078</v>
      </c>
      <c r="D2578" t="inlineStr">
        <is>
          <t>VÄSTERBOTTENS LÄN</t>
        </is>
      </c>
      <c r="E2578" t="inlineStr">
        <is>
          <t>SKELLEFTEÅ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43954-2024</t>
        </is>
      </c>
      <c r="B2579" s="1" t="n">
        <v>45572.47539351852</v>
      </c>
      <c r="C2579" s="1" t="n">
        <v>46078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Sveaskog</t>
        </is>
      </c>
      <c r="G2579" t="n">
        <v>24.1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30332-2021</t>
        </is>
      </c>
      <c r="B2580" s="1" t="n">
        <v>44364</v>
      </c>
      <c r="C2580" s="1" t="n">
        <v>46078</v>
      </c>
      <c r="D2580" t="inlineStr">
        <is>
          <t>VÄSTERBOTTENS LÄN</t>
        </is>
      </c>
      <c r="E2580" t="inlineStr">
        <is>
          <t>SKELLEFTEÅ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31395-2021</t>
        </is>
      </c>
      <c r="B2581" s="1" t="n">
        <v>44369.31599537037</v>
      </c>
      <c r="C2581" s="1" t="n">
        <v>46078</v>
      </c>
      <c r="D2581" t="inlineStr">
        <is>
          <t>VÄSTERBOTTENS LÄN</t>
        </is>
      </c>
      <c r="E2581" t="inlineStr">
        <is>
          <t>SKELLEFTEÅ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4387-2025</t>
        </is>
      </c>
      <c r="B2582" s="1" t="n">
        <v>45686.40269675926</v>
      </c>
      <c r="C2582" s="1" t="n">
        <v>46078</v>
      </c>
      <c r="D2582" t="inlineStr">
        <is>
          <t>VÄSTERBOTTENS LÄN</t>
        </is>
      </c>
      <c r="E2582" t="inlineStr">
        <is>
          <t>SKELLEFTEÅ</t>
        </is>
      </c>
      <c r="G2582" t="n">
        <v>3.5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12090-2025</t>
        </is>
      </c>
      <c r="B2583" s="1" t="n">
        <v>45729.30722222223</v>
      </c>
      <c r="C2583" s="1" t="n">
        <v>46078</v>
      </c>
      <c r="D2583" t="inlineStr">
        <is>
          <t>VÄSTERBOTTENS LÄN</t>
        </is>
      </c>
      <c r="E2583" t="inlineStr">
        <is>
          <t>SKELLEFTEÅ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12645-2025</t>
        </is>
      </c>
      <c r="B2584" s="1" t="n">
        <v>45733.39303240741</v>
      </c>
      <c r="C2584" s="1" t="n">
        <v>46078</v>
      </c>
      <c r="D2584" t="inlineStr">
        <is>
          <t>VÄSTERBOTTENS LÄN</t>
        </is>
      </c>
      <c r="E2584" t="inlineStr">
        <is>
          <t>SKELLEFTEÅ</t>
        </is>
      </c>
      <c r="G2584" t="n">
        <v>5.9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20378-2025</t>
        </is>
      </c>
      <c r="B2585" s="1" t="n">
        <v>45775.42729166667</v>
      </c>
      <c r="C2585" s="1" t="n">
        <v>46078</v>
      </c>
      <c r="D2585" t="inlineStr">
        <is>
          <t>VÄSTERBOTTENS LÄN</t>
        </is>
      </c>
      <c r="E2585" t="inlineStr">
        <is>
          <t>SKELLEFTEÅ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42223-2024</t>
        </is>
      </c>
      <c r="B2586" s="1" t="n">
        <v>45562.55023148148</v>
      </c>
      <c r="C2586" s="1" t="n">
        <v>46078</v>
      </c>
      <c r="D2586" t="inlineStr">
        <is>
          <t>VÄSTERBOTTENS LÄN</t>
        </is>
      </c>
      <c r="E2586" t="inlineStr">
        <is>
          <t>SKELLEFTEÅ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22859-2024</t>
        </is>
      </c>
      <c r="B2587" s="1" t="n">
        <v>45448</v>
      </c>
      <c r="C2587" s="1" t="n">
        <v>46078</v>
      </c>
      <c r="D2587" t="inlineStr">
        <is>
          <t>VÄSTERBOTTENS LÄN</t>
        </is>
      </c>
      <c r="E2587" t="inlineStr">
        <is>
          <t>SKELLEFTEÅ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49900-2023</t>
        </is>
      </c>
      <c r="B2588" s="1" t="n">
        <v>45213.86512731481</v>
      </c>
      <c r="C2588" s="1" t="n">
        <v>46078</v>
      </c>
      <c r="D2588" t="inlineStr">
        <is>
          <t>VÄSTERBOTTENS LÄN</t>
        </is>
      </c>
      <c r="E2588" t="inlineStr">
        <is>
          <t>SKELLEFTEÅ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4620-2025</t>
        </is>
      </c>
      <c r="B2589" s="1" t="n">
        <v>45687.61184027778</v>
      </c>
      <c r="C2589" s="1" t="n">
        <v>46078</v>
      </c>
      <c r="D2589" t="inlineStr">
        <is>
          <t>VÄSTERBOTTENS LÄN</t>
        </is>
      </c>
      <c r="E2589" t="inlineStr">
        <is>
          <t>SKELLEFTEÅ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22351-2023</t>
        </is>
      </c>
      <c r="B2590" s="1" t="n">
        <v>45068</v>
      </c>
      <c r="C2590" s="1" t="n">
        <v>46078</v>
      </c>
      <c r="D2590" t="inlineStr">
        <is>
          <t>VÄSTERBOTTENS LÄN</t>
        </is>
      </c>
      <c r="E2590" t="inlineStr">
        <is>
          <t>SKELLEFTEÅ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14697-2023</t>
        </is>
      </c>
      <c r="B2591" s="1" t="n">
        <v>45012</v>
      </c>
      <c r="C2591" s="1" t="n">
        <v>46078</v>
      </c>
      <c r="D2591" t="inlineStr">
        <is>
          <t>VÄSTERBOTTENS LÄN</t>
        </is>
      </c>
      <c r="E2591" t="inlineStr">
        <is>
          <t>SKELLEFTEÅ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27288-2024</t>
        </is>
      </c>
      <c r="B2592" s="1" t="n">
        <v>45471.92630787037</v>
      </c>
      <c r="C2592" s="1" t="n">
        <v>46078</v>
      </c>
      <c r="D2592" t="inlineStr">
        <is>
          <t>VÄSTERBOTTENS LÄN</t>
        </is>
      </c>
      <c r="E2592" t="inlineStr">
        <is>
          <t>SKELLEFTEÅ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22760-2022</t>
        </is>
      </c>
      <c r="B2593" s="1" t="n">
        <v>44714</v>
      </c>
      <c r="C2593" s="1" t="n">
        <v>46078</v>
      </c>
      <c r="D2593" t="inlineStr">
        <is>
          <t>VÄSTERBOTTENS LÄN</t>
        </is>
      </c>
      <c r="E2593" t="inlineStr">
        <is>
          <t>SKELLEFTEÅ</t>
        </is>
      </c>
      <c r="G2593" t="n">
        <v>12.2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3626-2025</t>
        </is>
      </c>
      <c r="B2594" s="1" t="n">
        <v>45681.37163194444</v>
      </c>
      <c r="C2594" s="1" t="n">
        <v>46078</v>
      </c>
      <c r="D2594" t="inlineStr">
        <is>
          <t>VÄSTERBOTTENS LÄN</t>
        </is>
      </c>
      <c r="E2594" t="inlineStr">
        <is>
          <t>SKELLEFTEÅ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4403-2025</t>
        </is>
      </c>
      <c r="B2595" s="1" t="n">
        <v>45686.43848379629</v>
      </c>
      <c r="C2595" s="1" t="n">
        <v>46078</v>
      </c>
      <c r="D2595" t="inlineStr">
        <is>
          <t>VÄSTERBOTTENS LÄN</t>
        </is>
      </c>
      <c r="E2595" t="inlineStr">
        <is>
          <t>SKELLEFTEÅ</t>
        </is>
      </c>
      <c r="G2595" t="n">
        <v>5.8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23521-2024</t>
        </is>
      </c>
      <c r="B2596" s="1" t="n">
        <v>45453.92469907407</v>
      </c>
      <c r="C2596" s="1" t="n">
        <v>46078</v>
      </c>
      <c r="D2596" t="inlineStr">
        <is>
          <t>VÄSTERBOTTENS LÄN</t>
        </is>
      </c>
      <c r="E2596" t="inlineStr">
        <is>
          <t>SKELLEFTEÅ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24303-2021</t>
        </is>
      </c>
      <c r="B2597" s="1" t="n">
        <v>44337.33520833333</v>
      </c>
      <c r="C2597" s="1" t="n">
        <v>46078</v>
      </c>
      <c r="D2597" t="inlineStr">
        <is>
          <t>VÄSTERBOTTENS LÄN</t>
        </is>
      </c>
      <c r="E2597" t="inlineStr">
        <is>
          <t>SKELLEFTEÅ</t>
        </is>
      </c>
      <c r="G2597" t="n">
        <v>6.1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16856-2025</t>
        </is>
      </c>
      <c r="B2598" s="1" t="n">
        <v>45754</v>
      </c>
      <c r="C2598" s="1" t="n">
        <v>46078</v>
      </c>
      <c r="D2598" t="inlineStr">
        <is>
          <t>VÄSTERBOTTENS LÄN</t>
        </is>
      </c>
      <c r="E2598" t="inlineStr">
        <is>
          <t>SKELLEFTEÅ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30953-2023</t>
        </is>
      </c>
      <c r="B2599" s="1" t="n">
        <v>45113.46905092592</v>
      </c>
      <c r="C2599" s="1" t="n">
        <v>46078</v>
      </c>
      <c r="D2599" t="inlineStr">
        <is>
          <t>VÄSTERBOTTENS LÄN</t>
        </is>
      </c>
      <c r="E2599" t="inlineStr">
        <is>
          <t>SKELLEFTEÅ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12112-2024</t>
        </is>
      </c>
      <c r="B2600" s="1" t="n">
        <v>45376</v>
      </c>
      <c r="C2600" s="1" t="n">
        <v>46078</v>
      </c>
      <c r="D2600" t="inlineStr">
        <is>
          <t>VÄSTERBOTTENS LÄN</t>
        </is>
      </c>
      <c r="E2600" t="inlineStr">
        <is>
          <t>SKELLEFTEÅ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37298-2024</t>
        </is>
      </c>
      <c r="B2601" s="1" t="n">
        <v>45540.45724537037</v>
      </c>
      <c r="C2601" s="1" t="n">
        <v>46078</v>
      </c>
      <c r="D2601" t="inlineStr">
        <is>
          <t>VÄSTERBOTTENS LÄN</t>
        </is>
      </c>
      <c r="E2601" t="inlineStr">
        <is>
          <t>SKELLEFTEÅ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>
      <c r="A2602" t="inlineStr">
        <is>
          <t>A 59660-2024</t>
        </is>
      </c>
      <c r="B2602" s="1" t="n">
        <v>45639.35697916667</v>
      </c>
      <c r="C2602" s="1" t="n">
        <v>46078</v>
      </c>
      <c r="D2602" t="inlineStr">
        <is>
          <t>VÄSTERBOTTENS LÄN</t>
        </is>
      </c>
      <c r="E2602" t="inlineStr">
        <is>
          <t>SKELLEFTEÅ</t>
        </is>
      </c>
      <c r="F2602" t="inlineStr">
        <is>
          <t>Sveaskog</t>
        </is>
      </c>
      <c r="G2602" t="n">
        <v>13.9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2026-02-25T11:20:01Z</dcterms:created>
  <dcterms:modified xmlns:dcterms="http://purl.org/dc/terms/" xmlns:xsi="http://www.w3.org/2001/XMLSchema-instance" xsi:type="dcterms:W3CDTF">2026-02-25T11:20:04Z</dcterms:modified>
</cp:coreProperties>
</file>