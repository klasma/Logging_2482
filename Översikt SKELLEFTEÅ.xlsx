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45807</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45807</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45807</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45807</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45807</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45807</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45807</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45807</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45807</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45807</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45807</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45807</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45807</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45807</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45807</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45807</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45807</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45807</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45807</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45807</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45807</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45807</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45807</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45807</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45807</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45807</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45807</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45807</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45807</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45807</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45807</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45807</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45807</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45807</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45807</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45807</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45807</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45807</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45807</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45807</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45807</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45807</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45807</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45807</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45807</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45807</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45807</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45807</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45807</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45807</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45807</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45807</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45807</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45807</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45807</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45807</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45807</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45807</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45807</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45807</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45807</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45807</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45807</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45807</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45807</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45807</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45807</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45807</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45807</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45807</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45807</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45807</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45807</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45807</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45807</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45807</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45807</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45807</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45807</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45807</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45807</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45807</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45807</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45807</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45807</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45807</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45807</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45807</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45807</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45807</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45807</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45807</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45807</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45807</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45807</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45807</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45807</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45807</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45807</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45807</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45807</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45807</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45807</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45807</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45807</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45807</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45807</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45807</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45807</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45807</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45807</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45807</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45807</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45807</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45807</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45807</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45807</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45807</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45807</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45807</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45807</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45807</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45807</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45807</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45807</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45807</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45807</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45807</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45807</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45807</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45807</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45807</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45807</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45807</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45807</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45807</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45807</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45807</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45807</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45807</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45807</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45807</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45807</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45807</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45807</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45807</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45807</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45807</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45807</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45807</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45807</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45807</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45807</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45807</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45807</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45807</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45807</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45807</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45807</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45807</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45807</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45807</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45807</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45807</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45807</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45807</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45807</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45807</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45807</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45807</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45807</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45807</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45807</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45807</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45807</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45807</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45807</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45807</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45807</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45807</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45807</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45807</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26112-2025</t>
        </is>
      </c>
      <c r="B188" s="1" t="n">
        <v>45805</v>
      </c>
      <c r="C188" s="1" t="n">
        <v>45807</v>
      </c>
      <c r="D188" t="inlineStr">
        <is>
          <t>VÄSTERBOTTENS LÄN</t>
        </is>
      </c>
      <c r="E188" t="inlineStr">
        <is>
          <t>SKELLEFTEÅ</t>
        </is>
      </c>
      <c r="G188" t="n">
        <v>12.7</v>
      </c>
      <c r="H188" t="n">
        <v>0</v>
      </c>
      <c r="I188" t="n">
        <v>0</v>
      </c>
      <c r="J188" t="n">
        <v>2</v>
      </c>
      <c r="K188" t="n">
        <v>0</v>
      </c>
      <c r="L188" t="n">
        <v>0</v>
      </c>
      <c r="M188" t="n">
        <v>0</v>
      </c>
      <c r="N188" t="n">
        <v>0</v>
      </c>
      <c r="O188" t="n">
        <v>2</v>
      </c>
      <c r="P188" t="n">
        <v>0</v>
      </c>
      <c r="Q188" t="n">
        <v>2</v>
      </c>
      <c r="R188" s="2" t="inlineStr">
        <is>
          <t>Garnlav
Lunglav</t>
        </is>
      </c>
      <c r="S188">
        <f>HYPERLINK("https://klasma.github.io/Logging_242482/artfynd/A 26112-2025 artfynd.xlsx", "A 26112-2025")</f>
        <v/>
      </c>
      <c r="T188">
        <f>HYPERLINK("https://klasma.github.io/Logging_242482/kartor/A 26112-2025 karta.png", "A 26112-2025")</f>
        <v/>
      </c>
      <c r="V188">
        <f>HYPERLINK("https://klasma.github.io/Logging_242482/klagomål/A 26112-2025 FSC-klagomål.docx", "A 26112-2025")</f>
        <v/>
      </c>
      <c r="W188">
        <f>HYPERLINK("https://klasma.github.io/Logging_242482/klagomålsmail/A 26112-2025 FSC-klagomål mail.docx", "A 26112-2025")</f>
        <v/>
      </c>
      <c r="X188">
        <f>HYPERLINK("https://klasma.github.io/Logging_242482/tillsyn/A 26112-2025 tillsynsbegäran.docx", "A 26112-2025")</f>
        <v/>
      </c>
      <c r="Y188">
        <f>HYPERLINK("https://klasma.github.io/Logging_242482/tillsynsmail/A 26112-2025 tillsynsbegäran mail.docx", "A 26112-2025")</f>
        <v/>
      </c>
    </row>
    <row r="189" ht="15" customHeight="1">
      <c r="A189" t="inlineStr">
        <is>
          <t>A 20465-2019</t>
        </is>
      </c>
      <c r="B189" s="1" t="n">
        <v>43572</v>
      </c>
      <c r="C189" s="1" t="n">
        <v>45807</v>
      </c>
      <c r="D189" t="inlineStr">
        <is>
          <t>VÄSTERBOTTENS LÄN</t>
        </is>
      </c>
      <c r="E189" t="inlineStr">
        <is>
          <t>SKELLEFTEÅ</t>
        </is>
      </c>
      <c r="G189" t="n">
        <v>2.1</v>
      </c>
      <c r="H189" t="n">
        <v>0</v>
      </c>
      <c r="I189" t="n">
        <v>0</v>
      </c>
      <c r="J189" t="n">
        <v>1</v>
      </c>
      <c r="K189" t="n">
        <v>0</v>
      </c>
      <c r="L189" t="n">
        <v>0</v>
      </c>
      <c r="M189" t="n">
        <v>0</v>
      </c>
      <c r="N189" t="n">
        <v>0</v>
      </c>
      <c r="O189" t="n">
        <v>1</v>
      </c>
      <c r="P189" t="n">
        <v>0</v>
      </c>
      <c r="Q189" t="n">
        <v>1</v>
      </c>
      <c r="R189" s="2" t="inlineStr">
        <is>
          <t>Violettgrå tagellav</t>
        </is>
      </c>
      <c r="S189">
        <f>HYPERLINK("https://klasma.github.io/Logging_2482/artfynd/A 20465-2019 artfynd.xlsx", "A 20465-2019")</f>
        <v/>
      </c>
      <c r="T189">
        <f>HYPERLINK("https://klasma.github.io/Logging_2482/kartor/A 20465-2019 karta.png", "A 20465-2019")</f>
        <v/>
      </c>
      <c r="V189">
        <f>HYPERLINK("https://klasma.github.io/Logging_2482/klagomål/A 20465-2019 FSC-klagomål.docx", "A 20465-2019")</f>
        <v/>
      </c>
      <c r="W189">
        <f>HYPERLINK("https://klasma.github.io/Logging_2482/klagomålsmail/A 20465-2019 FSC-klagomål mail.docx", "A 20465-2019")</f>
        <v/>
      </c>
      <c r="X189">
        <f>HYPERLINK("https://klasma.github.io/Logging_2482/tillsyn/A 20465-2019 tillsynsbegäran.docx", "A 20465-2019")</f>
        <v/>
      </c>
      <c r="Y189">
        <f>HYPERLINK("https://klasma.github.io/Logging_2482/tillsynsmail/A 20465-2019 tillsynsbegäran mail.docx", "A 20465-2019")</f>
        <v/>
      </c>
    </row>
    <row r="190" ht="15" customHeight="1">
      <c r="A190" t="inlineStr">
        <is>
          <t>A 25651-2019</t>
        </is>
      </c>
      <c r="B190" s="1" t="n">
        <v>43602</v>
      </c>
      <c r="C190" s="1" t="n">
        <v>45807</v>
      </c>
      <c r="D190" t="inlineStr">
        <is>
          <t>VÄSTERBOTTENS LÄN</t>
        </is>
      </c>
      <c r="E190" t="inlineStr">
        <is>
          <t>SKELLEFTEÅ</t>
        </is>
      </c>
      <c r="G190" t="n">
        <v>16.9</v>
      </c>
      <c r="H190" t="n">
        <v>1</v>
      </c>
      <c r="I190" t="n">
        <v>0</v>
      </c>
      <c r="J190" t="n">
        <v>0</v>
      </c>
      <c r="K190" t="n">
        <v>0</v>
      </c>
      <c r="L190" t="n">
        <v>0</v>
      </c>
      <c r="M190" t="n">
        <v>0</v>
      </c>
      <c r="N190" t="n">
        <v>0</v>
      </c>
      <c r="O190" t="n">
        <v>0</v>
      </c>
      <c r="P190" t="n">
        <v>0</v>
      </c>
      <c r="Q190" t="n">
        <v>1</v>
      </c>
      <c r="R190" s="2" t="inlineStr">
        <is>
          <t>Fläcknycklar</t>
        </is>
      </c>
      <c r="S190">
        <f>HYPERLINK("https://klasma.github.io/Logging_2482/artfynd/A 25651-2019 artfynd.xlsx", "A 25651-2019")</f>
        <v/>
      </c>
      <c r="T190">
        <f>HYPERLINK("https://klasma.github.io/Logging_2482/kartor/A 25651-2019 karta.png", "A 25651-2019")</f>
        <v/>
      </c>
      <c r="V190">
        <f>HYPERLINK("https://klasma.github.io/Logging_2482/klagomål/A 25651-2019 FSC-klagomål.docx", "A 25651-2019")</f>
        <v/>
      </c>
      <c r="W190">
        <f>HYPERLINK("https://klasma.github.io/Logging_2482/klagomålsmail/A 25651-2019 FSC-klagomål mail.docx", "A 25651-2019")</f>
        <v/>
      </c>
      <c r="X190">
        <f>HYPERLINK("https://klasma.github.io/Logging_2482/tillsyn/A 25651-2019 tillsynsbegäran.docx", "A 25651-2019")</f>
        <v/>
      </c>
      <c r="Y190">
        <f>HYPERLINK("https://klasma.github.io/Logging_2482/tillsynsmail/A 25651-2019 tillsynsbegäran mail.docx", "A 25651-2019")</f>
        <v/>
      </c>
    </row>
    <row r="191" ht="15" customHeight="1">
      <c r="A191" t="inlineStr">
        <is>
          <t>A 49035-2019</t>
        </is>
      </c>
      <c r="B191" s="1" t="n">
        <v>43731</v>
      </c>
      <c r="C191" s="1" t="n">
        <v>45807</v>
      </c>
      <c r="D191" t="inlineStr">
        <is>
          <t>VÄSTERBOTTENS LÄN</t>
        </is>
      </c>
      <c r="E191" t="inlineStr">
        <is>
          <t>SKELLEFTEÅ</t>
        </is>
      </c>
      <c r="F191" t="inlineStr">
        <is>
          <t>Kommuner</t>
        </is>
      </c>
      <c r="G191" t="n">
        <v>1.4</v>
      </c>
      <c r="H191" t="n">
        <v>1</v>
      </c>
      <c r="I191" t="n">
        <v>0</v>
      </c>
      <c r="J191" t="n">
        <v>0</v>
      </c>
      <c r="K191" t="n">
        <v>0</v>
      </c>
      <c r="L191" t="n">
        <v>0</v>
      </c>
      <c r="M191" t="n">
        <v>0</v>
      </c>
      <c r="N191" t="n">
        <v>0</v>
      </c>
      <c r="O191" t="n">
        <v>0</v>
      </c>
      <c r="P191" t="n">
        <v>0</v>
      </c>
      <c r="Q191" t="n">
        <v>1</v>
      </c>
      <c r="R191" s="2" t="inlineStr">
        <is>
          <t>Huggorm</t>
        </is>
      </c>
      <c r="S191">
        <f>HYPERLINK("https://klasma.github.io/Logging_2482/artfynd/A 49035-2019 artfynd.xlsx", "A 49035-2019")</f>
        <v/>
      </c>
      <c r="T191">
        <f>HYPERLINK("https://klasma.github.io/Logging_2482/kartor/A 49035-2019 karta.png", "A 49035-2019")</f>
        <v/>
      </c>
      <c r="V191">
        <f>HYPERLINK("https://klasma.github.io/Logging_2482/klagomål/A 49035-2019 FSC-klagomål.docx", "A 49035-2019")</f>
        <v/>
      </c>
      <c r="W191">
        <f>HYPERLINK("https://klasma.github.io/Logging_2482/klagomålsmail/A 49035-2019 FSC-klagomål mail.docx", "A 49035-2019")</f>
        <v/>
      </c>
      <c r="X191">
        <f>HYPERLINK("https://klasma.github.io/Logging_2482/tillsyn/A 49035-2019 tillsynsbegäran.docx", "A 49035-2019")</f>
        <v/>
      </c>
      <c r="Y191">
        <f>HYPERLINK("https://klasma.github.io/Logging_2482/tillsynsmail/A 49035-2019 tillsynsbegäran mail.docx", "A 49035-2019")</f>
        <v/>
      </c>
    </row>
    <row r="192" ht="15" customHeight="1">
      <c r="A192" t="inlineStr">
        <is>
          <t>A 51461-2019</t>
        </is>
      </c>
      <c r="B192" s="1" t="n">
        <v>43740</v>
      </c>
      <c r="C192" s="1" t="n">
        <v>45807</v>
      </c>
      <c r="D192" t="inlineStr">
        <is>
          <t>VÄSTERBOTTENS LÄN</t>
        </is>
      </c>
      <c r="E192" t="inlineStr">
        <is>
          <t>SKELLEFTEÅ</t>
        </is>
      </c>
      <c r="F192" t="inlineStr">
        <is>
          <t>Sveaskog</t>
        </is>
      </c>
      <c r="G192" t="n">
        <v>12.2</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51461-2019 artfynd.xlsx", "A 51461-2019")</f>
        <v/>
      </c>
      <c r="T192">
        <f>HYPERLINK("https://klasma.github.io/Logging_2482/kartor/A 51461-2019 karta.png", "A 51461-2019")</f>
        <v/>
      </c>
      <c r="V192">
        <f>HYPERLINK("https://klasma.github.io/Logging_2482/klagomål/A 51461-2019 FSC-klagomål.docx", "A 51461-2019")</f>
        <v/>
      </c>
      <c r="W192">
        <f>HYPERLINK("https://klasma.github.io/Logging_2482/klagomålsmail/A 51461-2019 FSC-klagomål mail.docx", "A 51461-2019")</f>
        <v/>
      </c>
      <c r="X192">
        <f>HYPERLINK("https://klasma.github.io/Logging_2482/tillsyn/A 51461-2019 tillsynsbegäran.docx", "A 51461-2019")</f>
        <v/>
      </c>
      <c r="Y192">
        <f>HYPERLINK("https://klasma.github.io/Logging_2482/tillsynsmail/A 51461-2019 tillsynsbegäran mail.docx", "A 51461-2019")</f>
        <v/>
      </c>
    </row>
    <row r="193" ht="15" customHeight="1">
      <c r="A193" t="inlineStr">
        <is>
          <t>A 63709-2019</t>
        </is>
      </c>
      <c r="B193" s="1" t="n">
        <v>43795</v>
      </c>
      <c r="C193" s="1" t="n">
        <v>45807</v>
      </c>
      <c r="D193" t="inlineStr">
        <is>
          <t>VÄSTERBOTTENS LÄN</t>
        </is>
      </c>
      <c r="E193" t="inlineStr">
        <is>
          <t>SKELLEFTEÅ</t>
        </is>
      </c>
      <c r="F193" t="inlineStr">
        <is>
          <t>Sveaskog</t>
        </is>
      </c>
      <c r="G193" t="n">
        <v>39.7</v>
      </c>
      <c r="H193" t="n">
        <v>1</v>
      </c>
      <c r="I193" t="n">
        <v>0</v>
      </c>
      <c r="J193" t="n">
        <v>0</v>
      </c>
      <c r="K193" t="n">
        <v>0</v>
      </c>
      <c r="L193" t="n">
        <v>0</v>
      </c>
      <c r="M193" t="n">
        <v>0</v>
      </c>
      <c r="N193" t="n">
        <v>0</v>
      </c>
      <c r="O193" t="n">
        <v>0</v>
      </c>
      <c r="P193" t="n">
        <v>0</v>
      </c>
      <c r="Q193" t="n">
        <v>1</v>
      </c>
      <c r="R193" s="2" t="inlineStr">
        <is>
          <t>Fläcknycklar</t>
        </is>
      </c>
      <c r="S193">
        <f>HYPERLINK("https://klasma.github.io/Logging_2482/artfynd/A 63709-2019 artfynd.xlsx", "A 63709-2019")</f>
        <v/>
      </c>
      <c r="T193">
        <f>HYPERLINK("https://klasma.github.io/Logging_2482/kartor/A 63709-2019 karta.png", "A 63709-2019")</f>
        <v/>
      </c>
      <c r="V193">
        <f>HYPERLINK("https://klasma.github.io/Logging_2482/klagomål/A 63709-2019 FSC-klagomål.docx", "A 63709-2019")</f>
        <v/>
      </c>
      <c r="W193">
        <f>HYPERLINK("https://klasma.github.io/Logging_2482/klagomålsmail/A 63709-2019 FSC-klagomål mail.docx", "A 63709-2019")</f>
        <v/>
      </c>
      <c r="X193">
        <f>HYPERLINK("https://klasma.github.io/Logging_2482/tillsyn/A 63709-2019 tillsynsbegäran.docx", "A 63709-2019")</f>
        <v/>
      </c>
      <c r="Y193">
        <f>HYPERLINK("https://klasma.github.io/Logging_2482/tillsynsmail/A 63709-2019 tillsynsbegäran mail.docx", "A 63709-2019")</f>
        <v/>
      </c>
    </row>
    <row r="194" ht="15" customHeight="1">
      <c r="A194" t="inlineStr">
        <is>
          <t>A 43180-2020</t>
        </is>
      </c>
      <c r="B194" s="1" t="n">
        <v>44076</v>
      </c>
      <c r="C194" s="1" t="n">
        <v>45807</v>
      </c>
      <c r="D194" t="inlineStr">
        <is>
          <t>VÄSTERBOTTENS LÄN</t>
        </is>
      </c>
      <c r="E194" t="inlineStr">
        <is>
          <t>SKELLEFTEÅ</t>
        </is>
      </c>
      <c r="G194" t="n">
        <v>0.6</v>
      </c>
      <c r="H194" t="n">
        <v>0</v>
      </c>
      <c r="I194" t="n">
        <v>0</v>
      </c>
      <c r="J194" t="n">
        <v>1</v>
      </c>
      <c r="K194" t="n">
        <v>0</v>
      </c>
      <c r="L194" t="n">
        <v>0</v>
      </c>
      <c r="M194" t="n">
        <v>0</v>
      </c>
      <c r="N194" t="n">
        <v>0</v>
      </c>
      <c r="O194" t="n">
        <v>1</v>
      </c>
      <c r="P194" t="n">
        <v>0</v>
      </c>
      <c r="Q194" t="n">
        <v>1</v>
      </c>
      <c r="R194" s="2" t="inlineStr">
        <is>
          <t>Garnlav</t>
        </is>
      </c>
      <c r="S194">
        <f>HYPERLINK("https://klasma.github.io/Logging_2482/artfynd/A 43180-2020 artfynd.xlsx", "A 43180-2020")</f>
        <v/>
      </c>
      <c r="T194">
        <f>HYPERLINK("https://klasma.github.io/Logging_2482/kartor/A 43180-2020 karta.png", "A 43180-2020")</f>
        <v/>
      </c>
      <c r="V194">
        <f>HYPERLINK("https://klasma.github.io/Logging_2482/klagomål/A 43180-2020 FSC-klagomål.docx", "A 43180-2020")</f>
        <v/>
      </c>
      <c r="W194">
        <f>HYPERLINK("https://klasma.github.io/Logging_2482/klagomålsmail/A 43180-2020 FSC-klagomål mail.docx", "A 43180-2020")</f>
        <v/>
      </c>
      <c r="X194">
        <f>HYPERLINK("https://klasma.github.io/Logging_2482/tillsyn/A 43180-2020 tillsynsbegäran.docx", "A 43180-2020")</f>
        <v/>
      </c>
      <c r="Y194">
        <f>HYPERLINK("https://klasma.github.io/Logging_2482/tillsynsmail/A 43180-2020 tillsynsbegäran mail.docx", "A 43180-2020")</f>
        <v/>
      </c>
    </row>
    <row r="195" ht="15" customHeight="1">
      <c r="A195" t="inlineStr">
        <is>
          <t>A 42794-2020</t>
        </is>
      </c>
      <c r="B195" s="1" t="n">
        <v>44078</v>
      </c>
      <c r="C195" s="1" t="n">
        <v>45807</v>
      </c>
      <c r="D195" t="inlineStr">
        <is>
          <t>VÄSTERBOTTENS LÄN</t>
        </is>
      </c>
      <c r="E195" t="inlineStr">
        <is>
          <t>SKELLEFTEÅ</t>
        </is>
      </c>
      <c r="F195" t="inlineStr">
        <is>
          <t>Kommuner</t>
        </is>
      </c>
      <c r="G195" t="n">
        <v>3.4</v>
      </c>
      <c r="H195" t="n">
        <v>0</v>
      </c>
      <c r="I195" t="n">
        <v>0</v>
      </c>
      <c r="J195" t="n">
        <v>1</v>
      </c>
      <c r="K195" t="n">
        <v>0</v>
      </c>
      <c r="L195" t="n">
        <v>0</v>
      </c>
      <c r="M195" t="n">
        <v>0</v>
      </c>
      <c r="N195" t="n">
        <v>0</v>
      </c>
      <c r="O195" t="n">
        <v>1</v>
      </c>
      <c r="P195" t="n">
        <v>0</v>
      </c>
      <c r="Q195" t="n">
        <v>1</v>
      </c>
      <c r="R195" s="2" t="inlineStr">
        <is>
          <t>Motaggsvamp</t>
        </is>
      </c>
      <c r="S195">
        <f>HYPERLINK("https://klasma.github.io/Logging_2482/artfynd/A 42794-2020 artfynd.xlsx", "A 42794-2020")</f>
        <v/>
      </c>
      <c r="T195">
        <f>HYPERLINK("https://klasma.github.io/Logging_2482/kartor/A 42794-2020 karta.png", "A 42794-2020")</f>
        <v/>
      </c>
      <c r="V195">
        <f>HYPERLINK("https://klasma.github.io/Logging_2482/klagomål/A 42794-2020 FSC-klagomål.docx", "A 42794-2020")</f>
        <v/>
      </c>
      <c r="W195">
        <f>HYPERLINK("https://klasma.github.io/Logging_2482/klagomålsmail/A 42794-2020 FSC-klagomål mail.docx", "A 42794-2020")</f>
        <v/>
      </c>
      <c r="X195">
        <f>HYPERLINK("https://klasma.github.io/Logging_2482/tillsyn/A 42794-2020 tillsynsbegäran.docx", "A 42794-2020")</f>
        <v/>
      </c>
      <c r="Y195">
        <f>HYPERLINK("https://klasma.github.io/Logging_2482/tillsynsmail/A 42794-2020 tillsynsbegäran mail.docx", "A 42794-2020")</f>
        <v/>
      </c>
    </row>
    <row r="196" ht="15" customHeight="1">
      <c r="A196" t="inlineStr">
        <is>
          <t>A 43297-2020</t>
        </is>
      </c>
      <c r="B196" s="1" t="n">
        <v>44081</v>
      </c>
      <c r="C196" s="1" t="n">
        <v>45807</v>
      </c>
      <c r="D196" t="inlineStr">
        <is>
          <t>VÄSTERBOTTENS LÄN</t>
        </is>
      </c>
      <c r="E196" t="inlineStr">
        <is>
          <t>SKELLEFTEÅ</t>
        </is>
      </c>
      <c r="F196" t="inlineStr">
        <is>
          <t>Sveaskog</t>
        </is>
      </c>
      <c r="G196" t="n">
        <v>6</v>
      </c>
      <c r="H196" t="n">
        <v>0</v>
      </c>
      <c r="I196" t="n">
        <v>1</v>
      </c>
      <c r="J196" t="n">
        <v>0</v>
      </c>
      <c r="K196" t="n">
        <v>0</v>
      </c>
      <c r="L196" t="n">
        <v>0</v>
      </c>
      <c r="M196" t="n">
        <v>0</v>
      </c>
      <c r="N196" t="n">
        <v>0</v>
      </c>
      <c r="O196" t="n">
        <v>0</v>
      </c>
      <c r="P196" t="n">
        <v>0</v>
      </c>
      <c r="Q196" t="n">
        <v>1</v>
      </c>
      <c r="R196" s="2" t="inlineStr">
        <is>
          <t>Vedticka</t>
        </is>
      </c>
      <c r="S196">
        <f>HYPERLINK("https://klasma.github.io/Logging_2482/artfynd/A 43297-2020 artfynd.xlsx", "A 43297-2020")</f>
        <v/>
      </c>
      <c r="T196">
        <f>HYPERLINK("https://klasma.github.io/Logging_2482/kartor/A 43297-2020 karta.png", "A 43297-2020")</f>
        <v/>
      </c>
      <c r="V196">
        <f>HYPERLINK("https://klasma.github.io/Logging_2482/klagomål/A 43297-2020 FSC-klagomål.docx", "A 43297-2020")</f>
        <v/>
      </c>
      <c r="W196">
        <f>HYPERLINK("https://klasma.github.io/Logging_2482/klagomålsmail/A 43297-2020 FSC-klagomål mail.docx", "A 43297-2020")</f>
        <v/>
      </c>
      <c r="X196">
        <f>HYPERLINK("https://klasma.github.io/Logging_2482/tillsyn/A 43297-2020 tillsynsbegäran.docx", "A 43297-2020")</f>
        <v/>
      </c>
      <c r="Y196">
        <f>HYPERLINK("https://klasma.github.io/Logging_2482/tillsynsmail/A 43297-2020 tillsynsbegäran mail.docx", "A 43297-2020")</f>
        <v/>
      </c>
    </row>
    <row r="197" ht="15" customHeight="1">
      <c r="A197" t="inlineStr">
        <is>
          <t>A 43303-2020</t>
        </is>
      </c>
      <c r="B197" s="1" t="n">
        <v>44081</v>
      </c>
      <c r="C197" s="1" t="n">
        <v>45807</v>
      </c>
      <c r="D197" t="inlineStr">
        <is>
          <t>VÄSTERBOTTENS LÄN</t>
        </is>
      </c>
      <c r="E197" t="inlineStr">
        <is>
          <t>SKELLEFTEÅ</t>
        </is>
      </c>
      <c r="F197" t="inlineStr">
        <is>
          <t>Sveaskog</t>
        </is>
      </c>
      <c r="G197" t="n">
        <v>2.8</v>
      </c>
      <c r="H197" t="n">
        <v>0</v>
      </c>
      <c r="I197" t="n">
        <v>1</v>
      </c>
      <c r="J197" t="n">
        <v>0</v>
      </c>
      <c r="K197" t="n">
        <v>0</v>
      </c>
      <c r="L197" t="n">
        <v>0</v>
      </c>
      <c r="M197" t="n">
        <v>0</v>
      </c>
      <c r="N197" t="n">
        <v>0</v>
      </c>
      <c r="O197" t="n">
        <v>0</v>
      </c>
      <c r="P197" t="n">
        <v>0</v>
      </c>
      <c r="Q197" t="n">
        <v>1</v>
      </c>
      <c r="R197" s="2" t="inlineStr">
        <is>
          <t>Stuplav</t>
        </is>
      </c>
      <c r="S197">
        <f>HYPERLINK("https://klasma.github.io/Logging_2482/artfynd/A 43303-2020 artfynd.xlsx", "A 43303-2020")</f>
        <v/>
      </c>
      <c r="T197">
        <f>HYPERLINK("https://klasma.github.io/Logging_2482/kartor/A 43303-2020 karta.png", "A 43303-2020")</f>
        <v/>
      </c>
      <c r="V197">
        <f>HYPERLINK("https://klasma.github.io/Logging_2482/klagomål/A 43303-2020 FSC-klagomål.docx", "A 43303-2020")</f>
        <v/>
      </c>
      <c r="W197">
        <f>HYPERLINK("https://klasma.github.io/Logging_2482/klagomålsmail/A 43303-2020 FSC-klagomål mail.docx", "A 43303-2020")</f>
        <v/>
      </c>
      <c r="X197">
        <f>HYPERLINK("https://klasma.github.io/Logging_2482/tillsyn/A 43303-2020 tillsynsbegäran.docx", "A 43303-2020")</f>
        <v/>
      </c>
      <c r="Y197">
        <f>HYPERLINK("https://klasma.github.io/Logging_2482/tillsynsmail/A 43303-2020 tillsynsbegäran mail.docx", "A 43303-2020")</f>
        <v/>
      </c>
    </row>
    <row r="198" ht="15" customHeight="1">
      <c r="A198" t="inlineStr">
        <is>
          <t>A 55810-2020</t>
        </is>
      </c>
      <c r="B198" s="1" t="n">
        <v>44132</v>
      </c>
      <c r="C198" s="1" t="n">
        <v>45807</v>
      </c>
      <c r="D198" t="inlineStr">
        <is>
          <t>VÄSTERBOTTENS LÄN</t>
        </is>
      </c>
      <c r="E198" t="inlineStr">
        <is>
          <t>SKELLEFTEÅ</t>
        </is>
      </c>
      <c r="F198" t="inlineStr">
        <is>
          <t>Sveaskog</t>
        </is>
      </c>
      <c r="G198" t="n">
        <v>20.1</v>
      </c>
      <c r="H198" t="n">
        <v>1</v>
      </c>
      <c r="I198" t="n">
        <v>0</v>
      </c>
      <c r="J198" t="n">
        <v>0</v>
      </c>
      <c r="K198" t="n">
        <v>0</v>
      </c>
      <c r="L198" t="n">
        <v>0</v>
      </c>
      <c r="M198" t="n">
        <v>0</v>
      </c>
      <c r="N198" t="n">
        <v>0</v>
      </c>
      <c r="O198" t="n">
        <v>0</v>
      </c>
      <c r="P198" t="n">
        <v>0</v>
      </c>
      <c r="Q198" t="n">
        <v>1</v>
      </c>
      <c r="R198" s="2" t="inlineStr">
        <is>
          <t>Fläcknycklar</t>
        </is>
      </c>
      <c r="S198">
        <f>HYPERLINK("https://klasma.github.io/Logging_2482/artfynd/A 55810-2020 artfynd.xlsx", "A 55810-2020")</f>
        <v/>
      </c>
      <c r="T198">
        <f>HYPERLINK("https://klasma.github.io/Logging_2482/kartor/A 55810-2020 karta.png", "A 55810-2020")</f>
        <v/>
      </c>
      <c r="V198">
        <f>HYPERLINK("https://klasma.github.io/Logging_2482/klagomål/A 55810-2020 FSC-klagomål.docx", "A 55810-2020")</f>
        <v/>
      </c>
      <c r="W198">
        <f>HYPERLINK("https://klasma.github.io/Logging_2482/klagomålsmail/A 55810-2020 FSC-klagomål mail.docx", "A 55810-2020")</f>
        <v/>
      </c>
      <c r="X198">
        <f>HYPERLINK("https://klasma.github.io/Logging_2482/tillsyn/A 55810-2020 tillsynsbegäran.docx", "A 55810-2020")</f>
        <v/>
      </c>
      <c r="Y198">
        <f>HYPERLINK("https://klasma.github.io/Logging_2482/tillsynsmail/A 55810-2020 tillsynsbegäran mail.docx", "A 55810-2020")</f>
        <v/>
      </c>
    </row>
    <row r="199" ht="15" customHeight="1">
      <c r="A199" t="inlineStr">
        <is>
          <t>A 14857-2021</t>
        </is>
      </c>
      <c r="B199" s="1" t="n">
        <v>44280</v>
      </c>
      <c r="C199" s="1" t="n">
        <v>45807</v>
      </c>
      <c r="D199" t="inlineStr">
        <is>
          <t>VÄSTERBOTTENS LÄN</t>
        </is>
      </c>
      <c r="E199" t="inlineStr">
        <is>
          <t>SKELLEFTEÅ</t>
        </is>
      </c>
      <c r="F199" t="inlineStr">
        <is>
          <t>SCA</t>
        </is>
      </c>
      <c r="G199" t="n">
        <v>3.7</v>
      </c>
      <c r="H199" t="n">
        <v>1</v>
      </c>
      <c r="I199" t="n">
        <v>0</v>
      </c>
      <c r="J199" t="n">
        <v>1</v>
      </c>
      <c r="K199" t="n">
        <v>0</v>
      </c>
      <c r="L199" t="n">
        <v>0</v>
      </c>
      <c r="M199" t="n">
        <v>0</v>
      </c>
      <c r="N199" t="n">
        <v>0</v>
      </c>
      <c r="O199" t="n">
        <v>1</v>
      </c>
      <c r="P199" t="n">
        <v>0</v>
      </c>
      <c r="Q199" t="n">
        <v>1</v>
      </c>
      <c r="R199" s="2" t="inlineStr">
        <is>
          <t>Tretåig hackspett</t>
        </is>
      </c>
      <c r="S199">
        <f>HYPERLINK("https://klasma.github.io/Logging_2482/artfynd/A 14857-2021 artfynd.xlsx", "A 14857-2021")</f>
        <v/>
      </c>
      <c r="T199">
        <f>HYPERLINK("https://klasma.github.io/Logging_2482/kartor/A 14857-2021 karta.png", "A 14857-2021")</f>
        <v/>
      </c>
      <c r="V199">
        <f>HYPERLINK("https://klasma.github.io/Logging_2482/klagomål/A 14857-2021 FSC-klagomål.docx", "A 14857-2021")</f>
        <v/>
      </c>
      <c r="W199">
        <f>HYPERLINK("https://klasma.github.io/Logging_2482/klagomålsmail/A 14857-2021 FSC-klagomål mail.docx", "A 14857-2021")</f>
        <v/>
      </c>
      <c r="X199">
        <f>HYPERLINK("https://klasma.github.io/Logging_2482/tillsyn/A 14857-2021 tillsynsbegäran.docx", "A 14857-2021")</f>
        <v/>
      </c>
      <c r="Y199">
        <f>HYPERLINK("https://klasma.github.io/Logging_2482/tillsynsmail/A 14857-2021 tillsynsbegäran mail.docx", "A 14857-2021")</f>
        <v/>
      </c>
      <c r="Z199">
        <f>HYPERLINK("https://klasma.github.io/Logging_2482/fåglar/A 14857-2021 prioriterade fågelarter.docx", "A 14857-2021")</f>
        <v/>
      </c>
    </row>
    <row r="200" ht="15" customHeight="1">
      <c r="A200" t="inlineStr">
        <is>
          <t>A 32964-2021</t>
        </is>
      </c>
      <c r="B200" s="1" t="n">
        <v>44376</v>
      </c>
      <c r="C200" s="1" t="n">
        <v>45807</v>
      </c>
      <c r="D200" t="inlineStr">
        <is>
          <t>VÄSTERBOTTENS LÄN</t>
        </is>
      </c>
      <c r="E200" t="inlineStr">
        <is>
          <t>SKELLEFTEÅ</t>
        </is>
      </c>
      <c r="G200" t="n">
        <v>16</v>
      </c>
      <c r="H200" t="n">
        <v>0</v>
      </c>
      <c r="I200" t="n">
        <v>0</v>
      </c>
      <c r="J200" t="n">
        <v>1</v>
      </c>
      <c r="K200" t="n">
        <v>0</v>
      </c>
      <c r="L200" t="n">
        <v>0</v>
      </c>
      <c r="M200" t="n">
        <v>0</v>
      </c>
      <c r="N200" t="n">
        <v>0</v>
      </c>
      <c r="O200" t="n">
        <v>1</v>
      </c>
      <c r="P200" t="n">
        <v>0</v>
      </c>
      <c r="Q200" t="n">
        <v>1</v>
      </c>
      <c r="R200" s="2" t="inlineStr">
        <is>
          <t>Kådvaxskinn</t>
        </is>
      </c>
      <c r="S200">
        <f>HYPERLINK("https://klasma.github.io/Logging_2482/artfynd/A 32964-2021 artfynd.xlsx", "A 32964-2021")</f>
        <v/>
      </c>
      <c r="T200">
        <f>HYPERLINK("https://klasma.github.io/Logging_2482/kartor/A 32964-2021 karta.png", "A 32964-2021")</f>
        <v/>
      </c>
      <c r="V200">
        <f>HYPERLINK("https://klasma.github.io/Logging_2482/klagomål/A 32964-2021 FSC-klagomål.docx", "A 32964-2021")</f>
        <v/>
      </c>
      <c r="W200">
        <f>HYPERLINK("https://klasma.github.io/Logging_2482/klagomålsmail/A 32964-2021 FSC-klagomål mail.docx", "A 32964-2021")</f>
        <v/>
      </c>
      <c r="X200">
        <f>HYPERLINK("https://klasma.github.io/Logging_2482/tillsyn/A 32964-2021 tillsynsbegäran.docx", "A 32964-2021")</f>
        <v/>
      </c>
      <c r="Y200">
        <f>HYPERLINK("https://klasma.github.io/Logging_2482/tillsynsmail/A 32964-2021 tillsynsbegäran mail.docx", "A 32964-2021")</f>
        <v/>
      </c>
    </row>
    <row r="201" ht="15" customHeight="1">
      <c r="A201" t="inlineStr">
        <is>
          <t>A 35047-2021</t>
        </is>
      </c>
      <c r="B201" s="1" t="n">
        <v>44384</v>
      </c>
      <c r="C201" s="1" t="n">
        <v>45807</v>
      </c>
      <c r="D201" t="inlineStr">
        <is>
          <t>VÄSTERBOTTENS LÄN</t>
        </is>
      </c>
      <c r="E201" t="inlineStr">
        <is>
          <t>SKELLEFTEÅ</t>
        </is>
      </c>
      <c r="G201" t="n">
        <v>3.1</v>
      </c>
      <c r="H201" t="n">
        <v>0</v>
      </c>
      <c r="I201" t="n">
        <v>0</v>
      </c>
      <c r="J201" t="n">
        <v>1</v>
      </c>
      <c r="K201" t="n">
        <v>0</v>
      </c>
      <c r="L201" t="n">
        <v>0</v>
      </c>
      <c r="M201" t="n">
        <v>0</v>
      </c>
      <c r="N201" t="n">
        <v>0</v>
      </c>
      <c r="O201" t="n">
        <v>1</v>
      </c>
      <c r="P201" t="n">
        <v>0</v>
      </c>
      <c r="Q201" t="n">
        <v>1</v>
      </c>
      <c r="R201" s="2" t="inlineStr">
        <is>
          <t>Garnlav</t>
        </is>
      </c>
      <c r="S201">
        <f>HYPERLINK("https://klasma.github.io/Logging_2482/artfynd/A 35047-2021 artfynd.xlsx", "A 35047-2021")</f>
        <v/>
      </c>
      <c r="T201">
        <f>HYPERLINK("https://klasma.github.io/Logging_2482/kartor/A 35047-2021 karta.png", "A 35047-2021")</f>
        <v/>
      </c>
      <c r="V201">
        <f>HYPERLINK("https://klasma.github.io/Logging_2482/klagomål/A 35047-2021 FSC-klagomål.docx", "A 35047-2021")</f>
        <v/>
      </c>
      <c r="W201">
        <f>HYPERLINK("https://klasma.github.io/Logging_2482/klagomålsmail/A 35047-2021 FSC-klagomål mail.docx", "A 35047-2021")</f>
        <v/>
      </c>
      <c r="X201">
        <f>HYPERLINK("https://klasma.github.io/Logging_2482/tillsyn/A 35047-2021 tillsynsbegäran.docx", "A 35047-2021")</f>
        <v/>
      </c>
      <c r="Y201">
        <f>HYPERLINK("https://klasma.github.io/Logging_2482/tillsynsmail/A 35047-2021 tillsynsbegäran mail.docx", "A 35047-2021")</f>
        <v/>
      </c>
    </row>
    <row r="202" ht="15" customHeight="1">
      <c r="A202" t="inlineStr">
        <is>
          <t>A 35625-2021</t>
        </is>
      </c>
      <c r="B202" s="1" t="n">
        <v>44386</v>
      </c>
      <c r="C202" s="1" t="n">
        <v>45807</v>
      </c>
      <c r="D202" t="inlineStr">
        <is>
          <t>VÄSTERBOTTENS LÄN</t>
        </is>
      </c>
      <c r="E202" t="inlineStr">
        <is>
          <t>SKELLEFTEÅ</t>
        </is>
      </c>
      <c r="F202" t="inlineStr">
        <is>
          <t>Holmen skog AB</t>
        </is>
      </c>
      <c r="G202" t="n">
        <v>3.5</v>
      </c>
      <c r="H202" t="n">
        <v>0</v>
      </c>
      <c r="I202" t="n">
        <v>1</v>
      </c>
      <c r="J202" t="n">
        <v>0</v>
      </c>
      <c r="K202" t="n">
        <v>0</v>
      </c>
      <c r="L202" t="n">
        <v>0</v>
      </c>
      <c r="M202" t="n">
        <v>0</v>
      </c>
      <c r="N202" t="n">
        <v>0</v>
      </c>
      <c r="O202" t="n">
        <v>0</v>
      </c>
      <c r="P202" t="n">
        <v>0</v>
      </c>
      <c r="Q202" t="n">
        <v>1</v>
      </c>
      <c r="R202" s="2" t="inlineStr">
        <is>
          <t>Vedticka</t>
        </is>
      </c>
      <c r="S202">
        <f>HYPERLINK("https://klasma.github.io/Logging_2482/artfynd/A 35625-2021 artfynd.xlsx", "A 35625-2021")</f>
        <v/>
      </c>
      <c r="T202">
        <f>HYPERLINK("https://klasma.github.io/Logging_2482/kartor/A 35625-2021 karta.png", "A 35625-2021")</f>
        <v/>
      </c>
      <c r="V202">
        <f>HYPERLINK("https://klasma.github.io/Logging_2482/klagomål/A 35625-2021 FSC-klagomål.docx", "A 35625-2021")</f>
        <v/>
      </c>
      <c r="W202">
        <f>HYPERLINK("https://klasma.github.io/Logging_2482/klagomålsmail/A 35625-2021 FSC-klagomål mail.docx", "A 35625-2021")</f>
        <v/>
      </c>
      <c r="X202">
        <f>HYPERLINK("https://klasma.github.io/Logging_2482/tillsyn/A 35625-2021 tillsynsbegäran.docx", "A 35625-2021")</f>
        <v/>
      </c>
      <c r="Y202">
        <f>HYPERLINK("https://klasma.github.io/Logging_2482/tillsynsmail/A 35625-2021 tillsynsbegäran mail.docx", "A 35625-2021")</f>
        <v/>
      </c>
    </row>
    <row r="203" ht="15" customHeight="1">
      <c r="A203" t="inlineStr">
        <is>
          <t>A 39946-2021</t>
        </is>
      </c>
      <c r="B203" s="1" t="n">
        <v>44417</v>
      </c>
      <c r="C203" s="1" t="n">
        <v>45807</v>
      </c>
      <c r="D203" t="inlineStr">
        <is>
          <t>VÄSTERBOTTENS LÄN</t>
        </is>
      </c>
      <c r="E203" t="inlineStr">
        <is>
          <t>SKELLEFTEÅ</t>
        </is>
      </c>
      <c r="F203" t="inlineStr">
        <is>
          <t>SCA</t>
        </is>
      </c>
      <c r="G203" t="n">
        <v>3.4</v>
      </c>
      <c r="H203" t="n">
        <v>1</v>
      </c>
      <c r="I203" t="n">
        <v>0</v>
      </c>
      <c r="J203" t="n">
        <v>0</v>
      </c>
      <c r="K203" t="n">
        <v>0</v>
      </c>
      <c r="L203" t="n">
        <v>0</v>
      </c>
      <c r="M203" t="n">
        <v>0</v>
      </c>
      <c r="N203" t="n">
        <v>0</v>
      </c>
      <c r="O203" t="n">
        <v>0</v>
      </c>
      <c r="P203" t="n">
        <v>0</v>
      </c>
      <c r="Q203" t="n">
        <v>1</v>
      </c>
      <c r="R203" s="2" t="inlineStr">
        <is>
          <t>Fläcknycklar</t>
        </is>
      </c>
      <c r="S203">
        <f>HYPERLINK("https://klasma.github.io/Logging_2482/artfynd/A 39946-2021 artfynd.xlsx", "A 39946-2021")</f>
        <v/>
      </c>
      <c r="T203">
        <f>HYPERLINK("https://klasma.github.io/Logging_2482/kartor/A 39946-2021 karta.png", "A 39946-2021")</f>
        <v/>
      </c>
      <c r="V203">
        <f>HYPERLINK("https://klasma.github.io/Logging_2482/klagomål/A 39946-2021 FSC-klagomål.docx", "A 39946-2021")</f>
        <v/>
      </c>
      <c r="W203">
        <f>HYPERLINK("https://klasma.github.io/Logging_2482/klagomålsmail/A 39946-2021 FSC-klagomål mail.docx", "A 39946-2021")</f>
        <v/>
      </c>
      <c r="X203">
        <f>HYPERLINK("https://klasma.github.io/Logging_2482/tillsyn/A 39946-2021 tillsynsbegäran.docx", "A 39946-2021")</f>
        <v/>
      </c>
      <c r="Y203">
        <f>HYPERLINK("https://klasma.github.io/Logging_2482/tillsynsmail/A 39946-2021 tillsynsbegäran mail.docx", "A 39946-2021")</f>
        <v/>
      </c>
    </row>
    <row r="204" ht="15" customHeight="1">
      <c r="A204" t="inlineStr">
        <is>
          <t>A 58766-2021</t>
        </is>
      </c>
      <c r="B204" s="1" t="n">
        <v>44489</v>
      </c>
      <c r="C204" s="1" t="n">
        <v>45807</v>
      </c>
      <c r="D204" t="inlineStr">
        <is>
          <t>VÄSTERBOTTENS LÄN</t>
        </is>
      </c>
      <c r="E204" t="inlineStr">
        <is>
          <t>SKELLEFTEÅ</t>
        </is>
      </c>
      <c r="G204" t="n">
        <v>5.5</v>
      </c>
      <c r="H204" t="n">
        <v>0</v>
      </c>
      <c r="I204" t="n">
        <v>0</v>
      </c>
      <c r="J204" t="n">
        <v>1</v>
      </c>
      <c r="K204" t="n">
        <v>0</v>
      </c>
      <c r="L204" t="n">
        <v>0</v>
      </c>
      <c r="M204" t="n">
        <v>0</v>
      </c>
      <c r="N204" t="n">
        <v>0</v>
      </c>
      <c r="O204" t="n">
        <v>1</v>
      </c>
      <c r="P204" t="n">
        <v>0</v>
      </c>
      <c r="Q204" t="n">
        <v>1</v>
      </c>
      <c r="R204" s="2" t="inlineStr">
        <is>
          <t>Stjärntagging</t>
        </is>
      </c>
      <c r="S204">
        <f>HYPERLINK("https://klasma.github.io/Logging_2482/artfynd/A 58766-2021 artfynd.xlsx", "A 58766-2021")</f>
        <v/>
      </c>
      <c r="T204">
        <f>HYPERLINK("https://klasma.github.io/Logging_2482/kartor/A 58766-2021 karta.png", "A 58766-2021")</f>
        <v/>
      </c>
      <c r="V204">
        <f>HYPERLINK("https://klasma.github.io/Logging_2482/klagomål/A 58766-2021 FSC-klagomål.docx", "A 58766-2021")</f>
        <v/>
      </c>
      <c r="W204">
        <f>HYPERLINK("https://klasma.github.io/Logging_2482/klagomålsmail/A 58766-2021 FSC-klagomål mail.docx", "A 58766-2021")</f>
        <v/>
      </c>
      <c r="X204">
        <f>HYPERLINK("https://klasma.github.io/Logging_2482/tillsyn/A 58766-2021 tillsynsbegäran.docx", "A 58766-2021")</f>
        <v/>
      </c>
      <c r="Y204">
        <f>HYPERLINK("https://klasma.github.io/Logging_2482/tillsynsmail/A 58766-2021 tillsynsbegäran mail.docx", "A 58766-2021")</f>
        <v/>
      </c>
    </row>
    <row r="205" ht="15" customHeight="1">
      <c r="A205" t="inlineStr">
        <is>
          <t>A 61658-2021</t>
        </is>
      </c>
      <c r="B205" s="1" t="n">
        <v>44501</v>
      </c>
      <c r="C205" s="1" t="n">
        <v>45807</v>
      </c>
      <c r="D205" t="inlineStr">
        <is>
          <t>VÄSTERBOTTENS LÄN</t>
        </is>
      </c>
      <c r="E205" t="inlineStr">
        <is>
          <t>SKELLEFTEÅ</t>
        </is>
      </c>
      <c r="F205" t="inlineStr">
        <is>
          <t>Sveaskog</t>
        </is>
      </c>
      <c r="G205" t="n">
        <v>16.3</v>
      </c>
      <c r="H205" t="n">
        <v>1</v>
      </c>
      <c r="I205" t="n">
        <v>0</v>
      </c>
      <c r="J205" t="n">
        <v>0</v>
      </c>
      <c r="K205" t="n">
        <v>0</v>
      </c>
      <c r="L205" t="n">
        <v>0</v>
      </c>
      <c r="M205" t="n">
        <v>0</v>
      </c>
      <c r="N205" t="n">
        <v>0</v>
      </c>
      <c r="O205" t="n">
        <v>0</v>
      </c>
      <c r="P205" t="n">
        <v>0</v>
      </c>
      <c r="Q205" t="n">
        <v>1</v>
      </c>
      <c r="R205" s="2" t="inlineStr">
        <is>
          <t>Revlummer</t>
        </is>
      </c>
      <c r="S205">
        <f>HYPERLINK("https://klasma.github.io/Logging_2482/artfynd/A 61658-2021 artfynd.xlsx", "A 61658-2021")</f>
        <v/>
      </c>
      <c r="T205">
        <f>HYPERLINK("https://klasma.github.io/Logging_2482/kartor/A 61658-2021 karta.png", "A 61658-2021")</f>
        <v/>
      </c>
      <c r="V205">
        <f>HYPERLINK("https://klasma.github.io/Logging_2482/klagomål/A 61658-2021 FSC-klagomål.docx", "A 61658-2021")</f>
        <v/>
      </c>
      <c r="W205">
        <f>HYPERLINK("https://klasma.github.io/Logging_2482/klagomålsmail/A 61658-2021 FSC-klagomål mail.docx", "A 61658-2021")</f>
        <v/>
      </c>
      <c r="X205">
        <f>HYPERLINK("https://klasma.github.io/Logging_2482/tillsyn/A 61658-2021 tillsynsbegäran.docx", "A 61658-2021")</f>
        <v/>
      </c>
      <c r="Y205">
        <f>HYPERLINK("https://klasma.github.io/Logging_2482/tillsynsmail/A 61658-2021 tillsynsbegäran mail.docx", "A 61658-2021")</f>
        <v/>
      </c>
    </row>
    <row r="206" ht="15" customHeight="1">
      <c r="A206" t="inlineStr">
        <is>
          <t>A 62436-2021</t>
        </is>
      </c>
      <c r="B206" s="1" t="n">
        <v>44503</v>
      </c>
      <c r="C206" s="1" t="n">
        <v>45807</v>
      </c>
      <c r="D206" t="inlineStr">
        <is>
          <t>VÄSTERBOTTENS LÄN</t>
        </is>
      </c>
      <c r="E206" t="inlineStr">
        <is>
          <t>SKELLEFTEÅ</t>
        </is>
      </c>
      <c r="F206" t="inlineStr">
        <is>
          <t>Holmen skog AB</t>
        </is>
      </c>
      <c r="G206" t="n">
        <v>19.5</v>
      </c>
      <c r="H206" t="n">
        <v>0</v>
      </c>
      <c r="I206" t="n">
        <v>0</v>
      </c>
      <c r="J206" t="n">
        <v>1</v>
      </c>
      <c r="K206" t="n">
        <v>0</v>
      </c>
      <c r="L206" t="n">
        <v>0</v>
      </c>
      <c r="M206" t="n">
        <v>0</v>
      </c>
      <c r="N206" t="n">
        <v>0</v>
      </c>
      <c r="O206" t="n">
        <v>1</v>
      </c>
      <c r="P206" t="n">
        <v>0</v>
      </c>
      <c r="Q206" t="n">
        <v>1</v>
      </c>
      <c r="R206" s="2" t="inlineStr">
        <is>
          <t>Lunglav</t>
        </is>
      </c>
      <c r="S206">
        <f>HYPERLINK("https://klasma.github.io/Logging_2482/artfynd/A 62436-2021 artfynd.xlsx", "A 62436-2021")</f>
        <v/>
      </c>
      <c r="T206">
        <f>HYPERLINK("https://klasma.github.io/Logging_2482/kartor/A 62436-2021 karta.png", "A 62436-2021")</f>
        <v/>
      </c>
      <c r="V206">
        <f>HYPERLINK("https://klasma.github.io/Logging_2482/klagomål/A 62436-2021 FSC-klagomål.docx", "A 62436-2021")</f>
        <v/>
      </c>
      <c r="W206">
        <f>HYPERLINK("https://klasma.github.io/Logging_2482/klagomålsmail/A 62436-2021 FSC-klagomål mail.docx", "A 62436-2021")</f>
        <v/>
      </c>
      <c r="X206">
        <f>HYPERLINK("https://klasma.github.io/Logging_2482/tillsyn/A 62436-2021 tillsynsbegäran.docx", "A 62436-2021")</f>
        <v/>
      </c>
      <c r="Y206">
        <f>HYPERLINK("https://klasma.github.io/Logging_2482/tillsynsmail/A 62436-2021 tillsynsbegäran mail.docx", "A 62436-2021")</f>
        <v/>
      </c>
    </row>
    <row r="207" ht="15" customHeight="1">
      <c r="A207" t="inlineStr">
        <is>
          <t>A 72939-2021</t>
        </is>
      </c>
      <c r="B207" s="1" t="n">
        <v>44547</v>
      </c>
      <c r="C207" s="1" t="n">
        <v>45807</v>
      </c>
      <c r="D207" t="inlineStr">
        <is>
          <t>VÄSTERBOTTENS LÄN</t>
        </is>
      </c>
      <c r="E207" t="inlineStr">
        <is>
          <t>SKELLEFTEÅ</t>
        </is>
      </c>
      <c r="G207" t="n">
        <v>14.8</v>
      </c>
      <c r="H207" t="n">
        <v>0</v>
      </c>
      <c r="I207" t="n">
        <v>1</v>
      </c>
      <c r="J207" t="n">
        <v>0</v>
      </c>
      <c r="K207" t="n">
        <v>0</v>
      </c>
      <c r="L207" t="n">
        <v>0</v>
      </c>
      <c r="M207" t="n">
        <v>0</v>
      </c>
      <c r="N207" t="n">
        <v>0</v>
      </c>
      <c r="O207" t="n">
        <v>0</v>
      </c>
      <c r="P207" t="n">
        <v>0</v>
      </c>
      <c r="Q207" t="n">
        <v>1</v>
      </c>
      <c r="R207" s="2" t="inlineStr">
        <is>
          <t>Dropptaggsvamp</t>
        </is>
      </c>
      <c r="S207">
        <f>HYPERLINK("https://klasma.github.io/Logging_2482/artfynd/A 72939-2021 artfynd.xlsx", "A 72939-2021")</f>
        <v/>
      </c>
      <c r="T207">
        <f>HYPERLINK("https://klasma.github.io/Logging_2482/kartor/A 72939-2021 karta.png", "A 72939-2021")</f>
        <v/>
      </c>
      <c r="V207">
        <f>HYPERLINK("https://klasma.github.io/Logging_2482/klagomål/A 72939-2021 FSC-klagomål.docx", "A 72939-2021")</f>
        <v/>
      </c>
      <c r="W207">
        <f>HYPERLINK("https://klasma.github.io/Logging_2482/klagomålsmail/A 72939-2021 FSC-klagomål mail.docx", "A 72939-2021")</f>
        <v/>
      </c>
      <c r="X207">
        <f>HYPERLINK("https://klasma.github.io/Logging_2482/tillsyn/A 72939-2021 tillsynsbegäran.docx", "A 72939-2021")</f>
        <v/>
      </c>
      <c r="Y207">
        <f>HYPERLINK("https://klasma.github.io/Logging_2482/tillsynsmail/A 72939-2021 tillsynsbegäran mail.docx", "A 72939-2021")</f>
        <v/>
      </c>
    </row>
    <row r="208" ht="15" customHeight="1">
      <c r="A208" t="inlineStr">
        <is>
          <t>A 12963-2022</t>
        </is>
      </c>
      <c r="B208" s="1" t="n">
        <v>44642</v>
      </c>
      <c r="C208" s="1" t="n">
        <v>45807</v>
      </c>
      <c r="D208" t="inlineStr">
        <is>
          <t>VÄSTERBOTTENS LÄN</t>
        </is>
      </c>
      <c r="E208" t="inlineStr">
        <is>
          <t>SKELLEFTEÅ</t>
        </is>
      </c>
      <c r="G208" t="n">
        <v>4.3</v>
      </c>
      <c r="H208" t="n">
        <v>1</v>
      </c>
      <c r="I208" t="n">
        <v>0</v>
      </c>
      <c r="J208" t="n">
        <v>1</v>
      </c>
      <c r="K208" t="n">
        <v>0</v>
      </c>
      <c r="L208" t="n">
        <v>0</v>
      </c>
      <c r="M208" t="n">
        <v>0</v>
      </c>
      <c r="N208" t="n">
        <v>0</v>
      </c>
      <c r="O208" t="n">
        <v>1</v>
      </c>
      <c r="P208" t="n">
        <v>0</v>
      </c>
      <c r="Q208" t="n">
        <v>1</v>
      </c>
      <c r="R208" s="2" t="inlineStr">
        <is>
          <t>Duvhök</t>
        </is>
      </c>
      <c r="S208">
        <f>HYPERLINK("https://klasma.github.io/Logging_2482/artfynd/A 12963-2022 artfynd.xlsx", "A 12963-2022")</f>
        <v/>
      </c>
      <c r="T208">
        <f>HYPERLINK("https://klasma.github.io/Logging_2482/kartor/A 12963-2022 karta.png", "A 12963-2022")</f>
        <v/>
      </c>
      <c r="V208">
        <f>HYPERLINK("https://klasma.github.io/Logging_2482/klagomål/A 12963-2022 FSC-klagomål.docx", "A 12963-2022")</f>
        <v/>
      </c>
      <c r="W208">
        <f>HYPERLINK("https://klasma.github.io/Logging_2482/klagomålsmail/A 12963-2022 FSC-klagomål mail.docx", "A 12963-2022")</f>
        <v/>
      </c>
      <c r="X208">
        <f>HYPERLINK("https://klasma.github.io/Logging_2482/tillsyn/A 12963-2022 tillsynsbegäran.docx", "A 12963-2022")</f>
        <v/>
      </c>
      <c r="Y208">
        <f>HYPERLINK("https://klasma.github.io/Logging_2482/tillsynsmail/A 12963-2022 tillsynsbegäran mail.docx", "A 12963-2022")</f>
        <v/>
      </c>
      <c r="Z208">
        <f>HYPERLINK("https://klasma.github.io/Logging_2482/fåglar/A 12963-2022 prioriterade fågelarter.docx", "A 12963-2022")</f>
        <v/>
      </c>
    </row>
    <row r="209" ht="15" customHeight="1">
      <c r="A209" t="inlineStr">
        <is>
          <t>A 14277-2022</t>
        </is>
      </c>
      <c r="B209" s="1" t="n">
        <v>44651</v>
      </c>
      <c r="C209" s="1" t="n">
        <v>45807</v>
      </c>
      <c r="D209" t="inlineStr">
        <is>
          <t>VÄSTERBOTTENS LÄN</t>
        </is>
      </c>
      <c r="E209" t="inlineStr">
        <is>
          <t>SKELLEFTEÅ</t>
        </is>
      </c>
      <c r="G209" t="n">
        <v>7.4</v>
      </c>
      <c r="H209" t="n">
        <v>1</v>
      </c>
      <c r="I209" t="n">
        <v>0</v>
      </c>
      <c r="J209" t="n">
        <v>0</v>
      </c>
      <c r="K209" t="n">
        <v>0</v>
      </c>
      <c r="L209" t="n">
        <v>0</v>
      </c>
      <c r="M209" t="n">
        <v>0</v>
      </c>
      <c r="N209" t="n">
        <v>0</v>
      </c>
      <c r="O209" t="n">
        <v>0</v>
      </c>
      <c r="P209" t="n">
        <v>0</v>
      </c>
      <c r="Q209" t="n">
        <v>1</v>
      </c>
      <c r="R209" s="2" t="inlineStr">
        <is>
          <t>Fläcknycklar</t>
        </is>
      </c>
      <c r="S209">
        <f>HYPERLINK("https://klasma.github.io/Logging_2482/artfynd/A 14277-2022 artfynd.xlsx", "A 14277-2022")</f>
        <v/>
      </c>
      <c r="T209">
        <f>HYPERLINK("https://klasma.github.io/Logging_2482/kartor/A 14277-2022 karta.png", "A 14277-2022")</f>
        <v/>
      </c>
      <c r="V209">
        <f>HYPERLINK("https://klasma.github.io/Logging_2482/klagomål/A 14277-2022 FSC-klagomål.docx", "A 14277-2022")</f>
        <v/>
      </c>
      <c r="W209">
        <f>HYPERLINK("https://klasma.github.io/Logging_2482/klagomålsmail/A 14277-2022 FSC-klagomål mail.docx", "A 14277-2022")</f>
        <v/>
      </c>
      <c r="X209">
        <f>HYPERLINK("https://klasma.github.io/Logging_2482/tillsyn/A 14277-2022 tillsynsbegäran.docx", "A 14277-2022")</f>
        <v/>
      </c>
      <c r="Y209">
        <f>HYPERLINK("https://klasma.github.io/Logging_2482/tillsynsmail/A 14277-2022 tillsynsbegäran mail.docx", "A 14277-2022")</f>
        <v/>
      </c>
    </row>
    <row r="210" ht="15" customHeight="1">
      <c r="A210" t="inlineStr">
        <is>
          <t>A 17336-2022</t>
        </is>
      </c>
      <c r="B210" s="1" t="n">
        <v>44678</v>
      </c>
      <c r="C210" s="1" t="n">
        <v>45807</v>
      </c>
      <c r="D210" t="inlineStr">
        <is>
          <t>VÄSTERBOTTENS LÄN</t>
        </is>
      </c>
      <c r="E210" t="inlineStr">
        <is>
          <t>SKELLEFTEÅ</t>
        </is>
      </c>
      <c r="G210" t="n">
        <v>0.5</v>
      </c>
      <c r="H210" t="n">
        <v>0</v>
      </c>
      <c r="I210" t="n">
        <v>0</v>
      </c>
      <c r="J210" t="n">
        <v>1</v>
      </c>
      <c r="K210" t="n">
        <v>0</v>
      </c>
      <c r="L210" t="n">
        <v>0</v>
      </c>
      <c r="M210" t="n">
        <v>0</v>
      </c>
      <c r="N210" t="n">
        <v>0</v>
      </c>
      <c r="O210" t="n">
        <v>1</v>
      </c>
      <c r="P210" t="n">
        <v>0</v>
      </c>
      <c r="Q210" t="n">
        <v>1</v>
      </c>
      <c r="R210" s="2" t="inlineStr">
        <is>
          <t>Doftskinn</t>
        </is>
      </c>
      <c r="S210">
        <f>HYPERLINK("https://klasma.github.io/Logging_2482/artfynd/A 17336-2022 artfynd.xlsx", "A 17336-2022")</f>
        <v/>
      </c>
      <c r="T210">
        <f>HYPERLINK("https://klasma.github.io/Logging_2482/kartor/A 17336-2022 karta.png", "A 17336-2022")</f>
        <v/>
      </c>
      <c r="V210">
        <f>HYPERLINK("https://klasma.github.io/Logging_2482/klagomål/A 17336-2022 FSC-klagomål.docx", "A 17336-2022")</f>
        <v/>
      </c>
      <c r="W210">
        <f>HYPERLINK("https://klasma.github.io/Logging_2482/klagomålsmail/A 17336-2022 FSC-klagomål mail.docx", "A 17336-2022")</f>
        <v/>
      </c>
      <c r="X210">
        <f>HYPERLINK("https://klasma.github.io/Logging_2482/tillsyn/A 17336-2022 tillsynsbegäran.docx", "A 17336-2022")</f>
        <v/>
      </c>
      <c r="Y210">
        <f>HYPERLINK("https://klasma.github.io/Logging_2482/tillsynsmail/A 17336-2022 tillsynsbegäran mail.docx", "A 17336-2022")</f>
        <v/>
      </c>
    </row>
    <row r="211" ht="15" customHeight="1">
      <c r="A211" t="inlineStr">
        <is>
          <t>A 24885-2022</t>
        </is>
      </c>
      <c r="B211" s="1" t="n">
        <v>44728</v>
      </c>
      <c r="C211" s="1" t="n">
        <v>45807</v>
      </c>
      <c r="D211" t="inlineStr">
        <is>
          <t>VÄSTERBOTTENS LÄN</t>
        </is>
      </c>
      <c r="E211" t="inlineStr">
        <is>
          <t>SKELLEFTEÅ</t>
        </is>
      </c>
      <c r="F211" t="inlineStr">
        <is>
          <t>Holmen skog AB</t>
        </is>
      </c>
      <c r="G211" t="n">
        <v>2.7</v>
      </c>
      <c r="H211" t="n">
        <v>0</v>
      </c>
      <c r="I211" t="n">
        <v>0</v>
      </c>
      <c r="J211" t="n">
        <v>1</v>
      </c>
      <c r="K211" t="n">
        <v>0</v>
      </c>
      <c r="L211" t="n">
        <v>0</v>
      </c>
      <c r="M211" t="n">
        <v>0</v>
      </c>
      <c r="N211" t="n">
        <v>0</v>
      </c>
      <c r="O211" t="n">
        <v>1</v>
      </c>
      <c r="P211" t="n">
        <v>0</v>
      </c>
      <c r="Q211" t="n">
        <v>1</v>
      </c>
      <c r="R211" s="2" t="inlineStr">
        <is>
          <t>Lunglav</t>
        </is>
      </c>
      <c r="S211">
        <f>HYPERLINK("https://klasma.github.io/Logging_2482/artfynd/A 24885-2022 artfynd.xlsx", "A 24885-2022")</f>
        <v/>
      </c>
      <c r="T211">
        <f>HYPERLINK("https://klasma.github.io/Logging_2482/kartor/A 24885-2022 karta.png", "A 24885-2022")</f>
        <v/>
      </c>
      <c r="V211">
        <f>HYPERLINK("https://klasma.github.io/Logging_2482/klagomål/A 24885-2022 FSC-klagomål.docx", "A 24885-2022")</f>
        <v/>
      </c>
      <c r="W211">
        <f>HYPERLINK("https://klasma.github.io/Logging_2482/klagomålsmail/A 24885-2022 FSC-klagomål mail.docx", "A 24885-2022")</f>
        <v/>
      </c>
      <c r="X211">
        <f>HYPERLINK("https://klasma.github.io/Logging_2482/tillsyn/A 24885-2022 tillsynsbegäran.docx", "A 24885-2022")</f>
        <v/>
      </c>
      <c r="Y211">
        <f>HYPERLINK("https://klasma.github.io/Logging_2482/tillsynsmail/A 24885-2022 tillsynsbegäran mail.docx", "A 24885-2022")</f>
        <v/>
      </c>
    </row>
    <row r="212" ht="15" customHeight="1">
      <c r="A212" t="inlineStr">
        <is>
          <t>A 36531-2022</t>
        </is>
      </c>
      <c r="B212" s="1" t="n">
        <v>44804</v>
      </c>
      <c r="C212" s="1" t="n">
        <v>45807</v>
      </c>
      <c r="D212" t="inlineStr">
        <is>
          <t>VÄSTERBOTTENS LÄN</t>
        </is>
      </c>
      <c r="E212" t="inlineStr">
        <is>
          <t>SKELLEFTEÅ</t>
        </is>
      </c>
      <c r="F212" t="inlineStr">
        <is>
          <t>Kommuner</t>
        </is>
      </c>
      <c r="G212" t="n">
        <v>3.1</v>
      </c>
      <c r="H212" t="n">
        <v>0</v>
      </c>
      <c r="I212" t="n">
        <v>1</v>
      </c>
      <c r="J212" t="n">
        <v>0</v>
      </c>
      <c r="K212" t="n">
        <v>0</v>
      </c>
      <c r="L212" t="n">
        <v>0</v>
      </c>
      <c r="M212" t="n">
        <v>0</v>
      </c>
      <c r="N212" t="n">
        <v>0</v>
      </c>
      <c r="O212" t="n">
        <v>0</v>
      </c>
      <c r="P212" t="n">
        <v>0</v>
      </c>
      <c r="Q212" t="n">
        <v>1</v>
      </c>
      <c r="R212" s="2" t="inlineStr">
        <is>
          <t>Dropptaggsvamp</t>
        </is>
      </c>
      <c r="S212">
        <f>HYPERLINK("https://klasma.github.io/Logging_2482/artfynd/A 36531-2022 artfynd.xlsx", "A 36531-2022")</f>
        <v/>
      </c>
      <c r="T212">
        <f>HYPERLINK("https://klasma.github.io/Logging_2482/kartor/A 36531-2022 karta.png", "A 36531-2022")</f>
        <v/>
      </c>
      <c r="V212">
        <f>HYPERLINK("https://klasma.github.io/Logging_2482/klagomål/A 36531-2022 FSC-klagomål.docx", "A 36531-2022")</f>
        <v/>
      </c>
      <c r="W212">
        <f>HYPERLINK("https://klasma.github.io/Logging_2482/klagomålsmail/A 36531-2022 FSC-klagomål mail.docx", "A 36531-2022")</f>
        <v/>
      </c>
      <c r="X212">
        <f>HYPERLINK("https://klasma.github.io/Logging_2482/tillsyn/A 36531-2022 tillsynsbegäran.docx", "A 36531-2022")</f>
        <v/>
      </c>
      <c r="Y212">
        <f>HYPERLINK("https://klasma.github.io/Logging_2482/tillsynsmail/A 36531-2022 tillsynsbegäran mail.docx", "A 36531-2022")</f>
        <v/>
      </c>
    </row>
    <row r="213" ht="15" customHeight="1">
      <c r="A213" t="inlineStr">
        <is>
          <t>A 42674-2022</t>
        </is>
      </c>
      <c r="B213" s="1" t="n">
        <v>44831</v>
      </c>
      <c r="C213" s="1" t="n">
        <v>45807</v>
      </c>
      <c r="D213" t="inlineStr">
        <is>
          <t>VÄSTERBOTTENS LÄN</t>
        </is>
      </c>
      <c r="E213" t="inlineStr">
        <is>
          <t>SKELLEFTEÅ</t>
        </is>
      </c>
      <c r="G213" t="n">
        <v>4.4</v>
      </c>
      <c r="H213" t="n">
        <v>0</v>
      </c>
      <c r="I213" t="n">
        <v>0</v>
      </c>
      <c r="J213" t="n">
        <v>1</v>
      </c>
      <c r="K213" t="n">
        <v>0</v>
      </c>
      <c r="L213" t="n">
        <v>0</v>
      </c>
      <c r="M213" t="n">
        <v>0</v>
      </c>
      <c r="N213" t="n">
        <v>0</v>
      </c>
      <c r="O213" t="n">
        <v>1</v>
      </c>
      <c r="P213" t="n">
        <v>0</v>
      </c>
      <c r="Q213" t="n">
        <v>1</v>
      </c>
      <c r="R213" s="2" t="inlineStr">
        <is>
          <t>Granticka</t>
        </is>
      </c>
      <c r="S213">
        <f>HYPERLINK("https://klasma.github.io/Logging_2482/artfynd/A 42674-2022 artfynd.xlsx", "A 42674-2022")</f>
        <v/>
      </c>
      <c r="T213">
        <f>HYPERLINK("https://klasma.github.io/Logging_2482/kartor/A 42674-2022 karta.png", "A 42674-2022")</f>
        <v/>
      </c>
      <c r="V213">
        <f>HYPERLINK("https://klasma.github.io/Logging_2482/klagomål/A 42674-2022 FSC-klagomål.docx", "A 42674-2022")</f>
        <v/>
      </c>
      <c r="W213">
        <f>HYPERLINK("https://klasma.github.io/Logging_2482/klagomålsmail/A 42674-2022 FSC-klagomål mail.docx", "A 42674-2022")</f>
        <v/>
      </c>
      <c r="X213">
        <f>HYPERLINK("https://klasma.github.io/Logging_2482/tillsyn/A 42674-2022 tillsynsbegäran.docx", "A 42674-2022")</f>
        <v/>
      </c>
      <c r="Y213">
        <f>HYPERLINK("https://klasma.github.io/Logging_2482/tillsynsmail/A 42674-2022 tillsynsbegäran mail.docx", "A 42674-2022")</f>
        <v/>
      </c>
    </row>
    <row r="214" ht="15" customHeight="1">
      <c r="A214" t="inlineStr">
        <is>
          <t>A 47963-2022</t>
        </is>
      </c>
      <c r="B214" s="1" t="n">
        <v>44855</v>
      </c>
      <c r="C214" s="1" t="n">
        <v>45807</v>
      </c>
      <c r="D214" t="inlineStr">
        <is>
          <t>VÄSTERBOTTENS LÄN</t>
        </is>
      </c>
      <c r="E214" t="inlineStr">
        <is>
          <t>SKELLEFTEÅ</t>
        </is>
      </c>
      <c r="F214" t="inlineStr">
        <is>
          <t>Holmen skog AB</t>
        </is>
      </c>
      <c r="G214" t="n">
        <v>18.7</v>
      </c>
      <c r="H214" t="n">
        <v>0</v>
      </c>
      <c r="I214" t="n">
        <v>1</v>
      </c>
      <c r="J214" t="n">
        <v>0</v>
      </c>
      <c r="K214" t="n">
        <v>0</v>
      </c>
      <c r="L214" t="n">
        <v>0</v>
      </c>
      <c r="M214" t="n">
        <v>0</v>
      </c>
      <c r="N214" t="n">
        <v>0</v>
      </c>
      <c r="O214" t="n">
        <v>0</v>
      </c>
      <c r="P214" t="n">
        <v>0</v>
      </c>
      <c r="Q214" t="n">
        <v>1</v>
      </c>
      <c r="R214" s="2" t="inlineStr">
        <is>
          <t>Skinnlav</t>
        </is>
      </c>
      <c r="S214">
        <f>HYPERLINK("https://klasma.github.io/Logging_2482/artfynd/A 47963-2022 artfynd.xlsx", "A 47963-2022")</f>
        <v/>
      </c>
      <c r="T214">
        <f>HYPERLINK("https://klasma.github.io/Logging_2482/kartor/A 47963-2022 karta.png", "A 47963-2022")</f>
        <v/>
      </c>
      <c r="V214">
        <f>HYPERLINK("https://klasma.github.io/Logging_2482/klagomål/A 47963-2022 FSC-klagomål.docx", "A 47963-2022")</f>
        <v/>
      </c>
      <c r="W214">
        <f>HYPERLINK("https://klasma.github.io/Logging_2482/klagomålsmail/A 47963-2022 FSC-klagomål mail.docx", "A 47963-2022")</f>
        <v/>
      </c>
      <c r="X214">
        <f>HYPERLINK("https://klasma.github.io/Logging_2482/tillsyn/A 47963-2022 tillsynsbegäran.docx", "A 47963-2022")</f>
        <v/>
      </c>
      <c r="Y214">
        <f>HYPERLINK("https://klasma.github.io/Logging_2482/tillsynsmail/A 47963-2022 tillsynsbegäran mail.docx", "A 47963-2022")</f>
        <v/>
      </c>
    </row>
    <row r="215" ht="15" customHeight="1">
      <c r="A215" t="inlineStr">
        <is>
          <t>A 49588-2022</t>
        </is>
      </c>
      <c r="B215" s="1" t="n">
        <v>44862</v>
      </c>
      <c r="C215" s="1" t="n">
        <v>45807</v>
      </c>
      <c r="D215" t="inlineStr">
        <is>
          <t>VÄSTERBOTTENS LÄN</t>
        </is>
      </c>
      <c r="E215" t="inlineStr">
        <is>
          <t>SKELLEFTEÅ</t>
        </is>
      </c>
      <c r="F215" t="inlineStr">
        <is>
          <t>Holmen skog AB</t>
        </is>
      </c>
      <c r="G215" t="n">
        <v>6.1</v>
      </c>
      <c r="H215" t="n">
        <v>0</v>
      </c>
      <c r="I215" t="n">
        <v>0</v>
      </c>
      <c r="J215" t="n">
        <v>1</v>
      </c>
      <c r="K215" t="n">
        <v>0</v>
      </c>
      <c r="L215" t="n">
        <v>0</v>
      </c>
      <c r="M215" t="n">
        <v>0</v>
      </c>
      <c r="N215" t="n">
        <v>0</v>
      </c>
      <c r="O215" t="n">
        <v>1</v>
      </c>
      <c r="P215" t="n">
        <v>0</v>
      </c>
      <c r="Q215" t="n">
        <v>1</v>
      </c>
      <c r="R215" s="2" t="inlineStr">
        <is>
          <t>Lunglav</t>
        </is>
      </c>
      <c r="S215">
        <f>HYPERLINK("https://klasma.github.io/Logging_2482/artfynd/A 49588-2022 artfynd.xlsx", "A 49588-2022")</f>
        <v/>
      </c>
      <c r="T215">
        <f>HYPERLINK("https://klasma.github.io/Logging_2482/kartor/A 49588-2022 karta.png", "A 49588-2022")</f>
        <v/>
      </c>
      <c r="V215">
        <f>HYPERLINK("https://klasma.github.io/Logging_2482/klagomål/A 49588-2022 FSC-klagomål.docx", "A 49588-2022")</f>
        <v/>
      </c>
      <c r="W215">
        <f>HYPERLINK("https://klasma.github.io/Logging_2482/klagomålsmail/A 49588-2022 FSC-klagomål mail.docx", "A 49588-2022")</f>
        <v/>
      </c>
      <c r="X215">
        <f>HYPERLINK("https://klasma.github.io/Logging_2482/tillsyn/A 49588-2022 tillsynsbegäran.docx", "A 49588-2022")</f>
        <v/>
      </c>
      <c r="Y215">
        <f>HYPERLINK("https://klasma.github.io/Logging_2482/tillsynsmail/A 49588-2022 tillsynsbegäran mail.docx", "A 49588-2022")</f>
        <v/>
      </c>
    </row>
    <row r="216" ht="15" customHeight="1">
      <c r="A216" t="inlineStr">
        <is>
          <t>A 49842-2022</t>
        </is>
      </c>
      <c r="B216" s="1" t="n">
        <v>44862</v>
      </c>
      <c r="C216" s="1" t="n">
        <v>45807</v>
      </c>
      <c r="D216" t="inlineStr">
        <is>
          <t>VÄSTERBOTTENS LÄN</t>
        </is>
      </c>
      <c r="E216" t="inlineStr">
        <is>
          <t>SKELLEFTEÅ</t>
        </is>
      </c>
      <c r="G216" t="n">
        <v>7</v>
      </c>
      <c r="H216" t="n">
        <v>0</v>
      </c>
      <c r="I216" t="n">
        <v>0</v>
      </c>
      <c r="J216" t="n">
        <v>1</v>
      </c>
      <c r="K216" t="n">
        <v>0</v>
      </c>
      <c r="L216" t="n">
        <v>0</v>
      </c>
      <c r="M216" t="n">
        <v>0</v>
      </c>
      <c r="N216" t="n">
        <v>0</v>
      </c>
      <c r="O216" t="n">
        <v>1</v>
      </c>
      <c r="P216" t="n">
        <v>0</v>
      </c>
      <c r="Q216" t="n">
        <v>1</v>
      </c>
      <c r="R216" s="2" t="inlineStr">
        <is>
          <t>Blå taggsvamp</t>
        </is>
      </c>
      <c r="S216">
        <f>HYPERLINK("https://klasma.github.io/Logging_2482/artfynd/A 49842-2022 artfynd.xlsx", "A 49842-2022")</f>
        <v/>
      </c>
      <c r="T216">
        <f>HYPERLINK("https://klasma.github.io/Logging_2482/kartor/A 49842-2022 karta.png", "A 49842-2022")</f>
        <v/>
      </c>
      <c r="V216">
        <f>HYPERLINK("https://klasma.github.io/Logging_2482/klagomål/A 49842-2022 FSC-klagomål.docx", "A 49842-2022")</f>
        <v/>
      </c>
      <c r="W216">
        <f>HYPERLINK("https://klasma.github.io/Logging_2482/klagomålsmail/A 49842-2022 FSC-klagomål mail.docx", "A 49842-2022")</f>
        <v/>
      </c>
      <c r="X216">
        <f>HYPERLINK("https://klasma.github.io/Logging_2482/tillsyn/A 49842-2022 tillsynsbegäran.docx", "A 49842-2022")</f>
        <v/>
      </c>
      <c r="Y216">
        <f>HYPERLINK("https://klasma.github.io/Logging_2482/tillsynsmail/A 49842-2022 tillsynsbegäran mail.docx", "A 49842-2022")</f>
        <v/>
      </c>
    </row>
    <row r="217" ht="15" customHeight="1">
      <c r="A217" t="inlineStr">
        <is>
          <t>A 53071-2022</t>
        </is>
      </c>
      <c r="B217" s="1" t="n">
        <v>44873</v>
      </c>
      <c r="C217" s="1" t="n">
        <v>45807</v>
      </c>
      <c r="D217" t="inlineStr">
        <is>
          <t>VÄSTERBOTTENS LÄN</t>
        </is>
      </c>
      <c r="E217" t="inlineStr">
        <is>
          <t>SKELLEFTEÅ</t>
        </is>
      </c>
      <c r="G217" t="n">
        <v>10.6</v>
      </c>
      <c r="H217" t="n">
        <v>0</v>
      </c>
      <c r="I217" t="n">
        <v>0</v>
      </c>
      <c r="J217" t="n">
        <v>1</v>
      </c>
      <c r="K217" t="n">
        <v>0</v>
      </c>
      <c r="L217" t="n">
        <v>0</v>
      </c>
      <c r="M217" t="n">
        <v>0</v>
      </c>
      <c r="N217" t="n">
        <v>0</v>
      </c>
      <c r="O217" t="n">
        <v>1</v>
      </c>
      <c r="P217" t="n">
        <v>0</v>
      </c>
      <c r="Q217" t="n">
        <v>1</v>
      </c>
      <c r="R217" s="2" t="inlineStr">
        <is>
          <t>Granticka</t>
        </is>
      </c>
      <c r="S217">
        <f>HYPERLINK("https://klasma.github.io/Logging_2482/artfynd/A 53071-2022 artfynd.xlsx", "A 53071-2022")</f>
        <v/>
      </c>
      <c r="T217">
        <f>HYPERLINK("https://klasma.github.io/Logging_2482/kartor/A 53071-2022 karta.png", "A 53071-2022")</f>
        <v/>
      </c>
      <c r="V217">
        <f>HYPERLINK("https://klasma.github.io/Logging_2482/klagomål/A 53071-2022 FSC-klagomål.docx", "A 53071-2022")</f>
        <v/>
      </c>
      <c r="W217">
        <f>HYPERLINK("https://klasma.github.io/Logging_2482/klagomålsmail/A 53071-2022 FSC-klagomål mail.docx", "A 53071-2022")</f>
        <v/>
      </c>
      <c r="X217">
        <f>HYPERLINK("https://klasma.github.io/Logging_2482/tillsyn/A 53071-2022 tillsynsbegäran.docx", "A 53071-2022")</f>
        <v/>
      </c>
      <c r="Y217">
        <f>HYPERLINK("https://klasma.github.io/Logging_2482/tillsynsmail/A 53071-2022 tillsynsbegäran mail.docx", "A 53071-2022")</f>
        <v/>
      </c>
    </row>
    <row r="218" ht="15" customHeight="1">
      <c r="A218" t="inlineStr">
        <is>
          <t>A 54058-2022</t>
        </is>
      </c>
      <c r="B218" s="1" t="n">
        <v>44881</v>
      </c>
      <c r="C218" s="1" t="n">
        <v>45807</v>
      </c>
      <c r="D218" t="inlineStr">
        <is>
          <t>VÄSTERBOTTENS LÄN</t>
        </is>
      </c>
      <c r="E218" t="inlineStr">
        <is>
          <t>SKELLEFTEÅ</t>
        </is>
      </c>
      <c r="F218" t="inlineStr">
        <is>
          <t>Sveaskog</t>
        </is>
      </c>
      <c r="G218" t="n">
        <v>1.2</v>
      </c>
      <c r="H218" t="n">
        <v>0</v>
      </c>
      <c r="I218" t="n">
        <v>1</v>
      </c>
      <c r="J218" t="n">
        <v>0</v>
      </c>
      <c r="K218" t="n">
        <v>0</v>
      </c>
      <c r="L218" t="n">
        <v>0</v>
      </c>
      <c r="M218" t="n">
        <v>0</v>
      </c>
      <c r="N218" t="n">
        <v>0</v>
      </c>
      <c r="O218" t="n">
        <v>0</v>
      </c>
      <c r="P218" t="n">
        <v>0</v>
      </c>
      <c r="Q218" t="n">
        <v>1</v>
      </c>
      <c r="R218" s="2" t="inlineStr">
        <is>
          <t>Luddlav</t>
        </is>
      </c>
      <c r="S218">
        <f>HYPERLINK("https://klasma.github.io/Logging_2482/artfynd/A 54058-2022 artfynd.xlsx", "A 54058-2022")</f>
        <v/>
      </c>
      <c r="T218">
        <f>HYPERLINK("https://klasma.github.io/Logging_2482/kartor/A 54058-2022 karta.png", "A 54058-2022")</f>
        <v/>
      </c>
      <c r="V218">
        <f>HYPERLINK("https://klasma.github.io/Logging_2482/klagomål/A 54058-2022 FSC-klagomål.docx", "A 54058-2022")</f>
        <v/>
      </c>
      <c r="W218">
        <f>HYPERLINK("https://klasma.github.io/Logging_2482/klagomålsmail/A 54058-2022 FSC-klagomål mail.docx", "A 54058-2022")</f>
        <v/>
      </c>
      <c r="X218">
        <f>HYPERLINK("https://klasma.github.io/Logging_2482/tillsyn/A 54058-2022 tillsynsbegäran.docx", "A 54058-2022")</f>
        <v/>
      </c>
      <c r="Y218">
        <f>HYPERLINK("https://klasma.github.io/Logging_2482/tillsynsmail/A 54058-2022 tillsynsbegäran mail.docx", "A 54058-2022")</f>
        <v/>
      </c>
    </row>
    <row r="219" ht="15" customHeight="1">
      <c r="A219" t="inlineStr">
        <is>
          <t>A 57851-2022</t>
        </is>
      </c>
      <c r="B219" s="1" t="n">
        <v>44898</v>
      </c>
      <c r="C219" s="1" t="n">
        <v>45807</v>
      </c>
      <c r="D219" t="inlineStr">
        <is>
          <t>VÄSTERBOTTENS LÄN</t>
        </is>
      </c>
      <c r="E219" t="inlineStr">
        <is>
          <t>SKELLEFTEÅ</t>
        </is>
      </c>
      <c r="F219" t="inlineStr">
        <is>
          <t>Holmen skog AB</t>
        </is>
      </c>
      <c r="G219" t="n">
        <v>4.6</v>
      </c>
      <c r="H219" t="n">
        <v>1</v>
      </c>
      <c r="I219" t="n">
        <v>0</v>
      </c>
      <c r="J219" t="n">
        <v>1</v>
      </c>
      <c r="K219" t="n">
        <v>0</v>
      </c>
      <c r="L219" t="n">
        <v>0</v>
      </c>
      <c r="M219" t="n">
        <v>0</v>
      </c>
      <c r="N219" t="n">
        <v>0</v>
      </c>
      <c r="O219" t="n">
        <v>1</v>
      </c>
      <c r="P219" t="n">
        <v>0</v>
      </c>
      <c r="Q219" t="n">
        <v>1</v>
      </c>
      <c r="R219" s="2" t="inlineStr">
        <is>
          <t>Utter</t>
        </is>
      </c>
      <c r="S219">
        <f>HYPERLINK("https://klasma.github.io/Logging_2482/artfynd/A 57851-2022 artfynd.xlsx", "A 57851-2022")</f>
        <v/>
      </c>
      <c r="T219">
        <f>HYPERLINK("https://klasma.github.io/Logging_2482/kartor/A 57851-2022 karta.png", "A 57851-2022")</f>
        <v/>
      </c>
      <c r="V219">
        <f>HYPERLINK("https://klasma.github.io/Logging_2482/klagomål/A 57851-2022 FSC-klagomål.docx", "A 57851-2022")</f>
        <v/>
      </c>
      <c r="W219">
        <f>HYPERLINK("https://klasma.github.io/Logging_2482/klagomålsmail/A 57851-2022 FSC-klagomål mail.docx", "A 57851-2022")</f>
        <v/>
      </c>
      <c r="X219">
        <f>HYPERLINK("https://klasma.github.io/Logging_2482/tillsyn/A 57851-2022 tillsynsbegäran.docx", "A 57851-2022")</f>
        <v/>
      </c>
      <c r="Y219">
        <f>HYPERLINK("https://klasma.github.io/Logging_2482/tillsynsmail/A 57851-2022 tillsynsbegäran mail.docx", "A 57851-2022")</f>
        <v/>
      </c>
    </row>
    <row r="220" ht="15" customHeight="1">
      <c r="A220" t="inlineStr">
        <is>
          <t>A 58306-2022</t>
        </is>
      </c>
      <c r="B220" s="1" t="n">
        <v>44901</v>
      </c>
      <c r="C220" s="1" t="n">
        <v>45807</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Lunglav</t>
        </is>
      </c>
      <c r="S220">
        <f>HYPERLINK("https://klasma.github.io/Logging_2482/artfynd/A 58306-2022 artfynd.xlsx", "A 58306-2022")</f>
        <v/>
      </c>
      <c r="T220">
        <f>HYPERLINK("https://klasma.github.io/Logging_2482/kartor/A 58306-2022 karta.png", "A 58306-2022")</f>
        <v/>
      </c>
      <c r="V220">
        <f>HYPERLINK("https://klasma.github.io/Logging_2482/klagomål/A 58306-2022 FSC-klagomål.docx", "A 58306-2022")</f>
        <v/>
      </c>
      <c r="W220">
        <f>HYPERLINK("https://klasma.github.io/Logging_2482/klagomålsmail/A 58306-2022 FSC-klagomål mail.docx", "A 58306-2022")</f>
        <v/>
      </c>
      <c r="X220">
        <f>HYPERLINK("https://klasma.github.io/Logging_2482/tillsyn/A 58306-2022 tillsynsbegäran.docx", "A 58306-2022")</f>
        <v/>
      </c>
      <c r="Y220">
        <f>HYPERLINK("https://klasma.github.io/Logging_2482/tillsynsmail/A 58306-2022 tillsynsbegäran mail.docx", "A 58306-2022")</f>
        <v/>
      </c>
    </row>
    <row r="221" ht="15" customHeight="1">
      <c r="A221" t="inlineStr">
        <is>
          <t>A 60231-2022</t>
        </is>
      </c>
      <c r="B221" s="1" t="n">
        <v>44910</v>
      </c>
      <c r="C221" s="1" t="n">
        <v>45807</v>
      </c>
      <c r="D221" t="inlineStr">
        <is>
          <t>VÄSTERBOTTENS LÄN</t>
        </is>
      </c>
      <c r="E221" t="inlineStr">
        <is>
          <t>SKELLEFTEÅ</t>
        </is>
      </c>
      <c r="F221" t="inlineStr">
        <is>
          <t>Holmen skog AB</t>
        </is>
      </c>
      <c r="G221" t="n">
        <v>6.4</v>
      </c>
      <c r="H221" t="n">
        <v>1</v>
      </c>
      <c r="I221" t="n">
        <v>0</v>
      </c>
      <c r="J221" t="n">
        <v>0</v>
      </c>
      <c r="K221" t="n">
        <v>0</v>
      </c>
      <c r="L221" t="n">
        <v>0</v>
      </c>
      <c r="M221" t="n">
        <v>0</v>
      </c>
      <c r="N221" t="n">
        <v>0</v>
      </c>
      <c r="O221" t="n">
        <v>0</v>
      </c>
      <c r="P221" t="n">
        <v>0</v>
      </c>
      <c r="Q221" t="n">
        <v>1</v>
      </c>
      <c r="R221" s="2" t="inlineStr">
        <is>
          <t>Fläcknycklar</t>
        </is>
      </c>
      <c r="S221">
        <f>HYPERLINK("https://klasma.github.io/Logging_2482/artfynd/A 60231-2022 artfynd.xlsx", "A 60231-2022")</f>
        <v/>
      </c>
      <c r="T221">
        <f>HYPERLINK("https://klasma.github.io/Logging_2482/kartor/A 60231-2022 karta.png", "A 60231-2022")</f>
        <v/>
      </c>
      <c r="V221">
        <f>HYPERLINK("https://klasma.github.io/Logging_2482/klagomål/A 60231-2022 FSC-klagomål.docx", "A 60231-2022")</f>
        <v/>
      </c>
      <c r="W221">
        <f>HYPERLINK("https://klasma.github.io/Logging_2482/klagomålsmail/A 60231-2022 FSC-klagomål mail.docx", "A 60231-2022")</f>
        <v/>
      </c>
      <c r="X221">
        <f>HYPERLINK("https://klasma.github.io/Logging_2482/tillsyn/A 60231-2022 tillsynsbegäran.docx", "A 60231-2022")</f>
        <v/>
      </c>
      <c r="Y221">
        <f>HYPERLINK("https://klasma.github.io/Logging_2482/tillsynsmail/A 60231-2022 tillsynsbegäran mail.docx", "A 60231-2022")</f>
        <v/>
      </c>
    </row>
    <row r="222" ht="15" customHeight="1">
      <c r="A222" t="inlineStr">
        <is>
          <t>A 60586-2022</t>
        </is>
      </c>
      <c r="B222" s="1" t="n">
        <v>44911</v>
      </c>
      <c r="C222" s="1" t="n">
        <v>45807</v>
      </c>
      <c r="D222" t="inlineStr">
        <is>
          <t>VÄSTERBOTTENS LÄN</t>
        </is>
      </c>
      <c r="E222" t="inlineStr">
        <is>
          <t>SKELLEFTEÅ</t>
        </is>
      </c>
      <c r="F222" t="inlineStr">
        <is>
          <t>Sveaskog</t>
        </is>
      </c>
      <c r="G222" t="n">
        <v>10.8</v>
      </c>
      <c r="H222" t="n">
        <v>0</v>
      </c>
      <c r="I222" t="n">
        <v>0</v>
      </c>
      <c r="J222" t="n">
        <v>1</v>
      </c>
      <c r="K222" t="n">
        <v>0</v>
      </c>
      <c r="L222" t="n">
        <v>0</v>
      </c>
      <c r="M222" t="n">
        <v>0</v>
      </c>
      <c r="N222" t="n">
        <v>0</v>
      </c>
      <c r="O222" t="n">
        <v>1</v>
      </c>
      <c r="P222" t="n">
        <v>0</v>
      </c>
      <c r="Q222" t="n">
        <v>1</v>
      </c>
      <c r="R222" s="2" t="inlineStr">
        <is>
          <t>Garnlav</t>
        </is>
      </c>
      <c r="S222">
        <f>HYPERLINK("https://klasma.github.io/Logging_2482/artfynd/A 60586-2022 artfynd.xlsx", "A 60586-2022")</f>
        <v/>
      </c>
      <c r="T222">
        <f>HYPERLINK("https://klasma.github.io/Logging_2482/kartor/A 60586-2022 karta.png", "A 60586-2022")</f>
        <v/>
      </c>
      <c r="V222">
        <f>HYPERLINK("https://klasma.github.io/Logging_2482/klagomål/A 60586-2022 FSC-klagomål.docx", "A 60586-2022")</f>
        <v/>
      </c>
      <c r="W222">
        <f>HYPERLINK("https://klasma.github.io/Logging_2482/klagomålsmail/A 60586-2022 FSC-klagomål mail.docx", "A 60586-2022")</f>
        <v/>
      </c>
      <c r="X222">
        <f>HYPERLINK("https://klasma.github.io/Logging_2482/tillsyn/A 60586-2022 tillsynsbegäran.docx", "A 60586-2022")</f>
        <v/>
      </c>
      <c r="Y222">
        <f>HYPERLINK("https://klasma.github.io/Logging_2482/tillsynsmail/A 60586-2022 tillsynsbegäran mail.docx", "A 60586-2022")</f>
        <v/>
      </c>
    </row>
    <row r="223" ht="15" customHeight="1">
      <c r="A223" t="inlineStr">
        <is>
          <t>A 609-2023</t>
        </is>
      </c>
      <c r="B223" s="1" t="n">
        <v>44928</v>
      </c>
      <c r="C223" s="1" t="n">
        <v>45807</v>
      </c>
      <c r="D223" t="inlineStr">
        <is>
          <t>VÄSTERBOTTENS LÄN</t>
        </is>
      </c>
      <c r="E223" t="inlineStr">
        <is>
          <t>SKELLEFTEÅ</t>
        </is>
      </c>
      <c r="G223" t="n">
        <v>20.1</v>
      </c>
      <c r="H223" t="n">
        <v>0</v>
      </c>
      <c r="I223" t="n">
        <v>0</v>
      </c>
      <c r="J223" t="n">
        <v>1</v>
      </c>
      <c r="K223" t="n">
        <v>0</v>
      </c>
      <c r="L223" t="n">
        <v>0</v>
      </c>
      <c r="M223" t="n">
        <v>0</v>
      </c>
      <c r="N223" t="n">
        <v>0</v>
      </c>
      <c r="O223" t="n">
        <v>1</v>
      </c>
      <c r="P223" t="n">
        <v>0</v>
      </c>
      <c r="Q223" t="n">
        <v>1</v>
      </c>
      <c r="R223" s="2" t="inlineStr">
        <is>
          <t>Granticka</t>
        </is>
      </c>
      <c r="S223">
        <f>HYPERLINK("https://klasma.github.io/Logging_2482/artfynd/A 609-2023 artfynd.xlsx", "A 609-2023")</f>
        <v/>
      </c>
      <c r="T223">
        <f>HYPERLINK("https://klasma.github.io/Logging_2482/kartor/A 609-2023 karta.png", "A 609-2023")</f>
        <v/>
      </c>
      <c r="V223">
        <f>HYPERLINK("https://klasma.github.io/Logging_2482/klagomål/A 609-2023 FSC-klagomål.docx", "A 609-2023")</f>
        <v/>
      </c>
      <c r="W223">
        <f>HYPERLINK("https://klasma.github.io/Logging_2482/klagomålsmail/A 609-2023 FSC-klagomål mail.docx", "A 609-2023")</f>
        <v/>
      </c>
      <c r="X223">
        <f>HYPERLINK("https://klasma.github.io/Logging_2482/tillsyn/A 609-2023 tillsynsbegäran.docx", "A 609-2023")</f>
        <v/>
      </c>
      <c r="Y223">
        <f>HYPERLINK("https://klasma.github.io/Logging_2482/tillsynsmail/A 609-2023 tillsynsbegäran mail.docx", "A 609-2023")</f>
        <v/>
      </c>
    </row>
    <row r="224" ht="15" customHeight="1">
      <c r="A224" t="inlineStr">
        <is>
          <t>A 1533-2023</t>
        </is>
      </c>
      <c r="B224" s="1" t="n">
        <v>44935</v>
      </c>
      <c r="C224" s="1" t="n">
        <v>45807</v>
      </c>
      <c r="D224" t="inlineStr">
        <is>
          <t>VÄSTERBOTTENS LÄN</t>
        </is>
      </c>
      <c r="E224" t="inlineStr">
        <is>
          <t>SKELLEFTEÅ</t>
        </is>
      </c>
      <c r="G224" t="n">
        <v>6.1</v>
      </c>
      <c r="H224" t="n">
        <v>0</v>
      </c>
      <c r="I224" t="n">
        <v>0</v>
      </c>
      <c r="J224" t="n">
        <v>1</v>
      </c>
      <c r="K224" t="n">
        <v>0</v>
      </c>
      <c r="L224" t="n">
        <v>0</v>
      </c>
      <c r="M224" t="n">
        <v>0</v>
      </c>
      <c r="N224" t="n">
        <v>0</v>
      </c>
      <c r="O224" t="n">
        <v>1</v>
      </c>
      <c r="P224" t="n">
        <v>0</v>
      </c>
      <c r="Q224" t="n">
        <v>1</v>
      </c>
      <c r="R224" s="2" t="inlineStr">
        <is>
          <t>Garnlav</t>
        </is>
      </c>
      <c r="S224">
        <f>HYPERLINK("https://klasma.github.io/Logging_2482/artfynd/A 1533-2023 artfynd.xlsx", "A 1533-2023")</f>
        <v/>
      </c>
      <c r="T224">
        <f>HYPERLINK("https://klasma.github.io/Logging_2482/kartor/A 1533-2023 karta.png", "A 1533-2023")</f>
        <v/>
      </c>
      <c r="V224">
        <f>HYPERLINK("https://klasma.github.io/Logging_2482/klagomål/A 1533-2023 FSC-klagomål.docx", "A 1533-2023")</f>
        <v/>
      </c>
      <c r="W224">
        <f>HYPERLINK("https://klasma.github.io/Logging_2482/klagomålsmail/A 1533-2023 FSC-klagomål mail.docx", "A 1533-2023")</f>
        <v/>
      </c>
      <c r="X224">
        <f>HYPERLINK("https://klasma.github.io/Logging_2482/tillsyn/A 1533-2023 tillsynsbegäran.docx", "A 1533-2023")</f>
        <v/>
      </c>
      <c r="Y224">
        <f>HYPERLINK("https://klasma.github.io/Logging_2482/tillsynsmail/A 1533-2023 tillsynsbegäran mail.docx", "A 1533-2023")</f>
        <v/>
      </c>
    </row>
    <row r="225" ht="15" customHeight="1">
      <c r="A225" t="inlineStr">
        <is>
          <t>A 9652-2023</t>
        </is>
      </c>
      <c r="B225" s="1" t="n">
        <v>44978</v>
      </c>
      <c r="C225" s="1" t="n">
        <v>45807</v>
      </c>
      <c r="D225" t="inlineStr">
        <is>
          <t>VÄSTERBOTTENS LÄN</t>
        </is>
      </c>
      <c r="E225" t="inlineStr">
        <is>
          <t>SKELLEFTEÅ</t>
        </is>
      </c>
      <c r="G225" t="n">
        <v>1.3</v>
      </c>
      <c r="H225" t="n">
        <v>0</v>
      </c>
      <c r="I225" t="n">
        <v>0</v>
      </c>
      <c r="J225" t="n">
        <v>1</v>
      </c>
      <c r="K225" t="n">
        <v>0</v>
      </c>
      <c r="L225" t="n">
        <v>0</v>
      </c>
      <c r="M225" t="n">
        <v>0</v>
      </c>
      <c r="N225" t="n">
        <v>0</v>
      </c>
      <c r="O225" t="n">
        <v>1</v>
      </c>
      <c r="P225" t="n">
        <v>0</v>
      </c>
      <c r="Q225" t="n">
        <v>1</v>
      </c>
      <c r="R225" s="2" t="inlineStr">
        <is>
          <t>Ullticka</t>
        </is>
      </c>
      <c r="S225">
        <f>HYPERLINK("https://klasma.github.io/Logging_2482/artfynd/A 9652-2023 artfynd.xlsx", "A 9652-2023")</f>
        <v/>
      </c>
      <c r="T225">
        <f>HYPERLINK("https://klasma.github.io/Logging_2482/kartor/A 9652-2023 karta.png", "A 9652-2023")</f>
        <v/>
      </c>
      <c r="V225">
        <f>HYPERLINK("https://klasma.github.io/Logging_2482/klagomål/A 9652-2023 FSC-klagomål.docx", "A 9652-2023")</f>
        <v/>
      </c>
      <c r="W225">
        <f>HYPERLINK("https://klasma.github.io/Logging_2482/klagomålsmail/A 9652-2023 FSC-klagomål mail.docx", "A 9652-2023")</f>
        <v/>
      </c>
      <c r="X225">
        <f>HYPERLINK("https://klasma.github.io/Logging_2482/tillsyn/A 9652-2023 tillsynsbegäran.docx", "A 9652-2023")</f>
        <v/>
      </c>
      <c r="Y225">
        <f>HYPERLINK("https://klasma.github.io/Logging_2482/tillsynsmail/A 9652-2023 tillsynsbegäran mail.docx", "A 9652-2023")</f>
        <v/>
      </c>
    </row>
    <row r="226" ht="15" customHeight="1">
      <c r="A226" t="inlineStr">
        <is>
          <t>A 10069-2023</t>
        </is>
      </c>
      <c r="B226" s="1" t="n">
        <v>44985</v>
      </c>
      <c r="C226" s="1" t="n">
        <v>45807</v>
      </c>
      <c r="D226" t="inlineStr">
        <is>
          <t>VÄSTERBOTTENS LÄN</t>
        </is>
      </c>
      <c r="E226" t="inlineStr">
        <is>
          <t>SKELLEFTEÅ</t>
        </is>
      </c>
      <c r="G226" t="n">
        <v>11.9</v>
      </c>
      <c r="H226" t="n">
        <v>1</v>
      </c>
      <c r="I226" t="n">
        <v>0</v>
      </c>
      <c r="J226" t="n">
        <v>0</v>
      </c>
      <c r="K226" t="n">
        <v>1</v>
      </c>
      <c r="L226" t="n">
        <v>0</v>
      </c>
      <c r="M226" t="n">
        <v>0</v>
      </c>
      <c r="N226" t="n">
        <v>0</v>
      </c>
      <c r="O226" t="n">
        <v>1</v>
      </c>
      <c r="P226" t="n">
        <v>1</v>
      </c>
      <c r="Q226" t="n">
        <v>1</v>
      </c>
      <c r="R226" s="2" t="inlineStr">
        <is>
          <t>Knärot</t>
        </is>
      </c>
      <c r="S226">
        <f>HYPERLINK("https://klasma.github.io/Logging_2482/artfynd/A 10069-2023 artfynd.xlsx", "A 10069-2023")</f>
        <v/>
      </c>
      <c r="T226">
        <f>HYPERLINK("https://klasma.github.io/Logging_2482/kartor/A 10069-2023 karta.png", "A 10069-2023")</f>
        <v/>
      </c>
      <c r="U226">
        <f>HYPERLINK("https://klasma.github.io/Logging_2482/knärot/A 10069-2023 karta knärot.png", "A 10069-2023")</f>
        <v/>
      </c>
      <c r="V226">
        <f>HYPERLINK("https://klasma.github.io/Logging_2482/klagomål/A 10069-2023 FSC-klagomål.docx", "A 10069-2023")</f>
        <v/>
      </c>
      <c r="W226">
        <f>HYPERLINK("https://klasma.github.io/Logging_2482/klagomålsmail/A 10069-2023 FSC-klagomål mail.docx", "A 10069-2023")</f>
        <v/>
      </c>
      <c r="X226">
        <f>HYPERLINK("https://klasma.github.io/Logging_2482/tillsyn/A 10069-2023 tillsynsbegäran.docx", "A 10069-2023")</f>
        <v/>
      </c>
      <c r="Y226">
        <f>HYPERLINK("https://klasma.github.io/Logging_2482/tillsynsmail/A 10069-2023 tillsynsbegäran mail.docx", "A 10069-2023")</f>
        <v/>
      </c>
    </row>
    <row r="227" ht="15" customHeight="1">
      <c r="A227" t="inlineStr">
        <is>
          <t>A 11891-2023</t>
        </is>
      </c>
      <c r="B227" s="1" t="n">
        <v>44994</v>
      </c>
      <c r="C227" s="1" t="n">
        <v>45807</v>
      </c>
      <c r="D227" t="inlineStr">
        <is>
          <t>VÄSTERBOTTENS LÄN</t>
        </is>
      </c>
      <c r="E227" t="inlineStr">
        <is>
          <t>SKELLEFTEÅ</t>
        </is>
      </c>
      <c r="G227" t="n">
        <v>10.5</v>
      </c>
      <c r="H227" t="n">
        <v>0</v>
      </c>
      <c r="I227" t="n">
        <v>0</v>
      </c>
      <c r="J227" t="n">
        <v>1</v>
      </c>
      <c r="K227" t="n">
        <v>0</v>
      </c>
      <c r="L227" t="n">
        <v>0</v>
      </c>
      <c r="M227" t="n">
        <v>0</v>
      </c>
      <c r="N227" t="n">
        <v>0</v>
      </c>
      <c r="O227" t="n">
        <v>1</v>
      </c>
      <c r="P227" t="n">
        <v>0</v>
      </c>
      <c r="Q227" t="n">
        <v>1</v>
      </c>
      <c r="R227" s="2" t="inlineStr">
        <is>
          <t>Violettgrå tagellav</t>
        </is>
      </c>
      <c r="S227">
        <f>HYPERLINK("https://klasma.github.io/Logging_2482/artfynd/A 11891-2023 artfynd.xlsx", "A 11891-2023")</f>
        <v/>
      </c>
      <c r="T227">
        <f>HYPERLINK("https://klasma.github.io/Logging_2482/kartor/A 11891-2023 karta.png", "A 11891-2023")</f>
        <v/>
      </c>
      <c r="V227">
        <f>HYPERLINK("https://klasma.github.io/Logging_2482/klagomål/A 11891-2023 FSC-klagomål.docx", "A 11891-2023")</f>
        <v/>
      </c>
      <c r="W227">
        <f>HYPERLINK("https://klasma.github.io/Logging_2482/klagomålsmail/A 11891-2023 FSC-klagomål mail.docx", "A 11891-2023")</f>
        <v/>
      </c>
      <c r="X227">
        <f>HYPERLINK("https://klasma.github.io/Logging_2482/tillsyn/A 11891-2023 tillsynsbegäran.docx", "A 11891-2023")</f>
        <v/>
      </c>
      <c r="Y227">
        <f>HYPERLINK("https://klasma.github.io/Logging_2482/tillsynsmail/A 11891-2023 tillsynsbegäran mail.docx", "A 11891-2023")</f>
        <v/>
      </c>
    </row>
    <row r="228" ht="15" customHeight="1">
      <c r="A228" t="inlineStr">
        <is>
          <t>A 27358-2023</t>
        </is>
      </c>
      <c r="B228" s="1" t="n">
        <v>45096</v>
      </c>
      <c r="C228" s="1" t="n">
        <v>45807</v>
      </c>
      <c r="D228" t="inlineStr">
        <is>
          <t>VÄSTERBOTTENS LÄN</t>
        </is>
      </c>
      <c r="E228" t="inlineStr">
        <is>
          <t>SKELLEFTEÅ</t>
        </is>
      </c>
      <c r="G228" t="n">
        <v>5</v>
      </c>
      <c r="H228" t="n">
        <v>1</v>
      </c>
      <c r="I228" t="n">
        <v>0</v>
      </c>
      <c r="J228" t="n">
        <v>0</v>
      </c>
      <c r="K228" t="n">
        <v>1</v>
      </c>
      <c r="L228" t="n">
        <v>0</v>
      </c>
      <c r="M228" t="n">
        <v>0</v>
      </c>
      <c r="N228" t="n">
        <v>0</v>
      </c>
      <c r="O228" t="n">
        <v>1</v>
      </c>
      <c r="P228" t="n">
        <v>1</v>
      </c>
      <c r="Q228" t="n">
        <v>1</v>
      </c>
      <c r="R228" s="2" t="inlineStr">
        <is>
          <t>Knärot</t>
        </is>
      </c>
      <c r="S228">
        <f>HYPERLINK("https://klasma.github.io/Logging_2482/artfynd/A 27358-2023 artfynd.xlsx", "A 27358-2023")</f>
        <v/>
      </c>
      <c r="T228">
        <f>HYPERLINK("https://klasma.github.io/Logging_2482/kartor/A 27358-2023 karta.png", "A 27358-2023")</f>
        <v/>
      </c>
      <c r="U228">
        <f>HYPERLINK("https://klasma.github.io/Logging_2482/knärot/A 27358-2023 karta knärot.png", "A 27358-2023")</f>
        <v/>
      </c>
      <c r="V228">
        <f>HYPERLINK("https://klasma.github.io/Logging_2482/klagomål/A 27358-2023 FSC-klagomål.docx", "A 27358-2023")</f>
        <v/>
      </c>
      <c r="W228">
        <f>HYPERLINK("https://klasma.github.io/Logging_2482/klagomålsmail/A 27358-2023 FSC-klagomål mail.docx", "A 27358-2023")</f>
        <v/>
      </c>
      <c r="X228">
        <f>HYPERLINK("https://klasma.github.io/Logging_2482/tillsyn/A 27358-2023 tillsynsbegäran.docx", "A 27358-2023")</f>
        <v/>
      </c>
      <c r="Y228">
        <f>HYPERLINK("https://klasma.github.io/Logging_2482/tillsynsmail/A 27358-2023 tillsynsbegäran mail.docx", "A 27358-2023")</f>
        <v/>
      </c>
    </row>
    <row r="229" ht="15" customHeight="1">
      <c r="A229" t="inlineStr">
        <is>
          <t>A 28448-2023</t>
        </is>
      </c>
      <c r="B229" s="1" t="n">
        <v>45103</v>
      </c>
      <c r="C229" s="1" t="n">
        <v>45807</v>
      </c>
      <c r="D229" t="inlineStr">
        <is>
          <t>VÄSTERBOTTENS LÄN</t>
        </is>
      </c>
      <c r="E229" t="inlineStr">
        <is>
          <t>SKELLEFTEÅ</t>
        </is>
      </c>
      <c r="F229" t="inlineStr">
        <is>
          <t>Kyrkan</t>
        </is>
      </c>
      <c r="G229" t="n">
        <v>9.4</v>
      </c>
      <c r="H229" t="n">
        <v>0</v>
      </c>
      <c r="I229" t="n">
        <v>0</v>
      </c>
      <c r="J229" t="n">
        <v>1</v>
      </c>
      <c r="K229" t="n">
        <v>0</v>
      </c>
      <c r="L229" t="n">
        <v>0</v>
      </c>
      <c r="M229" t="n">
        <v>0</v>
      </c>
      <c r="N229" t="n">
        <v>0</v>
      </c>
      <c r="O229" t="n">
        <v>1</v>
      </c>
      <c r="P229" t="n">
        <v>0</v>
      </c>
      <c r="Q229" t="n">
        <v>1</v>
      </c>
      <c r="R229" s="2" t="inlineStr">
        <is>
          <t>Tallriska</t>
        </is>
      </c>
      <c r="S229">
        <f>HYPERLINK("https://klasma.github.io/Logging_2482/artfynd/A 28448-2023 artfynd.xlsx", "A 28448-2023")</f>
        <v/>
      </c>
      <c r="T229">
        <f>HYPERLINK("https://klasma.github.io/Logging_2482/kartor/A 28448-2023 karta.png", "A 28448-2023")</f>
        <v/>
      </c>
      <c r="V229">
        <f>HYPERLINK("https://klasma.github.io/Logging_2482/klagomål/A 28448-2023 FSC-klagomål.docx", "A 28448-2023")</f>
        <v/>
      </c>
      <c r="W229">
        <f>HYPERLINK("https://klasma.github.io/Logging_2482/klagomålsmail/A 28448-2023 FSC-klagomål mail.docx", "A 28448-2023")</f>
        <v/>
      </c>
      <c r="X229">
        <f>HYPERLINK("https://klasma.github.io/Logging_2482/tillsyn/A 28448-2023 tillsynsbegäran.docx", "A 28448-2023")</f>
        <v/>
      </c>
      <c r="Y229">
        <f>HYPERLINK("https://klasma.github.io/Logging_2482/tillsynsmail/A 28448-2023 tillsynsbegäran mail.docx", "A 28448-2023")</f>
        <v/>
      </c>
    </row>
    <row r="230" ht="15" customHeight="1">
      <c r="A230" t="inlineStr">
        <is>
          <t>A 30703-2023</t>
        </is>
      </c>
      <c r="B230" s="1" t="n">
        <v>45112</v>
      </c>
      <c r="C230" s="1" t="n">
        <v>45807</v>
      </c>
      <c r="D230" t="inlineStr">
        <is>
          <t>VÄSTERBOTTENS LÄN</t>
        </is>
      </c>
      <c r="E230" t="inlineStr">
        <is>
          <t>SKELLEFTEÅ</t>
        </is>
      </c>
      <c r="F230" t="inlineStr">
        <is>
          <t>Sveaskog</t>
        </is>
      </c>
      <c r="G230" t="n">
        <v>10.9</v>
      </c>
      <c r="H230" t="n">
        <v>1</v>
      </c>
      <c r="I230" t="n">
        <v>0</v>
      </c>
      <c r="J230" t="n">
        <v>0</v>
      </c>
      <c r="K230" t="n">
        <v>0</v>
      </c>
      <c r="L230" t="n">
        <v>0</v>
      </c>
      <c r="M230" t="n">
        <v>0</v>
      </c>
      <c r="N230" t="n">
        <v>0</v>
      </c>
      <c r="O230" t="n">
        <v>0</v>
      </c>
      <c r="P230" t="n">
        <v>0</v>
      </c>
      <c r="Q230" t="n">
        <v>1</v>
      </c>
      <c r="R230" s="2" t="inlineStr">
        <is>
          <t>Fläcknycklar</t>
        </is>
      </c>
      <c r="S230">
        <f>HYPERLINK("https://klasma.github.io/Logging_2482/artfynd/A 30703-2023 artfynd.xlsx", "A 30703-2023")</f>
        <v/>
      </c>
      <c r="T230">
        <f>HYPERLINK("https://klasma.github.io/Logging_2482/kartor/A 30703-2023 karta.png", "A 30703-2023")</f>
        <v/>
      </c>
      <c r="V230">
        <f>HYPERLINK("https://klasma.github.io/Logging_2482/klagomål/A 30703-2023 FSC-klagomål.docx", "A 30703-2023")</f>
        <v/>
      </c>
      <c r="W230">
        <f>HYPERLINK("https://klasma.github.io/Logging_2482/klagomålsmail/A 30703-2023 FSC-klagomål mail.docx", "A 30703-2023")</f>
        <v/>
      </c>
      <c r="X230">
        <f>HYPERLINK("https://klasma.github.io/Logging_2482/tillsyn/A 30703-2023 tillsynsbegäran.docx", "A 30703-2023")</f>
        <v/>
      </c>
      <c r="Y230">
        <f>HYPERLINK("https://klasma.github.io/Logging_2482/tillsynsmail/A 30703-2023 tillsynsbegäran mail.docx", "A 30703-2023")</f>
        <v/>
      </c>
    </row>
    <row r="231" ht="15" customHeight="1">
      <c r="A231" t="inlineStr">
        <is>
          <t>A 32566-2023</t>
        </is>
      </c>
      <c r="B231" s="1" t="n">
        <v>45121</v>
      </c>
      <c r="C231" s="1" t="n">
        <v>45807</v>
      </c>
      <c r="D231" t="inlineStr">
        <is>
          <t>VÄSTERBOTTENS LÄN</t>
        </is>
      </c>
      <c r="E231" t="inlineStr">
        <is>
          <t>SKELLEFTEÅ</t>
        </is>
      </c>
      <c r="F231" t="inlineStr">
        <is>
          <t>Holmen skog AB</t>
        </is>
      </c>
      <c r="G231" t="n">
        <v>13</v>
      </c>
      <c r="H231" t="n">
        <v>1</v>
      </c>
      <c r="I231" t="n">
        <v>0</v>
      </c>
      <c r="J231" t="n">
        <v>0</v>
      </c>
      <c r="K231" t="n">
        <v>0</v>
      </c>
      <c r="L231" t="n">
        <v>0</v>
      </c>
      <c r="M231" t="n">
        <v>0</v>
      </c>
      <c r="N231" t="n">
        <v>0</v>
      </c>
      <c r="O231" t="n">
        <v>0</v>
      </c>
      <c r="P231" t="n">
        <v>0</v>
      </c>
      <c r="Q231" t="n">
        <v>1</v>
      </c>
      <c r="R231" s="2" t="inlineStr">
        <is>
          <t>Revlummer</t>
        </is>
      </c>
      <c r="S231">
        <f>HYPERLINK("https://klasma.github.io/Logging_2482/artfynd/A 32566-2023 artfynd.xlsx", "A 32566-2023")</f>
        <v/>
      </c>
      <c r="T231">
        <f>HYPERLINK("https://klasma.github.io/Logging_2482/kartor/A 32566-2023 karta.png", "A 32566-2023")</f>
        <v/>
      </c>
      <c r="V231">
        <f>HYPERLINK("https://klasma.github.io/Logging_2482/klagomål/A 32566-2023 FSC-klagomål.docx", "A 32566-2023")</f>
        <v/>
      </c>
      <c r="W231">
        <f>HYPERLINK("https://klasma.github.io/Logging_2482/klagomålsmail/A 32566-2023 FSC-klagomål mail.docx", "A 32566-2023")</f>
        <v/>
      </c>
      <c r="X231">
        <f>HYPERLINK("https://klasma.github.io/Logging_2482/tillsyn/A 32566-2023 tillsynsbegäran.docx", "A 32566-2023")</f>
        <v/>
      </c>
      <c r="Y231">
        <f>HYPERLINK("https://klasma.github.io/Logging_2482/tillsynsmail/A 32566-2023 tillsynsbegäran mail.docx", "A 32566-2023")</f>
        <v/>
      </c>
    </row>
    <row r="232" ht="15" customHeight="1">
      <c r="A232" t="inlineStr">
        <is>
          <t>A 36628-2023</t>
        </is>
      </c>
      <c r="B232" s="1" t="n">
        <v>45153</v>
      </c>
      <c r="C232" s="1" t="n">
        <v>45807</v>
      </c>
      <c r="D232" t="inlineStr">
        <is>
          <t>VÄSTERBOTTENS LÄN</t>
        </is>
      </c>
      <c r="E232" t="inlineStr">
        <is>
          <t>SKELLEFTEÅ</t>
        </is>
      </c>
      <c r="F232" t="inlineStr">
        <is>
          <t>Holmen skog AB</t>
        </is>
      </c>
      <c r="G232" t="n">
        <v>4.6</v>
      </c>
      <c r="H232" t="n">
        <v>0</v>
      </c>
      <c r="I232" t="n">
        <v>0</v>
      </c>
      <c r="J232" t="n">
        <v>1</v>
      </c>
      <c r="K232" t="n">
        <v>0</v>
      </c>
      <c r="L232" t="n">
        <v>0</v>
      </c>
      <c r="M232" t="n">
        <v>0</v>
      </c>
      <c r="N232" t="n">
        <v>0</v>
      </c>
      <c r="O232" t="n">
        <v>1</v>
      </c>
      <c r="P232" t="n">
        <v>0</v>
      </c>
      <c r="Q232" t="n">
        <v>1</v>
      </c>
      <c r="R232" s="2" t="inlineStr">
        <is>
          <t>Gultoppig fingersvamp</t>
        </is>
      </c>
      <c r="S232">
        <f>HYPERLINK("https://klasma.github.io/Logging_2482/artfynd/A 36628-2023 artfynd.xlsx", "A 36628-2023")</f>
        <v/>
      </c>
      <c r="T232">
        <f>HYPERLINK("https://klasma.github.io/Logging_2482/kartor/A 36628-2023 karta.png", "A 36628-2023")</f>
        <v/>
      </c>
      <c r="V232">
        <f>HYPERLINK("https://klasma.github.io/Logging_2482/klagomål/A 36628-2023 FSC-klagomål.docx", "A 36628-2023")</f>
        <v/>
      </c>
      <c r="W232">
        <f>HYPERLINK("https://klasma.github.io/Logging_2482/klagomålsmail/A 36628-2023 FSC-klagomål mail.docx", "A 36628-2023")</f>
        <v/>
      </c>
      <c r="X232">
        <f>HYPERLINK("https://klasma.github.io/Logging_2482/tillsyn/A 36628-2023 tillsynsbegäran.docx", "A 36628-2023")</f>
        <v/>
      </c>
      <c r="Y232">
        <f>HYPERLINK("https://klasma.github.io/Logging_2482/tillsynsmail/A 36628-2023 tillsynsbegäran mail.docx", "A 36628-2023")</f>
        <v/>
      </c>
    </row>
    <row r="233" ht="15" customHeight="1">
      <c r="A233" t="inlineStr">
        <is>
          <t>A 38455-2023</t>
        </is>
      </c>
      <c r="B233" s="1" t="n">
        <v>45162</v>
      </c>
      <c r="C233" s="1" t="n">
        <v>45807</v>
      </c>
      <c r="D233" t="inlineStr">
        <is>
          <t>VÄSTERBOTTENS LÄN</t>
        </is>
      </c>
      <c r="E233" t="inlineStr">
        <is>
          <t>SKELLEFTEÅ</t>
        </is>
      </c>
      <c r="G233" t="n">
        <v>10.4</v>
      </c>
      <c r="H233" t="n">
        <v>0</v>
      </c>
      <c r="I233" t="n">
        <v>1</v>
      </c>
      <c r="J233" t="n">
        <v>0</v>
      </c>
      <c r="K233" t="n">
        <v>0</v>
      </c>
      <c r="L233" t="n">
        <v>0</v>
      </c>
      <c r="M233" t="n">
        <v>0</v>
      </c>
      <c r="N233" t="n">
        <v>0</v>
      </c>
      <c r="O233" t="n">
        <v>0</v>
      </c>
      <c r="P233" t="n">
        <v>0</v>
      </c>
      <c r="Q233" t="n">
        <v>1</v>
      </c>
      <c r="R233" s="2" t="inlineStr">
        <is>
          <t>Bårdlav</t>
        </is>
      </c>
      <c r="S233">
        <f>HYPERLINK("https://klasma.github.io/Logging_2482/artfynd/A 38455-2023 artfynd.xlsx", "A 38455-2023")</f>
        <v/>
      </c>
      <c r="T233">
        <f>HYPERLINK("https://klasma.github.io/Logging_2482/kartor/A 38455-2023 karta.png", "A 38455-2023")</f>
        <v/>
      </c>
      <c r="V233">
        <f>HYPERLINK("https://klasma.github.io/Logging_2482/klagomål/A 38455-2023 FSC-klagomål.docx", "A 38455-2023")</f>
        <v/>
      </c>
      <c r="W233">
        <f>HYPERLINK("https://klasma.github.io/Logging_2482/klagomålsmail/A 38455-2023 FSC-klagomål mail.docx", "A 38455-2023")</f>
        <v/>
      </c>
      <c r="X233">
        <f>HYPERLINK("https://klasma.github.io/Logging_2482/tillsyn/A 38455-2023 tillsynsbegäran.docx", "A 38455-2023")</f>
        <v/>
      </c>
      <c r="Y233">
        <f>HYPERLINK("https://klasma.github.io/Logging_2482/tillsynsmail/A 38455-2023 tillsynsbegäran mail.docx", "A 38455-2023")</f>
        <v/>
      </c>
    </row>
    <row r="234" ht="15" customHeight="1">
      <c r="A234" t="inlineStr">
        <is>
          <t>A 41087-2023</t>
        </is>
      </c>
      <c r="B234" s="1" t="n">
        <v>45173</v>
      </c>
      <c r="C234" s="1" t="n">
        <v>45807</v>
      </c>
      <c r="D234" t="inlineStr">
        <is>
          <t>VÄSTERBOTTENS LÄN</t>
        </is>
      </c>
      <c r="E234" t="inlineStr">
        <is>
          <t>SKELLEFTEÅ</t>
        </is>
      </c>
      <c r="F234" t="inlineStr">
        <is>
          <t>Holmen skog AB</t>
        </is>
      </c>
      <c r="G234" t="n">
        <v>10</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41087-2023 artfynd.xlsx", "A 41087-2023")</f>
        <v/>
      </c>
      <c r="T234">
        <f>HYPERLINK("https://klasma.github.io/Logging_2482/kartor/A 41087-2023 karta.png", "A 41087-2023")</f>
        <v/>
      </c>
      <c r="V234">
        <f>HYPERLINK("https://klasma.github.io/Logging_2482/klagomål/A 41087-2023 FSC-klagomål.docx", "A 41087-2023")</f>
        <v/>
      </c>
      <c r="W234">
        <f>HYPERLINK("https://klasma.github.io/Logging_2482/klagomålsmail/A 41087-2023 FSC-klagomål mail.docx", "A 41087-2023")</f>
        <v/>
      </c>
      <c r="X234">
        <f>HYPERLINK("https://klasma.github.io/Logging_2482/tillsyn/A 41087-2023 tillsynsbegäran.docx", "A 41087-2023")</f>
        <v/>
      </c>
      <c r="Y234">
        <f>HYPERLINK("https://klasma.github.io/Logging_2482/tillsynsmail/A 41087-2023 tillsynsbegäran mail.docx", "A 41087-2023")</f>
        <v/>
      </c>
    </row>
    <row r="235" ht="15" customHeight="1">
      <c r="A235" t="inlineStr">
        <is>
          <t>A 41055-2023</t>
        </is>
      </c>
      <c r="B235" s="1" t="n">
        <v>45173</v>
      </c>
      <c r="C235" s="1" t="n">
        <v>45807</v>
      </c>
      <c r="D235" t="inlineStr">
        <is>
          <t>VÄSTERBOTTENS LÄN</t>
        </is>
      </c>
      <c r="E235" t="inlineStr">
        <is>
          <t>SKELLEFTEÅ</t>
        </is>
      </c>
      <c r="F235" t="inlineStr">
        <is>
          <t>Holmen skog AB</t>
        </is>
      </c>
      <c r="G235" t="n">
        <v>4.4</v>
      </c>
      <c r="H235" t="n">
        <v>0</v>
      </c>
      <c r="I235" t="n">
        <v>0</v>
      </c>
      <c r="J235" t="n">
        <v>0</v>
      </c>
      <c r="K235" t="n">
        <v>0</v>
      </c>
      <c r="L235" t="n">
        <v>1</v>
      </c>
      <c r="M235" t="n">
        <v>0</v>
      </c>
      <c r="N235" t="n">
        <v>0</v>
      </c>
      <c r="O235" t="n">
        <v>1</v>
      </c>
      <c r="P235" t="n">
        <v>1</v>
      </c>
      <c r="Q235" t="n">
        <v>1</v>
      </c>
      <c r="R235" s="2" t="inlineStr">
        <is>
          <t>Flodpärlmussla</t>
        </is>
      </c>
      <c r="S235">
        <f>HYPERLINK("https://klasma.github.io/Logging_2482/artfynd/A 41055-2023 artfynd.xlsx", "A 41055-2023")</f>
        <v/>
      </c>
      <c r="T235">
        <f>HYPERLINK("https://klasma.github.io/Logging_2482/kartor/A 41055-2023 karta.png", "A 41055-2023")</f>
        <v/>
      </c>
      <c r="V235">
        <f>HYPERLINK("https://klasma.github.io/Logging_2482/klagomål/A 41055-2023 FSC-klagomål.docx", "A 41055-2023")</f>
        <v/>
      </c>
      <c r="W235">
        <f>HYPERLINK("https://klasma.github.io/Logging_2482/klagomålsmail/A 41055-2023 FSC-klagomål mail.docx", "A 41055-2023")</f>
        <v/>
      </c>
      <c r="X235">
        <f>HYPERLINK("https://klasma.github.io/Logging_2482/tillsyn/A 41055-2023 tillsynsbegäran.docx", "A 41055-2023")</f>
        <v/>
      </c>
      <c r="Y235">
        <f>HYPERLINK("https://klasma.github.io/Logging_2482/tillsynsmail/A 41055-2023 tillsynsbegäran mail.docx", "A 41055-2023")</f>
        <v/>
      </c>
    </row>
    <row r="236" ht="15" customHeight="1">
      <c r="A236" t="inlineStr">
        <is>
          <t>A 47056-2023</t>
        </is>
      </c>
      <c r="B236" s="1" t="n">
        <v>45201</v>
      </c>
      <c r="C236" s="1" t="n">
        <v>45807</v>
      </c>
      <c r="D236" t="inlineStr">
        <is>
          <t>VÄSTERBOTTENS LÄN</t>
        </is>
      </c>
      <c r="E236" t="inlineStr">
        <is>
          <t>SKELLEFTEÅ</t>
        </is>
      </c>
      <c r="F236" t="inlineStr">
        <is>
          <t>Sveaskog</t>
        </is>
      </c>
      <c r="G236" t="n">
        <v>10.6</v>
      </c>
      <c r="H236" t="n">
        <v>0</v>
      </c>
      <c r="I236" t="n">
        <v>0</v>
      </c>
      <c r="J236" t="n">
        <v>1</v>
      </c>
      <c r="K236" t="n">
        <v>0</v>
      </c>
      <c r="L236" t="n">
        <v>0</v>
      </c>
      <c r="M236" t="n">
        <v>0</v>
      </c>
      <c r="N236" t="n">
        <v>0</v>
      </c>
      <c r="O236" t="n">
        <v>1</v>
      </c>
      <c r="P236" t="n">
        <v>0</v>
      </c>
      <c r="Q236" t="n">
        <v>1</v>
      </c>
      <c r="R236" s="2" t="inlineStr">
        <is>
          <t>Ullticka</t>
        </is>
      </c>
      <c r="S236">
        <f>HYPERLINK("https://klasma.github.io/Logging_2482/artfynd/A 47056-2023 artfynd.xlsx", "A 47056-2023")</f>
        <v/>
      </c>
      <c r="T236">
        <f>HYPERLINK("https://klasma.github.io/Logging_2482/kartor/A 47056-2023 karta.png", "A 47056-2023")</f>
        <v/>
      </c>
      <c r="V236">
        <f>HYPERLINK("https://klasma.github.io/Logging_2482/klagomål/A 47056-2023 FSC-klagomål.docx", "A 47056-2023")</f>
        <v/>
      </c>
      <c r="W236">
        <f>HYPERLINK("https://klasma.github.io/Logging_2482/klagomålsmail/A 47056-2023 FSC-klagomål mail.docx", "A 47056-2023")</f>
        <v/>
      </c>
      <c r="X236">
        <f>HYPERLINK("https://klasma.github.io/Logging_2482/tillsyn/A 47056-2023 tillsynsbegäran.docx", "A 47056-2023")</f>
        <v/>
      </c>
      <c r="Y236">
        <f>HYPERLINK("https://klasma.github.io/Logging_2482/tillsynsmail/A 47056-2023 tillsynsbegäran mail.docx", "A 47056-2023")</f>
        <v/>
      </c>
    </row>
    <row r="237" ht="15" customHeight="1">
      <c r="A237" t="inlineStr">
        <is>
          <t>A 49322-2023</t>
        </is>
      </c>
      <c r="B237" s="1" t="n">
        <v>45211</v>
      </c>
      <c r="C237" s="1" t="n">
        <v>45807</v>
      </c>
      <c r="D237" t="inlineStr">
        <is>
          <t>VÄSTERBOTTENS LÄN</t>
        </is>
      </c>
      <c r="E237" t="inlineStr">
        <is>
          <t>SKELLEFTEÅ</t>
        </is>
      </c>
      <c r="G237" t="n">
        <v>24.9</v>
      </c>
      <c r="H237" t="n">
        <v>1</v>
      </c>
      <c r="I237" t="n">
        <v>0</v>
      </c>
      <c r="J237" t="n">
        <v>1</v>
      </c>
      <c r="K237" t="n">
        <v>0</v>
      </c>
      <c r="L237" t="n">
        <v>0</v>
      </c>
      <c r="M237" t="n">
        <v>0</v>
      </c>
      <c r="N237" t="n">
        <v>0</v>
      </c>
      <c r="O237" t="n">
        <v>1</v>
      </c>
      <c r="P237" t="n">
        <v>0</v>
      </c>
      <c r="Q237" t="n">
        <v>1</v>
      </c>
      <c r="R237" s="2" t="inlineStr">
        <is>
          <t>Spillkråka</t>
        </is>
      </c>
      <c r="S237">
        <f>HYPERLINK("https://klasma.github.io/Logging_2482/artfynd/A 49322-2023 artfynd.xlsx", "A 49322-2023")</f>
        <v/>
      </c>
      <c r="T237">
        <f>HYPERLINK("https://klasma.github.io/Logging_2482/kartor/A 49322-2023 karta.png", "A 49322-2023")</f>
        <v/>
      </c>
      <c r="U237">
        <f>HYPERLINK("https://klasma.github.io/Logging_2482/knärot/A 49322-2023 karta knärot.png", "A 49322-2023")</f>
        <v/>
      </c>
      <c r="V237">
        <f>HYPERLINK("https://klasma.github.io/Logging_2482/klagomål/A 49322-2023 FSC-klagomål.docx", "A 49322-2023")</f>
        <v/>
      </c>
      <c r="W237">
        <f>HYPERLINK("https://klasma.github.io/Logging_2482/klagomålsmail/A 49322-2023 FSC-klagomål mail.docx", "A 49322-2023")</f>
        <v/>
      </c>
      <c r="X237">
        <f>HYPERLINK("https://klasma.github.io/Logging_2482/tillsyn/A 49322-2023 tillsynsbegäran.docx", "A 49322-2023")</f>
        <v/>
      </c>
      <c r="Y237">
        <f>HYPERLINK("https://klasma.github.io/Logging_2482/tillsynsmail/A 49322-2023 tillsynsbegäran mail.docx", "A 49322-2023")</f>
        <v/>
      </c>
      <c r="Z237">
        <f>HYPERLINK("https://klasma.github.io/Logging_2482/fåglar/A 49322-2023 prioriterade fågelarter.docx", "A 49322-2023")</f>
        <v/>
      </c>
    </row>
    <row r="238" ht="15" customHeight="1">
      <c r="A238" t="inlineStr">
        <is>
          <t>A 54488-2023</t>
        </is>
      </c>
      <c r="B238" s="1" t="n">
        <v>45226</v>
      </c>
      <c r="C238" s="1" t="n">
        <v>45807</v>
      </c>
      <c r="D238" t="inlineStr">
        <is>
          <t>VÄSTERBOTTENS LÄN</t>
        </is>
      </c>
      <c r="E238" t="inlineStr">
        <is>
          <t>SKELLEFTEÅ</t>
        </is>
      </c>
      <c r="G238" t="n">
        <v>4.4</v>
      </c>
      <c r="H238" t="n">
        <v>0</v>
      </c>
      <c r="I238" t="n">
        <v>0</v>
      </c>
      <c r="J238" t="n">
        <v>1</v>
      </c>
      <c r="K238" t="n">
        <v>0</v>
      </c>
      <c r="L238" t="n">
        <v>0</v>
      </c>
      <c r="M238" t="n">
        <v>0</v>
      </c>
      <c r="N238" t="n">
        <v>0</v>
      </c>
      <c r="O238" t="n">
        <v>1</v>
      </c>
      <c r="P238" t="n">
        <v>0</v>
      </c>
      <c r="Q238" t="n">
        <v>1</v>
      </c>
      <c r="R238" s="2" t="inlineStr">
        <is>
          <t>Lunglav</t>
        </is>
      </c>
      <c r="S238">
        <f>HYPERLINK("https://klasma.github.io/Logging_2482/artfynd/A 54488-2023 artfynd.xlsx", "A 54488-2023")</f>
        <v/>
      </c>
      <c r="T238">
        <f>HYPERLINK("https://klasma.github.io/Logging_2482/kartor/A 54488-2023 karta.png", "A 54488-2023")</f>
        <v/>
      </c>
      <c r="V238">
        <f>HYPERLINK("https://klasma.github.io/Logging_2482/klagomål/A 54488-2023 FSC-klagomål.docx", "A 54488-2023")</f>
        <v/>
      </c>
      <c r="W238">
        <f>HYPERLINK("https://klasma.github.io/Logging_2482/klagomålsmail/A 54488-2023 FSC-klagomål mail.docx", "A 54488-2023")</f>
        <v/>
      </c>
      <c r="X238">
        <f>HYPERLINK("https://klasma.github.io/Logging_2482/tillsyn/A 54488-2023 tillsynsbegäran.docx", "A 54488-2023")</f>
        <v/>
      </c>
      <c r="Y238">
        <f>HYPERLINK("https://klasma.github.io/Logging_2482/tillsynsmail/A 54488-2023 tillsynsbegäran mail.docx", "A 54488-2023")</f>
        <v/>
      </c>
    </row>
    <row r="239" ht="15" customHeight="1">
      <c r="A239" t="inlineStr">
        <is>
          <t>A 55839-2023</t>
        </is>
      </c>
      <c r="B239" s="1" t="n">
        <v>45239</v>
      </c>
      <c r="C239" s="1" t="n">
        <v>45807</v>
      </c>
      <c r="D239" t="inlineStr">
        <is>
          <t>VÄSTERBOTTENS LÄN</t>
        </is>
      </c>
      <c r="E239" t="inlineStr">
        <is>
          <t>SKELLEFTEÅ</t>
        </is>
      </c>
      <c r="F239" t="inlineStr">
        <is>
          <t>Kommuner</t>
        </is>
      </c>
      <c r="G239" t="n">
        <v>0.8</v>
      </c>
      <c r="H239" t="n">
        <v>1</v>
      </c>
      <c r="I239" t="n">
        <v>1</v>
      </c>
      <c r="J239" t="n">
        <v>0</v>
      </c>
      <c r="K239" t="n">
        <v>0</v>
      </c>
      <c r="L239" t="n">
        <v>0</v>
      </c>
      <c r="M239" t="n">
        <v>0</v>
      </c>
      <c r="N239" t="n">
        <v>0</v>
      </c>
      <c r="O239" t="n">
        <v>0</v>
      </c>
      <c r="P239" t="n">
        <v>0</v>
      </c>
      <c r="Q239" t="n">
        <v>1</v>
      </c>
      <c r="R239" s="2" t="inlineStr">
        <is>
          <t>Plattlummer</t>
        </is>
      </c>
      <c r="S239">
        <f>HYPERLINK("https://klasma.github.io/Logging_2482/artfynd/A 55839-2023 artfynd.xlsx", "A 55839-2023")</f>
        <v/>
      </c>
      <c r="T239">
        <f>HYPERLINK("https://klasma.github.io/Logging_2482/kartor/A 55839-2023 karta.png", "A 55839-2023")</f>
        <v/>
      </c>
      <c r="V239">
        <f>HYPERLINK("https://klasma.github.io/Logging_2482/klagomål/A 55839-2023 FSC-klagomål.docx", "A 55839-2023")</f>
        <v/>
      </c>
      <c r="W239">
        <f>HYPERLINK("https://klasma.github.io/Logging_2482/klagomålsmail/A 55839-2023 FSC-klagomål mail.docx", "A 55839-2023")</f>
        <v/>
      </c>
      <c r="X239">
        <f>HYPERLINK("https://klasma.github.io/Logging_2482/tillsyn/A 55839-2023 tillsynsbegäran.docx", "A 55839-2023")</f>
        <v/>
      </c>
      <c r="Y239">
        <f>HYPERLINK("https://klasma.github.io/Logging_2482/tillsynsmail/A 55839-2023 tillsynsbegäran mail.docx", "A 55839-2023")</f>
        <v/>
      </c>
    </row>
    <row r="240" ht="15" customHeight="1">
      <c r="A240" t="inlineStr">
        <is>
          <t>A 65012-2023</t>
        </is>
      </c>
      <c r="B240" s="1" t="n">
        <v>45287</v>
      </c>
      <c r="C240" s="1" t="n">
        <v>45807</v>
      </c>
      <c r="D240" t="inlineStr">
        <is>
          <t>VÄSTERBOTTENS LÄN</t>
        </is>
      </c>
      <c r="E240" t="inlineStr">
        <is>
          <t>SKELLEFTEÅ</t>
        </is>
      </c>
      <c r="G240" t="n">
        <v>2.2</v>
      </c>
      <c r="H240" t="n">
        <v>1</v>
      </c>
      <c r="I240" t="n">
        <v>0</v>
      </c>
      <c r="J240" t="n">
        <v>1</v>
      </c>
      <c r="K240" t="n">
        <v>0</v>
      </c>
      <c r="L240" t="n">
        <v>0</v>
      </c>
      <c r="M240" t="n">
        <v>0</v>
      </c>
      <c r="N240" t="n">
        <v>0</v>
      </c>
      <c r="O240" t="n">
        <v>1</v>
      </c>
      <c r="P240" t="n">
        <v>0</v>
      </c>
      <c r="Q240" t="n">
        <v>1</v>
      </c>
      <c r="R240" s="2" t="inlineStr">
        <is>
          <t>Tretåig hackspett</t>
        </is>
      </c>
      <c r="S240">
        <f>HYPERLINK("https://klasma.github.io/Logging_2482/artfynd/A 65012-2023 artfynd.xlsx", "A 65012-2023")</f>
        <v/>
      </c>
      <c r="T240">
        <f>HYPERLINK("https://klasma.github.io/Logging_2482/kartor/A 65012-2023 karta.png", "A 65012-2023")</f>
        <v/>
      </c>
      <c r="V240">
        <f>HYPERLINK("https://klasma.github.io/Logging_2482/klagomål/A 65012-2023 FSC-klagomål.docx", "A 65012-2023")</f>
        <v/>
      </c>
      <c r="W240">
        <f>HYPERLINK("https://klasma.github.io/Logging_2482/klagomålsmail/A 65012-2023 FSC-klagomål mail.docx", "A 65012-2023")</f>
        <v/>
      </c>
      <c r="X240">
        <f>HYPERLINK("https://klasma.github.io/Logging_2482/tillsyn/A 65012-2023 tillsynsbegäran.docx", "A 65012-2023")</f>
        <v/>
      </c>
      <c r="Y240">
        <f>HYPERLINK("https://klasma.github.io/Logging_2482/tillsynsmail/A 65012-2023 tillsynsbegäran mail.docx", "A 65012-2023")</f>
        <v/>
      </c>
      <c r="Z240">
        <f>HYPERLINK("https://klasma.github.io/Logging_2482/fåglar/A 65012-2023 prioriterade fågelarter.docx", "A 65012-2023")</f>
        <v/>
      </c>
    </row>
    <row r="241" ht="15" customHeight="1">
      <c r="A241" t="inlineStr">
        <is>
          <t>A 488-2024</t>
        </is>
      </c>
      <c r="B241" s="1" t="n">
        <v>45298</v>
      </c>
      <c r="C241" s="1" t="n">
        <v>45807</v>
      </c>
      <c r="D241" t="inlineStr">
        <is>
          <t>VÄSTERBOTTENS LÄN</t>
        </is>
      </c>
      <c r="E241" t="inlineStr">
        <is>
          <t>SKELLEFTEÅ</t>
        </is>
      </c>
      <c r="G241" t="n">
        <v>3.6</v>
      </c>
      <c r="H241" t="n">
        <v>1</v>
      </c>
      <c r="I241" t="n">
        <v>0</v>
      </c>
      <c r="J241" t="n">
        <v>1</v>
      </c>
      <c r="K241" t="n">
        <v>0</v>
      </c>
      <c r="L241" t="n">
        <v>0</v>
      </c>
      <c r="M241" t="n">
        <v>0</v>
      </c>
      <c r="N241" t="n">
        <v>0</v>
      </c>
      <c r="O241" t="n">
        <v>1</v>
      </c>
      <c r="P241" t="n">
        <v>0</v>
      </c>
      <c r="Q241" t="n">
        <v>1</v>
      </c>
      <c r="R241" s="2" t="inlineStr">
        <is>
          <t>Spillkråka</t>
        </is>
      </c>
      <c r="S241">
        <f>HYPERLINK("https://klasma.github.io/Logging_2482/artfynd/A 488-2024 artfynd.xlsx", "A 488-2024")</f>
        <v/>
      </c>
      <c r="T241">
        <f>HYPERLINK("https://klasma.github.io/Logging_2482/kartor/A 488-2024 karta.png", "A 488-2024")</f>
        <v/>
      </c>
      <c r="V241">
        <f>HYPERLINK("https://klasma.github.io/Logging_2482/klagomål/A 488-2024 FSC-klagomål.docx", "A 488-2024")</f>
        <v/>
      </c>
      <c r="W241">
        <f>HYPERLINK("https://klasma.github.io/Logging_2482/klagomålsmail/A 488-2024 FSC-klagomål mail.docx", "A 488-2024")</f>
        <v/>
      </c>
      <c r="X241">
        <f>HYPERLINK("https://klasma.github.io/Logging_2482/tillsyn/A 488-2024 tillsynsbegäran.docx", "A 488-2024")</f>
        <v/>
      </c>
      <c r="Y241">
        <f>HYPERLINK("https://klasma.github.io/Logging_2482/tillsynsmail/A 488-2024 tillsynsbegäran mail.docx", "A 488-2024")</f>
        <v/>
      </c>
      <c r="Z241">
        <f>HYPERLINK("https://klasma.github.io/Logging_2482/fåglar/A 488-2024 prioriterade fågelarter.docx", "A 488-2024")</f>
        <v/>
      </c>
    </row>
    <row r="242" ht="15" customHeight="1">
      <c r="A242" t="inlineStr">
        <is>
          <t>A 3939-2024</t>
        </is>
      </c>
      <c r="B242" s="1" t="n">
        <v>45322</v>
      </c>
      <c r="C242" s="1" t="n">
        <v>45807</v>
      </c>
      <c r="D242" t="inlineStr">
        <is>
          <t>VÄSTERBOTTENS LÄN</t>
        </is>
      </c>
      <c r="E242" t="inlineStr">
        <is>
          <t>SKELLEFTEÅ</t>
        </is>
      </c>
      <c r="G242" t="n">
        <v>1.9</v>
      </c>
      <c r="H242" t="n">
        <v>0</v>
      </c>
      <c r="I242" t="n">
        <v>1</v>
      </c>
      <c r="J242" t="n">
        <v>0</v>
      </c>
      <c r="K242" t="n">
        <v>0</v>
      </c>
      <c r="L242" t="n">
        <v>0</v>
      </c>
      <c r="M242" t="n">
        <v>0</v>
      </c>
      <c r="N242" t="n">
        <v>0</v>
      </c>
      <c r="O242" t="n">
        <v>0</v>
      </c>
      <c r="P242" t="n">
        <v>0</v>
      </c>
      <c r="Q242" t="n">
        <v>1</v>
      </c>
      <c r="R242" s="2" t="inlineStr">
        <is>
          <t>Ögonpyrola</t>
        </is>
      </c>
      <c r="S242">
        <f>HYPERLINK("https://klasma.github.io/Logging_2482/artfynd/A 3939-2024 artfynd.xlsx", "A 3939-2024")</f>
        <v/>
      </c>
      <c r="T242">
        <f>HYPERLINK("https://klasma.github.io/Logging_2482/kartor/A 3939-2024 karta.png", "A 3939-2024")</f>
        <v/>
      </c>
      <c r="V242">
        <f>HYPERLINK("https://klasma.github.io/Logging_2482/klagomål/A 3939-2024 FSC-klagomål.docx", "A 3939-2024")</f>
        <v/>
      </c>
      <c r="W242">
        <f>HYPERLINK("https://klasma.github.io/Logging_2482/klagomålsmail/A 3939-2024 FSC-klagomål mail.docx", "A 3939-2024")</f>
        <v/>
      </c>
      <c r="X242">
        <f>HYPERLINK("https://klasma.github.io/Logging_2482/tillsyn/A 3939-2024 tillsynsbegäran.docx", "A 3939-2024")</f>
        <v/>
      </c>
      <c r="Y242">
        <f>HYPERLINK("https://klasma.github.io/Logging_2482/tillsynsmail/A 3939-2024 tillsynsbegäran mail.docx", "A 3939-2024")</f>
        <v/>
      </c>
    </row>
    <row r="243" ht="15" customHeight="1">
      <c r="A243" t="inlineStr">
        <is>
          <t>A 8082-2024</t>
        </is>
      </c>
      <c r="B243" s="1" t="n">
        <v>45351</v>
      </c>
      <c r="C243" s="1" t="n">
        <v>45807</v>
      </c>
      <c r="D243" t="inlineStr">
        <is>
          <t>VÄSTERBOTTENS LÄN</t>
        </is>
      </c>
      <c r="E243" t="inlineStr">
        <is>
          <t>SKELLEFTEÅ</t>
        </is>
      </c>
      <c r="G243" t="n">
        <v>18.9</v>
      </c>
      <c r="H243" t="n">
        <v>0</v>
      </c>
      <c r="I243" t="n">
        <v>1</v>
      </c>
      <c r="J243" t="n">
        <v>0</v>
      </c>
      <c r="K243" t="n">
        <v>0</v>
      </c>
      <c r="L243" t="n">
        <v>0</v>
      </c>
      <c r="M243" t="n">
        <v>0</v>
      </c>
      <c r="N243" t="n">
        <v>0</v>
      </c>
      <c r="O243" t="n">
        <v>0</v>
      </c>
      <c r="P243" t="n">
        <v>0</v>
      </c>
      <c r="Q243" t="n">
        <v>1</v>
      </c>
      <c r="R243" s="2" t="inlineStr">
        <is>
          <t>Skarp dropptaggsvamp</t>
        </is>
      </c>
      <c r="S243">
        <f>HYPERLINK("https://klasma.github.io/Logging_2482/artfynd/A 8082-2024 artfynd.xlsx", "A 8082-2024")</f>
        <v/>
      </c>
      <c r="T243">
        <f>HYPERLINK("https://klasma.github.io/Logging_2482/kartor/A 8082-2024 karta.png", "A 8082-2024")</f>
        <v/>
      </c>
      <c r="V243">
        <f>HYPERLINK("https://klasma.github.io/Logging_2482/klagomål/A 8082-2024 FSC-klagomål.docx", "A 8082-2024")</f>
        <v/>
      </c>
      <c r="W243">
        <f>HYPERLINK("https://klasma.github.io/Logging_2482/klagomålsmail/A 8082-2024 FSC-klagomål mail.docx", "A 8082-2024")</f>
        <v/>
      </c>
      <c r="X243">
        <f>HYPERLINK("https://klasma.github.io/Logging_2482/tillsyn/A 8082-2024 tillsynsbegäran.docx", "A 8082-2024")</f>
        <v/>
      </c>
      <c r="Y243">
        <f>HYPERLINK("https://klasma.github.io/Logging_2482/tillsynsmail/A 8082-2024 tillsynsbegäran mail.docx", "A 8082-2024")</f>
        <v/>
      </c>
    </row>
    <row r="244" ht="15" customHeight="1">
      <c r="A244" t="inlineStr">
        <is>
          <t>A 11533-2024</t>
        </is>
      </c>
      <c r="B244" s="1" t="n">
        <v>45372</v>
      </c>
      <c r="C244" s="1" t="n">
        <v>45807</v>
      </c>
      <c r="D244" t="inlineStr">
        <is>
          <t>VÄSTERBOTTENS LÄN</t>
        </is>
      </c>
      <c r="E244" t="inlineStr">
        <is>
          <t>SKELLEFTEÅ</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HYPERLINK("https://klasma.github.io/Logging_2482/artfynd/A 11533-2024 artfynd.xlsx", "A 11533-2024")</f>
        <v/>
      </c>
      <c r="T244">
        <f>HYPERLINK("https://klasma.github.io/Logging_2482/kartor/A 11533-2024 karta.png", "A 11533-2024")</f>
        <v/>
      </c>
      <c r="V244">
        <f>HYPERLINK("https://klasma.github.io/Logging_2482/klagomål/A 11533-2024 FSC-klagomål.docx", "A 11533-2024")</f>
        <v/>
      </c>
      <c r="W244">
        <f>HYPERLINK("https://klasma.github.io/Logging_2482/klagomålsmail/A 11533-2024 FSC-klagomål mail.docx", "A 11533-2024")</f>
        <v/>
      </c>
      <c r="X244">
        <f>HYPERLINK("https://klasma.github.io/Logging_2482/tillsyn/A 11533-2024 tillsynsbegäran.docx", "A 11533-2024")</f>
        <v/>
      </c>
      <c r="Y244">
        <f>HYPERLINK("https://klasma.github.io/Logging_2482/tillsynsmail/A 11533-2024 tillsynsbegäran mail.docx", "A 11533-2024")</f>
        <v/>
      </c>
    </row>
    <row r="245" ht="15" customHeight="1">
      <c r="A245" t="inlineStr">
        <is>
          <t>A 14439-2024</t>
        </is>
      </c>
      <c r="B245" s="1" t="n">
        <v>45394</v>
      </c>
      <c r="C245" s="1" t="n">
        <v>45807</v>
      </c>
      <c r="D245" t="inlineStr">
        <is>
          <t>VÄSTERBOTTENS LÄN</t>
        </is>
      </c>
      <c r="E245" t="inlineStr">
        <is>
          <t>SKELLEFTEÅ</t>
        </is>
      </c>
      <c r="G245" t="n">
        <v>9.199999999999999</v>
      </c>
      <c r="H245" t="n">
        <v>0</v>
      </c>
      <c r="I245" t="n">
        <v>0</v>
      </c>
      <c r="J245" t="n">
        <v>1</v>
      </c>
      <c r="K245" t="n">
        <v>0</v>
      </c>
      <c r="L245" t="n">
        <v>0</v>
      </c>
      <c r="M245" t="n">
        <v>0</v>
      </c>
      <c r="N245" t="n">
        <v>0</v>
      </c>
      <c r="O245" t="n">
        <v>1</v>
      </c>
      <c r="P245" t="n">
        <v>0</v>
      </c>
      <c r="Q245" t="n">
        <v>1</v>
      </c>
      <c r="R245" s="2" t="inlineStr">
        <is>
          <t>Garnlav</t>
        </is>
      </c>
      <c r="S245">
        <f>HYPERLINK("https://klasma.github.io/Logging_2482/artfynd/A 14439-2024 artfynd.xlsx", "A 14439-2024")</f>
        <v/>
      </c>
      <c r="T245">
        <f>HYPERLINK("https://klasma.github.io/Logging_2482/kartor/A 14439-2024 karta.png", "A 14439-2024")</f>
        <v/>
      </c>
      <c r="V245">
        <f>HYPERLINK("https://klasma.github.io/Logging_2482/klagomål/A 14439-2024 FSC-klagomål.docx", "A 14439-2024")</f>
        <v/>
      </c>
      <c r="W245">
        <f>HYPERLINK("https://klasma.github.io/Logging_2482/klagomålsmail/A 14439-2024 FSC-klagomål mail.docx", "A 14439-2024")</f>
        <v/>
      </c>
      <c r="X245">
        <f>HYPERLINK("https://klasma.github.io/Logging_2482/tillsyn/A 14439-2024 tillsynsbegäran.docx", "A 14439-2024")</f>
        <v/>
      </c>
      <c r="Y245">
        <f>HYPERLINK("https://klasma.github.io/Logging_2482/tillsynsmail/A 14439-2024 tillsynsbegäran mail.docx", "A 14439-2024")</f>
        <v/>
      </c>
    </row>
    <row r="246" ht="15" customHeight="1">
      <c r="A246" t="inlineStr">
        <is>
          <t>A 15134-2024</t>
        </is>
      </c>
      <c r="B246" s="1" t="n">
        <v>45399</v>
      </c>
      <c r="C246" s="1" t="n">
        <v>45807</v>
      </c>
      <c r="D246" t="inlineStr">
        <is>
          <t>VÄSTERBOTTENS LÄN</t>
        </is>
      </c>
      <c r="E246" t="inlineStr">
        <is>
          <t>SKELLEFTEÅ</t>
        </is>
      </c>
      <c r="G246" t="n">
        <v>11.1</v>
      </c>
      <c r="H246" t="n">
        <v>0</v>
      </c>
      <c r="I246" t="n">
        <v>0</v>
      </c>
      <c r="J246" t="n">
        <v>1</v>
      </c>
      <c r="K246" t="n">
        <v>0</v>
      </c>
      <c r="L246" t="n">
        <v>0</v>
      </c>
      <c r="M246" t="n">
        <v>0</v>
      </c>
      <c r="N246" t="n">
        <v>0</v>
      </c>
      <c r="O246" t="n">
        <v>1</v>
      </c>
      <c r="P246" t="n">
        <v>0</v>
      </c>
      <c r="Q246" t="n">
        <v>1</v>
      </c>
      <c r="R246" s="2" t="inlineStr">
        <is>
          <t>Granticka</t>
        </is>
      </c>
      <c r="S246">
        <f>HYPERLINK("https://klasma.github.io/Logging_2482/artfynd/A 15134-2024 artfynd.xlsx", "A 15134-2024")</f>
        <v/>
      </c>
      <c r="T246">
        <f>HYPERLINK("https://klasma.github.io/Logging_2482/kartor/A 15134-2024 karta.png", "A 15134-2024")</f>
        <v/>
      </c>
      <c r="V246">
        <f>HYPERLINK("https://klasma.github.io/Logging_2482/klagomål/A 15134-2024 FSC-klagomål.docx", "A 15134-2024")</f>
        <v/>
      </c>
      <c r="W246">
        <f>HYPERLINK("https://klasma.github.io/Logging_2482/klagomålsmail/A 15134-2024 FSC-klagomål mail.docx", "A 15134-2024")</f>
        <v/>
      </c>
      <c r="X246">
        <f>HYPERLINK("https://klasma.github.io/Logging_2482/tillsyn/A 15134-2024 tillsynsbegäran.docx", "A 15134-2024")</f>
        <v/>
      </c>
      <c r="Y246">
        <f>HYPERLINK("https://klasma.github.io/Logging_2482/tillsynsmail/A 15134-2024 tillsynsbegäran mail.docx", "A 15134-2024")</f>
        <v/>
      </c>
    </row>
    <row r="247" ht="15" customHeight="1">
      <c r="A247" t="inlineStr">
        <is>
          <t>A 20311-2024</t>
        </is>
      </c>
      <c r="B247" s="1" t="n">
        <v>45435</v>
      </c>
      <c r="C247" s="1" t="n">
        <v>45807</v>
      </c>
      <c r="D247" t="inlineStr">
        <is>
          <t>VÄSTERBOTTENS LÄN</t>
        </is>
      </c>
      <c r="E247" t="inlineStr">
        <is>
          <t>SKELLEFTEÅ</t>
        </is>
      </c>
      <c r="G247" t="n">
        <v>17.3</v>
      </c>
      <c r="H247" t="n">
        <v>0</v>
      </c>
      <c r="I247" t="n">
        <v>1</v>
      </c>
      <c r="J247" t="n">
        <v>0</v>
      </c>
      <c r="K247" t="n">
        <v>0</v>
      </c>
      <c r="L247" t="n">
        <v>0</v>
      </c>
      <c r="M247" t="n">
        <v>0</v>
      </c>
      <c r="N247" t="n">
        <v>0</v>
      </c>
      <c r="O247" t="n">
        <v>0</v>
      </c>
      <c r="P247" t="n">
        <v>0</v>
      </c>
      <c r="Q247" t="n">
        <v>1</v>
      </c>
      <c r="R247" s="2" t="inlineStr">
        <is>
          <t>Sotriska</t>
        </is>
      </c>
      <c r="S247">
        <f>HYPERLINK("https://klasma.github.io/Logging_2482/artfynd/A 20311-2024 artfynd.xlsx", "A 20311-2024")</f>
        <v/>
      </c>
      <c r="T247">
        <f>HYPERLINK("https://klasma.github.io/Logging_2482/kartor/A 20311-2024 karta.png", "A 20311-2024")</f>
        <v/>
      </c>
      <c r="V247">
        <f>HYPERLINK("https://klasma.github.io/Logging_2482/klagomål/A 20311-2024 FSC-klagomål.docx", "A 20311-2024")</f>
        <v/>
      </c>
      <c r="W247">
        <f>HYPERLINK("https://klasma.github.io/Logging_2482/klagomålsmail/A 20311-2024 FSC-klagomål mail.docx", "A 20311-2024")</f>
        <v/>
      </c>
      <c r="X247">
        <f>HYPERLINK("https://klasma.github.io/Logging_2482/tillsyn/A 20311-2024 tillsynsbegäran.docx", "A 20311-2024")</f>
        <v/>
      </c>
      <c r="Y247">
        <f>HYPERLINK("https://klasma.github.io/Logging_2482/tillsynsmail/A 20311-2024 tillsynsbegäran mail.docx", "A 20311-2024")</f>
        <v/>
      </c>
    </row>
    <row r="248" ht="15" customHeight="1">
      <c r="A248" t="inlineStr">
        <is>
          <t>A 23512-2024</t>
        </is>
      </c>
      <c r="B248" s="1" t="n">
        <v>45453</v>
      </c>
      <c r="C248" s="1" t="n">
        <v>45807</v>
      </c>
      <c r="D248" t="inlineStr">
        <is>
          <t>VÄSTERBOTTENS LÄN</t>
        </is>
      </c>
      <c r="E248" t="inlineStr">
        <is>
          <t>SKELLEFTEÅ</t>
        </is>
      </c>
      <c r="F248" t="inlineStr">
        <is>
          <t>Sveaskog</t>
        </is>
      </c>
      <c r="G248" t="n">
        <v>14.9</v>
      </c>
      <c r="H248" t="n">
        <v>1</v>
      </c>
      <c r="I248" t="n">
        <v>0</v>
      </c>
      <c r="J248" t="n">
        <v>0</v>
      </c>
      <c r="K248" t="n">
        <v>0</v>
      </c>
      <c r="L248" t="n">
        <v>0</v>
      </c>
      <c r="M248" t="n">
        <v>0</v>
      </c>
      <c r="N248" t="n">
        <v>0</v>
      </c>
      <c r="O248" t="n">
        <v>0</v>
      </c>
      <c r="P248" t="n">
        <v>0</v>
      </c>
      <c r="Q248" t="n">
        <v>1</v>
      </c>
      <c r="R248" s="2" t="inlineStr">
        <is>
          <t>Fläcknycklar</t>
        </is>
      </c>
      <c r="S248">
        <f>HYPERLINK("https://klasma.github.io/Logging_2482/artfynd/A 23512-2024 artfynd.xlsx", "A 23512-2024")</f>
        <v/>
      </c>
      <c r="T248">
        <f>HYPERLINK("https://klasma.github.io/Logging_2482/kartor/A 23512-2024 karta.png", "A 23512-2024")</f>
        <v/>
      </c>
      <c r="V248">
        <f>HYPERLINK("https://klasma.github.io/Logging_2482/klagomål/A 23512-2024 FSC-klagomål.docx", "A 23512-2024")</f>
        <v/>
      </c>
      <c r="W248">
        <f>HYPERLINK("https://klasma.github.io/Logging_2482/klagomålsmail/A 23512-2024 FSC-klagomål mail.docx", "A 23512-2024")</f>
        <v/>
      </c>
      <c r="X248">
        <f>HYPERLINK("https://klasma.github.io/Logging_2482/tillsyn/A 23512-2024 tillsynsbegäran.docx", "A 23512-2024")</f>
        <v/>
      </c>
      <c r="Y248">
        <f>HYPERLINK("https://klasma.github.io/Logging_2482/tillsynsmail/A 23512-2024 tillsynsbegäran mail.docx", "A 23512-2024")</f>
        <v/>
      </c>
    </row>
    <row r="249" ht="15" customHeight="1">
      <c r="A249" t="inlineStr">
        <is>
          <t>A 23721-2024</t>
        </is>
      </c>
      <c r="B249" s="1" t="n">
        <v>45454</v>
      </c>
      <c r="C249" s="1" t="n">
        <v>45807</v>
      </c>
      <c r="D249" t="inlineStr">
        <is>
          <t>VÄSTERBOTTENS LÄN</t>
        </is>
      </c>
      <c r="E249" t="inlineStr">
        <is>
          <t>SKELLEFTEÅ</t>
        </is>
      </c>
      <c r="G249" t="n">
        <v>14.8</v>
      </c>
      <c r="H249" t="n">
        <v>0</v>
      </c>
      <c r="I249" t="n">
        <v>0</v>
      </c>
      <c r="J249" t="n">
        <v>1</v>
      </c>
      <c r="K249" t="n">
        <v>0</v>
      </c>
      <c r="L249" t="n">
        <v>0</v>
      </c>
      <c r="M249" t="n">
        <v>0</v>
      </c>
      <c r="N249" t="n">
        <v>0</v>
      </c>
      <c r="O249" t="n">
        <v>1</v>
      </c>
      <c r="P249" t="n">
        <v>0</v>
      </c>
      <c r="Q249" t="n">
        <v>1</v>
      </c>
      <c r="R249" s="2" t="inlineStr">
        <is>
          <t>Orange taggsvamp</t>
        </is>
      </c>
      <c r="S249">
        <f>HYPERLINK("https://klasma.github.io/Logging_2482/artfynd/A 23721-2024 artfynd.xlsx", "A 23721-2024")</f>
        <v/>
      </c>
      <c r="T249">
        <f>HYPERLINK("https://klasma.github.io/Logging_2482/kartor/A 23721-2024 karta.png", "A 23721-2024")</f>
        <v/>
      </c>
      <c r="V249">
        <f>HYPERLINK("https://klasma.github.io/Logging_2482/klagomål/A 23721-2024 FSC-klagomål.docx", "A 23721-2024")</f>
        <v/>
      </c>
      <c r="W249">
        <f>HYPERLINK("https://klasma.github.io/Logging_2482/klagomålsmail/A 23721-2024 FSC-klagomål mail.docx", "A 23721-2024")</f>
        <v/>
      </c>
      <c r="X249">
        <f>HYPERLINK("https://klasma.github.io/Logging_2482/tillsyn/A 23721-2024 tillsynsbegäran.docx", "A 23721-2024")</f>
        <v/>
      </c>
      <c r="Y249">
        <f>HYPERLINK("https://klasma.github.io/Logging_2482/tillsynsmail/A 23721-2024 tillsynsbegäran mail.docx", "A 23721-2024")</f>
        <v/>
      </c>
    </row>
    <row r="250" ht="15" customHeight="1">
      <c r="A250" t="inlineStr">
        <is>
          <t>A 30528-2024</t>
        </is>
      </c>
      <c r="B250" s="1" t="n">
        <v>45492</v>
      </c>
      <c r="C250" s="1" t="n">
        <v>45807</v>
      </c>
      <c r="D250" t="inlineStr">
        <is>
          <t>VÄSTERBOTTENS LÄN</t>
        </is>
      </c>
      <c r="E250" t="inlineStr">
        <is>
          <t>SKELLEFTEÅ</t>
        </is>
      </c>
      <c r="F250" t="inlineStr">
        <is>
          <t>Holmen skog AB</t>
        </is>
      </c>
      <c r="G250" t="n">
        <v>9</v>
      </c>
      <c r="H250" t="n">
        <v>0</v>
      </c>
      <c r="I250" t="n">
        <v>0</v>
      </c>
      <c r="J250" t="n">
        <v>1</v>
      </c>
      <c r="K250" t="n">
        <v>0</v>
      </c>
      <c r="L250" t="n">
        <v>0</v>
      </c>
      <c r="M250" t="n">
        <v>0</v>
      </c>
      <c r="N250" t="n">
        <v>0</v>
      </c>
      <c r="O250" t="n">
        <v>1</v>
      </c>
      <c r="P250" t="n">
        <v>0</v>
      </c>
      <c r="Q250" t="n">
        <v>1</v>
      </c>
      <c r="R250" s="2" t="inlineStr">
        <is>
          <t>Lunglav</t>
        </is>
      </c>
      <c r="S250">
        <f>HYPERLINK("https://klasma.github.io/Logging_2482/artfynd/A 30528-2024 artfynd.xlsx", "A 30528-2024")</f>
        <v/>
      </c>
      <c r="T250">
        <f>HYPERLINK("https://klasma.github.io/Logging_2482/kartor/A 30528-2024 karta.png", "A 30528-2024")</f>
        <v/>
      </c>
      <c r="V250">
        <f>HYPERLINK("https://klasma.github.io/Logging_2482/klagomål/A 30528-2024 FSC-klagomål.docx", "A 30528-2024")</f>
        <v/>
      </c>
      <c r="W250">
        <f>HYPERLINK("https://klasma.github.io/Logging_2482/klagomålsmail/A 30528-2024 FSC-klagomål mail.docx", "A 30528-2024")</f>
        <v/>
      </c>
      <c r="X250">
        <f>HYPERLINK("https://klasma.github.io/Logging_2482/tillsyn/A 30528-2024 tillsynsbegäran.docx", "A 30528-2024")</f>
        <v/>
      </c>
      <c r="Y250">
        <f>HYPERLINK("https://klasma.github.io/Logging_2482/tillsynsmail/A 30528-2024 tillsynsbegäran mail.docx", "A 30528-2024")</f>
        <v/>
      </c>
    </row>
    <row r="251" ht="15" customHeight="1">
      <c r="A251" t="inlineStr">
        <is>
          <t>A 31156-2024</t>
        </is>
      </c>
      <c r="B251" s="1" t="n">
        <v>45503</v>
      </c>
      <c r="C251" s="1" t="n">
        <v>45807</v>
      </c>
      <c r="D251" t="inlineStr">
        <is>
          <t>VÄSTERBOTTENS LÄN</t>
        </is>
      </c>
      <c r="E251" t="inlineStr">
        <is>
          <t>SKELLEFTEÅ</t>
        </is>
      </c>
      <c r="F251" t="inlineStr">
        <is>
          <t>Holmen skog AB</t>
        </is>
      </c>
      <c r="G251" t="n">
        <v>7.2</v>
      </c>
      <c r="H251" t="n">
        <v>0</v>
      </c>
      <c r="I251" t="n">
        <v>0</v>
      </c>
      <c r="J251" t="n">
        <v>1</v>
      </c>
      <c r="K251" t="n">
        <v>0</v>
      </c>
      <c r="L251" t="n">
        <v>0</v>
      </c>
      <c r="M251" t="n">
        <v>0</v>
      </c>
      <c r="N251" t="n">
        <v>0</v>
      </c>
      <c r="O251" t="n">
        <v>1</v>
      </c>
      <c r="P251" t="n">
        <v>0</v>
      </c>
      <c r="Q251" t="n">
        <v>1</v>
      </c>
      <c r="R251" s="2" t="inlineStr">
        <is>
          <t>Violettgrå tagellav</t>
        </is>
      </c>
      <c r="S251">
        <f>HYPERLINK("https://klasma.github.io/Logging_2482/artfynd/A 31156-2024 artfynd.xlsx", "A 31156-2024")</f>
        <v/>
      </c>
      <c r="T251">
        <f>HYPERLINK("https://klasma.github.io/Logging_2482/kartor/A 31156-2024 karta.png", "A 31156-2024")</f>
        <v/>
      </c>
      <c r="V251">
        <f>HYPERLINK("https://klasma.github.io/Logging_2482/klagomål/A 31156-2024 FSC-klagomål.docx", "A 31156-2024")</f>
        <v/>
      </c>
      <c r="W251">
        <f>HYPERLINK("https://klasma.github.io/Logging_2482/klagomålsmail/A 31156-2024 FSC-klagomål mail.docx", "A 31156-2024")</f>
        <v/>
      </c>
      <c r="X251">
        <f>HYPERLINK("https://klasma.github.io/Logging_2482/tillsyn/A 31156-2024 tillsynsbegäran.docx", "A 31156-2024")</f>
        <v/>
      </c>
      <c r="Y251">
        <f>HYPERLINK("https://klasma.github.io/Logging_2482/tillsynsmail/A 31156-2024 tillsynsbegäran mail.docx", "A 31156-2024")</f>
        <v/>
      </c>
    </row>
    <row r="252" ht="15" customHeight="1">
      <c r="A252" t="inlineStr">
        <is>
          <t>A 32724-2024</t>
        </is>
      </c>
      <c r="B252" s="1" t="n">
        <v>45516</v>
      </c>
      <c r="C252" s="1" t="n">
        <v>45807</v>
      </c>
      <c r="D252" t="inlineStr">
        <is>
          <t>VÄSTERBOTTENS LÄN</t>
        </is>
      </c>
      <c r="E252" t="inlineStr">
        <is>
          <t>SKELLEFTEÅ</t>
        </is>
      </c>
      <c r="F252" t="inlineStr">
        <is>
          <t>Holmen skog AB</t>
        </is>
      </c>
      <c r="G252" t="n">
        <v>4.4</v>
      </c>
      <c r="H252" t="n">
        <v>0</v>
      </c>
      <c r="I252" t="n">
        <v>0</v>
      </c>
      <c r="J252" t="n">
        <v>1</v>
      </c>
      <c r="K252" t="n">
        <v>0</v>
      </c>
      <c r="L252" t="n">
        <v>0</v>
      </c>
      <c r="M252" t="n">
        <v>0</v>
      </c>
      <c r="N252" t="n">
        <v>0</v>
      </c>
      <c r="O252" t="n">
        <v>1</v>
      </c>
      <c r="P252" t="n">
        <v>0</v>
      </c>
      <c r="Q252" t="n">
        <v>1</v>
      </c>
      <c r="R252" s="2" t="inlineStr">
        <is>
          <t>Lunglav</t>
        </is>
      </c>
      <c r="S252">
        <f>HYPERLINK("https://klasma.github.io/Logging_2482/artfynd/A 32724-2024 artfynd.xlsx", "A 32724-2024")</f>
        <v/>
      </c>
      <c r="T252">
        <f>HYPERLINK("https://klasma.github.io/Logging_2482/kartor/A 32724-2024 karta.png", "A 32724-2024")</f>
        <v/>
      </c>
      <c r="V252">
        <f>HYPERLINK("https://klasma.github.io/Logging_2482/klagomål/A 32724-2024 FSC-klagomål.docx", "A 32724-2024")</f>
        <v/>
      </c>
      <c r="W252">
        <f>HYPERLINK("https://klasma.github.io/Logging_2482/klagomålsmail/A 32724-2024 FSC-klagomål mail.docx", "A 32724-2024")</f>
        <v/>
      </c>
      <c r="X252">
        <f>HYPERLINK("https://klasma.github.io/Logging_2482/tillsyn/A 32724-2024 tillsynsbegäran.docx", "A 32724-2024")</f>
        <v/>
      </c>
      <c r="Y252">
        <f>HYPERLINK("https://klasma.github.io/Logging_2482/tillsynsmail/A 32724-2024 tillsynsbegäran mail.docx", "A 32724-2024")</f>
        <v/>
      </c>
    </row>
    <row r="253" ht="15" customHeight="1">
      <c r="A253" t="inlineStr">
        <is>
          <t>A 33402-2024</t>
        </is>
      </c>
      <c r="B253" s="1" t="n">
        <v>45519</v>
      </c>
      <c r="C253" s="1" t="n">
        <v>45807</v>
      </c>
      <c r="D253" t="inlineStr">
        <is>
          <t>VÄSTERBOTTENS LÄN</t>
        </is>
      </c>
      <c r="E253" t="inlineStr">
        <is>
          <t>SKELLEFTEÅ</t>
        </is>
      </c>
      <c r="G253" t="n">
        <v>6.3</v>
      </c>
      <c r="H253" t="n">
        <v>0</v>
      </c>
      <c r="I253" t="n">
        <v>0</v>
      </c>
      <c r="J253" t="n">
        <v>1</v>
      </c>
      <c r="K253" t="n">
        <v>0</v>
      </c>
      <c r="L253" t="n">
        <v>0</v>
      </c>
      <c r="M253" t="n">
        <v>0</v>
      </c>
      <c r="N253" t="n">
        <v>0</v>
      </c>
      <c r="O253" t="n">
        <v>1</v>
      </c>
      <c r="P253" t="n">
        <v>0</v>
      </c>
      <c r="Q253" t="n">
        <v>1</v>
      </c>
      <c r="R253" s="2" t="inlineStr">
        <is>
          <t>Gammelgransskål</t>
        </is>
      </c>
      <c r="S253">
        <f>HYPERLINK("https://klasma.github.io/Logging_2482/artfynd/A 33402-2024 artfynd.xlsx", "A 33402-2024")</f>
        <v/>
      </c>
      <c r="T253">
        <f>HYPERLINK("https://klasma.github.io/Logging_2482/kartor/A 33402-2024 karta.png", "A 33402-2024")</f>
        <v/>
      </c>
      <c r="V253">
        <f>HYPERLINK("https://klasma.github.io/Logging_2482/klagomål/A 33402-2024 FSC-klagomål.docx", "A 33402-2024")</f>
        <v/>
      </c>
      <c r="W253">
        <f>HYPERLINK("https://klasma.github.io/Logging_2482/klagomålsmail/A 33402-2024 FSC-klagomål mail.docx", "A 33402-2024")</f>
        <v/>
      </c>
      <c r="X253">
        <f>HYPERLINK("https://klasma.github.io/Logging_2482/tillsyn/A 33402-2024 tillsynsbegäran.docx", "A 33402-2024")</f>
        <v/>
      </c>
      <c r="Y253">
        <f>HYPERLINK("https://klasma.github.io/Logging_2482/tillsynsmail/A 33402-2024 tillsynsbegäran mail.docx", "A 33402-2024")</f>
        <v/>
      </c>
    </row>
    <row r="254" ht="15" customHeight="1">
      <c r="A254" t="inlineStr">
        <is>
          <t>A 44980-2024</t>
        </is>
      </c>
      <c r="B254" s="1" t="n">
        <v>45575</v>
      </c>
      <c r="C254" s="1" t="n">
        <v>45807</v>
      </c>
      <c r="D254" t="inlineStr">
        <is>
          <t>VÄSTERBOTTENS LÄN</t>
        </is>
      </c>
      <c r="E254" t="inlineStr">
        <is>
          <t>SKELLEFTEÅ</t>
        </is>
      </c>
      <c r="G254" t="n">
        <v>7.7</v>
      </c>
      <c r="H254" t="n">
        <v>1</v>
      </c>
      <c r="I254" t="n">
        <v>0</v>
      </c>
      <c r="J254" t="n">
        <v>0</v>
      </c>
      <c r="K254" t="n">
        <v>1</v>
      </c>
      <c r="L254" t="n">
        <v>0</v>
      </c>
      <c r="M254" t="n">
        <v>0</v>
      </c>
      <c r="N254" t="n">
        <v>0</v>
      </c>
      <c r="O254" t="n">
        <v>1</v>
      </c>
      <c r="P254" t="n">
        <v>1</v>
      </c>
      <c r="Q254" t="n">
        <v>1</v>
      </c>
      <c r="R254" s="2" t="inlineStr">
        <is>
          <t>Knärot</t>
        </is>
      </c>
      <c r="S254">
        <f>HYPERLINK("https://klasma.github.io/Logging_2482/artfynd/A 44980-2024 artfynd.xlsx", "A 44980-2024")</f>
        <v/>
      </c>
      <c r="T254">
        <f>HYPERLINK("https://klasma.github.io/Logging_2482/kartor/A 44980-2024 karta.png", "A 44980-2024")</f>
        <v/>
      </c>
      <c r="U254">
        <f>HYPERLINK("https://klasma.github.io/Logging_2482/knärot/A 44980-2024 karta knärot.png", "A 44980-2024")</f>
        <v/>
      </c>
      <c r="V254">
        <f>HYPERLINK("https://klasma.github.io/Logging_2482/klagomål/A 44980-2024 FSC-klagomål.docx", "A 44980-2024")</f>
        <v/>
      </c>
      <c r="W254">
        <f>HYPERLINK("https://klasma.github.io/Logging_2482/klagomålsmail/A 44980-2024 FSC-klagomål mail.docx", "A 44980-2024")</f>
        <v/>
      </c>
      <c r="X254">
        <f>HYPERLINK("https://klasma.github.io/Logging_2482/tillsyn/A 44980-2024 tillsynsbegäran.docx", "A 44980-2024")</f>
        <v/>
      </c>
      <c r="Y254">
        <f>HYPERLINK("https://klasma.github.io/Logging_2482/tillsynsmail/A 44980-2024 tillsynsbegäran mail.docx", "A 44980-2024")</f>
        <v/>
      </c>
    </row>
    <row r="255" ht="15" customHeight="1">
      <c r="A255" t="inlineStr">
        <is>
          <t>A 45376-2024</t>
        </is>
      </c>
      <c r="B255" s="1" t="n">
        <v>45576</v>
      </c>
      <c r="C255" s="1" t="n">
        <v>45807</v>
      </c>
      <c r="D255" t="inlineStr">
        <is>
          <t>VÄSTERBOTTENS LÄN</t>
        </is>
      </c>
      <c r="E255" t="inlineStr">
        <is>
          <t>SKELLEFTEÅ</t>
        </is>
      </c>
      <c r="G255" t="n">
        <v>1.2</v>
      </c>
      <c r="H255" t="n">
        <v>1</v>
      </c>
      <c r="I255" t="n">
        <v>0</v>
      </c>
      <c r="J255" t="n">
        <v>0</v>
      </c>
      <c r="K255" t="n">
        <v>0</v>
      </c>
      <c r="L255" t="n">
        <v>0</v>
      </c>
      <c r="M255" t="n">
        <v>0</v>
      </c>
      <c r="N255" t="n">
        <v>0</v>
      </c>
      <c r="O255" t="n">
        <v>0</v>
      </c>
      <c r="P255" t="n">
        <v>0</v>
      </c>
      <c r="Q255" t="n">
        <v>1</v>
      </c>
      <c r="R255" s="2" t="inlineStr">
        <is>
          <t>Fläcknycklar</t>
        </is>
      </c>
      <c r="S255">
        <f>HYPERLINK("https://klasma.github.io/Logging_2482/artfynd/A 45376-2024 artfynd.xlsx", "A 45376-2024")</f>
        <v/>
      </c>
      <c r="T255">
        <f>HYPERLINK("https://klasma.github.io/Logging_2482/kartor/A 45376-2024 karta.png", "A 45376-2024")</f>
        <v/>
      </c>
      <c r="V255">
        <f>HYPERLINK("https://klasma.github.io/Logging_2482/klagomål/A 45376-2024 FSC-klagomål.docx", "A 45376-2024")</f>
        <v/>
      </c>
      <c r="W255">
        <f>HYPERLINK("https://klasma.github.io/Logging_2482/klagomålsmail/A 45376-2024 FSC-klagomål mail.docx", "A 45376-2024")</f>
        <v/>
      </c>
      <c r="X255">
        <f>HYPERLINK("https://klasma.github.io/Logging_2482/tillsyn/A 45376-2024 tillsynsbegäran.docx", "A 45376-2024")</f>
        <v/>
      </c>
      <c r="Y255">
        <f>HYPERLINK("https://klasma.github.io/Logging_2482/tillsynsmail/A 45376-2024 tillsynsbegäran mail.docx", "A 45376-2024")</f>
        <v/>
      </c>
    </row>
    <row r="256" ht="15" customHeight="1">
      <c r="A256" t="inlineStr">
        <is>
          <t>A 47379-2024</t>
        </is>
      </c>
      <c r="B256" s="1" t="n">
        <v>45587</v>
      </c>
      <c r="C256" s="1" t="n">
        <v>45807</v>
      </c>
      <c r="D256" t="inlineStr">
        <is>
          <t>VÄSTERBOTTENS LÄN</t>
        </is>
      </c>
      <c r="E256" t="inlineStr">
        <is>
          <t>SKELLEFTEÅ</t>
        </is>
      </c>
      <c r="G256" t="n">
        <v>6.8</v>
      </c>
      <c r="H256" t="n">
        <v>1</v>
      </c>
      <c r="I256" t="n">
        <v>0</v>
      </c>
      <c r="J256" t="n">
        <v>0</v>
      </c>
      <c r="K256" t="n">
        <v>0</v>
      </c>
      <c r="L256" t="n">
        <v>0</v>
      </c>
      <c r="M256" t="n">
        <v>0</v>
      </c>
      <c r="N256" t="n">
        <v>0</v>
      </c>
      <c r="O256" t="n">
        <v>0</v>
      </c>
      <c r="P256" t="n">
        <v>0</v>
      </c>
      <c r="Q256" t="n">
        <v>1</v>
      </c>
      <c r="R256" s="2" t="inlineStr">
        <is>
          <t>Fläcknycklar</t>
        </is>
      </c>
      <c r="S256">
        <f>HYPERLINK("https://klasma.github.io/Logging_2482/artfynd/A 47379-2024 artfynd.xlsx", "A 47379-2024")</f>
        <v/>
      </c>
      <c r="T256">
        <f>HYPERLINK("https://klasma.github.io/Logging_2482/kartor/A 47379-2024 karta.png", "A 47379-2024")</f>
        <v/>
      </c>
      <c r="V256">
        <f>HYPERLINK("https://klasma.github.io/Logging_2482/klagomål/A 47379-2024 FSC-klagomål.docx", "A 47379-2024")</f>
        <v/>
      </c>
      <c r="W256">
        <f>HYPERLINK("https://klasma.github.io/Logging_2482/klagomålsmail/A 47379-2024 FSC-klagomål mail.docx", "A 47379-2024")</f>
        <v/>
      </c>
      <c r="X256">
        <f>HYPERLINK("https://klasma.github.io/Logging_2482/tillsyn/A 47379-2024 tillsynsbegäran.docx", "A 47379-2024")</f>
        <v/>
      </c>
      <c r="Y256">
        <f>HYPERLINK("https://klasma.github.io/Logging_2482/tillsynsmail/A 47379-2024 tillsynsbegäran mail.docx", "A 47379-2024")</f>
        <v/>
      </c>
    </row>
    <row r="257" ht="15" customHeight="1">
      <c r="A257" t="inlineStr">
        <is>
          <t>A 50662-2024</t>
        </is>
      </c>
      <c r="B257" s="1" t="n">
        <v>45601</v>
      </c>
      <c r="C257" s="1" t="n">
        <v>45807</v>
      </c>
      <c r="D257" t="inlineStr">
        <is>
          <t>VÄSTERBOTTENS LÄN</t>
        </is>
      </c>
      <c r="E257" t="inlineStr">
        <is>
          <t>SKELLEFTEÅ</t>
        </is>
      </c>
      <c r="F257" t="inlineStr">
        <is>
          <t>Sveaskog</t>
        </is>
      </c>
      <c r="G257" t="n">
        <v>8.300000000000001</v>
      </c>
      <c r="H257" t="n">
        <v>1</v>
      </c>
      <c r="I257" t="n">
        <v>0</v>
      </c>
      <c r="J257" t="n">
        <v>1</v>
      </c>
      <c r="K257" t="n">
        <v>0</v>
      </c>
      <c r="L257" t="n">
        <v>0</v>
      </c>
      <c r="M257" t="n">
        <v>0</v>
      </c>
      <c r="N257" t="n">
        <v>0</v>
      </c>
      <c r="O257" t="n">
        <v>1</v>
      </c>
      <c r="P257" t="n">
        <v>0</v>
      </c>
      <c r="Q257" t="n">
        <v>1</v>
      </c>
      <c r="R257" s="2" t="inlineStr">
        <is>
          <t>Nordfladdermus</t>
        </is>
      </c>
      <c r="S257">
        <f>HYPERLINK("https://klasma.github.io/Logging_2482/artfynd/A 50662-2024 artfynd.xlsx", "A 50662-2024")</f>
        <v/>
      </c>
      <c r="T257">
        <f>HYPERLINK("https://klasma.github.io/Logging_2482/kartor/A 50662-2024 karta.png", "A 50662-2024")</f>
        <v/>
      </c>
      <c r="V257">
        <f>HYPERLINK("https://klasma.github.io/Logging_2482/klagomål/A 50662-2024 FSC-klagomål.docx", "A 50662-2024")</f>
        <v/>
      </c>
      <c r="W257">
        <f>HYPERLINK("https://klasma.github.io/Logging_2482/klagomålsmail/A 50662-2024 FSC-klagomål mail.docx", "A 50662-2024")</f>
        <v/>
      </c>
      <c r="X257">
        <f>HYPERLINK("https://klasma.github.io/Logging_2482/tillsyn/A 50662-2024 tillsynsbegäran.docx", "A 50662-2024")</f>
        <v/>
      </c>
      <c r="Y257">
        <f>HYPERLINK("https://klasma.github.io/Logging_2482/tillsynsmail/A 50662-2024 tillsynsbegäran mail.docx", "A 50662-2024")</f>
        <v/>
      </c>
    </row>
    <row r="258" ht="15" customHeight="1">
      <c r="A258" t="inlineStr">
        <is>
          <t>A 50658-2024</t>
        </is>
      </c>
      <c r="B258" s="1" t="n">
        <v>45601</v>
      </c>
      <c r="C258" s="1" t="n">
        <v>45807</v>
      </c>
      <c r="D258" t="inlineStr">
        <is>
          <t>VÄSTERBOTTENS LÄN</t>
        </is>
      </c>
      <c r="E258" t="inlineStr">
        <is>
          <t>SKELLEFTEÅ</t>
        </is>
      </c>
      <c r="G258" t="n">
        <v>9.699999999999999</v>
      </c>
      <c r="H258" t="n">
        <v>1</v>
      </c>
      <c r="I258" t="n">
        <v>0</v>
      </c>
      <c r="J258" t="n">
        <v>1</v>
      </c>
      <c r="K258" t="n">
        <v>0</v>
      </c>
      <c r="L258" t="n">
        <v>0</v>
      </c>
      <c r="M258" t="n">
        <v>0</v>
      </c>
      <c r="N258" t="n">
        <v>0</v>
      </c>
      <c r="O258" t="n">
        <v>1</v>
      </c>
      <c r="P258" t="n">
        <v>0</v>
      </c>
      <c r="Q258" t="n">
        <v>1</v>
      </c>
      <c r="R258" s="2" t="inlineStr">
        <is>
          <t>Tretåig hackspett</t>
        </is>
      </c>
      <c r="S258">
        <f>HYPERLINK("https://klasma.github.io/Logging_2482/artfynd/A 50658-2024 artfynd.xlsx", "A 50658-2024")</f>
        <v/>
      </c>
      <c r="T258">
        <f>HYPERLINK("https://klasma.github.io/Logging_2482/kartor/A 50658-2024 karta.png", "A 50658-2024")</f>
        <v/>
      </c>
      <c r="V258">
        <f>HYPERLINK("https://klasma.github.io/Logging_2482/klagomål/A 50658-2024 FSC-klagomål.docx", "A 50658-2024")</f>
        <v/>
      </c>
      <c r="W258">
        <f>HYPERLINK("https://klasma.github.io/Logging_2482/klagomålsmail/A 50658-2024 FSC-klagomål mail.docx", "A 50658-2024")</f>
        <v/>
      </c>
      <c r="X258">
        <f>HYPERLINK("https://klasma.github.io/Logging_2482/tillsyn/A 50658-2024 tillsynsbegäran.docx", "A 50658-2024")</f>
        <v/>
      </c>
      <c r="Y258">
        <f>HYPERLINK("https://klasma.github.io/Logging_2482/tillsynsmail/A 50658-2024 tillsynsbegäran mail.docx", "A 50658-2024")</f>
        <v/>
      </c>
      <c r="Z258">
        <f>HYPERLINK("https://klasma.github.io/Logging_2482/fåglar/A 50658-2024 prioriterade fågelarter.docx", "A 50658-2024")</f>
        <v/>
      </c>
    </row>
    <row r="259" ht="15" customHeight="1">
      <c r="A259" t="inlineStr">
        <is>
          <t>A 57520-2024</t>
        </is>
      </c>
      <c r="B259" s="1" t="n">
        <v>45630</v>
      </c>
      <c r="C259" s="1" t="n">
        <v>45807</v>
      </c>
      <c r="D259" t="inlineStr">
        <is>
          <t>VÄSTERBOTTENS LÄN</t>
        </is>
      </c>
      <c r="E259" t="inlineStr">
        <is>
          <t>SKELLEFTEÅ</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HYPERLINK("https://klasma.github.io/Logging_2482/artfynd/A 57520-2024 artfynd.xlsx", "A 57520-2024")</f>
        <v/>
      </c>
      <c r="T259">
        <f>HYPERLINK("https://klasma.github.io/Logging_2482/kartor/A 57520-2024 karta.png", "A 57520-2024")</f>
        <v/>
      </c>
      <c r="V259">
        <f>HYPERLINK("https://klasma.github.io/Logging_2482/klagomål/A 57520-2024 FSC-klagomål.docx", "A 57520-2024")</f>
        <v/>
      </c>
      <c r="W259">
        <f>HYPERLINK("https://klasma.github.io/Logging_2482/klagomålsmail/A 57520-2024 FSC-klagomål mail.docx", "A 57520-2024")</f>
        <v/>
      </c>
      <c r="X259">
        <f>HYPERLINK("https://klasma.github.io/Logging_2482/tillsyn/A 57520-2024 tillsynsbegäran.docx", "A 57520-2024")</f>
        <v/>
      </c>
      <c r="Y259">
        <f>HYPERLINK("https://klasma.github.io/Logging_2482/tillsynsmail/A 57520-2024 tillsynsbegäran mail.docx", "A 57520-2024")</f>
        <v/>
      </c>
    </row>
    <row r="260" ht="15" customHeight="1">
      <c r="A260" t="inlineStr">
        <is>
          <t>A 57568-2024</t>
        </is>
      </c>
      <c r="B260" s="1" t="n">
        <v>45630</v>
      </c>
      <c r="C260" s="1" t="n">
        <v>45807</v>
      </c>
      <c r="D260" t="inlineStr">
        <is>
          <t>VÄSTERBOTTENS LÄN</t>
        </is>
      </c>
      <c r="E260" t="inlineStr">
        <is>
          <t>SKELLEFTEÅ</t>
        </is>
      </c>
      <c r="F260" t="inlineStr">
        <is>
          <t>Sveaskog</t>
        </is>
      </c>
      <c r="G260" t="n">
        <v>7.3</v>
      </c>
      <c r="H260" t="n">
        <v>0</v>
      </c>
      <c r="I260" t="n">
        <v>0</v>
      </c>
      <c r="J260" t="n">
        <v>1</v>
      </c>
      <c r="K260" t="n">
        <v>0</v>
      </c>
      <c r="L260" t="n">
        <v>0</v>
      </c>
      <c r="M260" t="n">
        <v>0</v>
      </c>
      <c r="N260" t="n">
        <v>0</v>
      </c>
      <c r="O260" t="n">
        <v>1</v>
      </c>
      <c r="P260" t="n">
        <v>0</v>
      </c>
      <c r="Q260" t="n">
        <v>1</v>
      </c>
      <c r="R260" s="2" t="inlineStr">
        <is>
          <t>Stjärntagging</t>
        </is>
      </c>
      <c r="S260">
        <f>HYPERLINK("https://klasma.github.io/Logging_2482/artfynd/A 57568-2024 artfynd.xlsx", "A 57568-2024")</f>
        <v/>
      </c>
      <c r="T260">
        <f>HYPERLINK("https://klasma.github.io/Logging_2482/kartor/A 57568-2024 karta.png", "A 57568-2024")</f>
        <v/>
      </c>
      <c r="V260">
        <f>HYPERLINK("https://klasma.github.io/Logging_2482/klagomål/A 57568-2024 FSC-klagomål.docx", "A 57568-2024")</f>
        <v/>
      </c>
      <c r="W260">
        <f>HYPERLINK("https://klasma.github.io/Logging_2482/klagomålsmail/A 57568-2024 FSC-klagomål mail.docx", "A 57568-2024")</f>
        <v/>
      </c>
      <c r="X260">
        <f>HYPERLINK("https://klasma.github.io/Logging_2482/tillsyn/A 57568-2024 tillsynsbegäran.docx", "A 57568-2024")</f>
        <v/>
      </c>
      <c r="Y260">
        <f>HYPERLINK("https://klasma.github.io/Logging_2482/tillsynsmail/A 57568-2024 tillsynsbegäran mail.docx", "A 57568-2024")</f>
        <v/>
      </c>
    </row>
    <row r="261" ht="15" customHeight="1">
      <c r="A261" t="inlineStr">
        <is>
          <t>A 59709-2024</t>
        </is>
      </c>
      <c r="B261" s="1" t="n">
        <v>45639</v>
      </c>
      <c r="C261" s="1" t="n">
        <v>45807</v>
      </c>
      <c r="D261" t="inlineStr">
        <is>
          <t>VÄSTERBOTTENS LÄN</t>
        </is>
      </c>
      <c r="E261" t="inlineStr">
        <is>
          <t>SKELLEFTEÅ</t>
        </is>
      </c>
      <c r="G261" t="n">
        <v>2.7</v>
      </c>
      <c r="H261" t="n">
        <v>1</v>
      </c>
      <c r="I261" t="n">
        <v>0</v>
      </c>
      <c r="J261" t="n">
        <v>1</v>
      </c>
      <c r="K261" t="n">
        <v>0</v>
      </c>
      <c r="L261" t="n">
        <v>0</v>
      </c>
      <c r="M261" t="n">
        <v>0</v>
      </c>
      <c r="N261" t="n">
        <v>0</v>
      </c>
      <c r="O261" t="n">
        <v>1</v>
      </c>
      <c r="P261" t="n">
        <v>0</v>
      </c>
      <c r="Q261" t="n">
        <v>1</v>
      </c>
      <c r="R261" s="2" t="inlineStr">
        <is>
          <t>Spillkråka</t>
        </is>
      </c>
      <c r="S261">
        <f>HYPERLINK("https://klasma.github.io/Logging_2482/artfynd/A 59709-2024 artfynd.xlsx", "A 59709-2024")</f>
        <v/>
      </c>
      <c r="T261">
        <f>HYPERLINK("https://klasma.github.io/Logging_2482/kartor/A 59709-2024 karta.png", "A 59709-2024")</f>
        <v/>
      </c>
      <c r="V261">
        <f>HYPERLINK("https://klasma.github.io/Logging_2482/klagomål/A 59709-2024 FSC-klagomål.docx", "A 59709-2024")</f>
        <v/>
      </c>
      <c r="W261">
        <f>HYPERLINK("https://klasma.github.io/Logging_2482/klagomålsmail/A 59709-2024 FSC-klagomål mail.docx", "A 59709-2024")</f>
        <v/>
      </c>
      <c r="X261">
        <f>HYPERLINK("https://klasma.github.io/Logging_2482/tillsyn/A 59709-2024 tillsynsbegäran.docx", "A 59709-2024")</f>
        <v/>
      </c>
      <c r="Y261">
        <f>HYPERLINK("https://klasma.github.io/Logging_2482/tillsynsmail/A 59709-2024 tillsynsbegäran mail.docx", "A 59709-2024")</f>
        <v/>
      </c>
      <c r="Z261">
        <f>HYPERLINK("https://klasma.github.io/Logging_2482/fåglar/A 59709-2024 prioriterade fågelarter.docx", "A 59709-2024")</f>
        <v/>
      </c>
    </row>
    <row r="262" ht="15" customHeight="1">
      <c r="A262" t="inlineStr">
        <is>
          <t>A 61375-2024</t>
        </is>
      </c>
      <c r="B262" s="1" t="n">
        <v>45645</v>
      </c>
      <c r="C262" s="1" t="n">
        <v>45807</v>
      </c>
      <c r="D262" t="inlineStr">
        <is>
          <t>VÄSTERBOTTENS LÄN</t>
        </is>
      </c>
      <c r="E262" t="inlineStr">
        <is>
          <t>SKELLEFTEÅ</t>
        </is>
      </c>
      <c r="G262" t="n">
        <v>7.1</v>
      </c>
      <c r="H262" t="n">
        <v>0</v>
      </c>
      <c r="I262" t="n">
        <v>0</v>
      </c>
      <c r="J262" t="n">
        <v>1</v>
      </c>
      <c r="K262" t="n">
        <v>0</v>
      </c>
      <c r="L262" t="n">
        <v>0</v>
      </c>
      <c r="M262" t="n">
        <v>0</v>
      </c>
      <c r="N262" t="n">
        <v>0</v>
      </c>
      <c r="O262" t="n">
        <v>1</v>
      </c>
      <c r="P262" t="n">
        <v>0</v>
      </c>
      <c r="Q262" t="n">
        <v>1</v>
      </c>
      <c r="R262" s="2" t="inlineStr">
        <is>
          <t>Violettgrå tagellav</t>
        </is>
      </c>
      <c r="S262">
        <f>HYPERLINK("https://klasma.github.io/Logging_2482/artfynd/A 61375-2024 artfynd.xlsx", "A 61375-2024")</f>
        <v/>
      </c>
      <c r="T262">
        <f>HYPERLINK("https://klasma.github.io/Logging_2482/kartor/A 61375-2024 karta.png", "A 61375-2024")</f>
        <v/>
      </c>
      <c r="V262">
        <f>HYPERLINK("https://klasma.github.io/Logging_2482/klagomål/A 61375-2024 FSC-klagomål.docx", "A 61375-2024")</f>
        <v/>
      </c>
      <c r="W262">
        <f>HYPERLINK("https://klasma.github.io/Logging_2482/klagomålsmail/A 61375-2024 FSC-klagomål mail.docx", "A 61375-2024")</f>
        <v/>
      </c>
      <c r="X262">
        <f>HYPERLINK("https://klasma.github.io/Logging_2482/tillsyn/A 61375-2024 tillsynsbegäran.docx", "A 61375-2024")</f>
        <v/>
      </c>
      <c r="Y262">
        <f>HYPERLINK("https://klasma.github.io/Logging_2482/tillsynsmail/A 61375-2024 tillsynsbegäran mail.docx", "A 61375-2024")</f>
        <v/>
      </c>
    </row>
    <row r="263" ht="15" customHeight="1">
      <c r="A263" t="inlineStr">
        <is>
          <t>A 1016-2025</t>
        </is>
      </c>
      <c r="B263" s="1" t="n">
        <v>45665</v>
      </c>
      <c r="C263" s="1" t="n">
        <v>45807</v>
      </c>
      <c r="D263" t="inlineStr">
        <is>
          <t>VÄSTERBOTTENS LÄN</t>
        </is>
      </c>
      <c r="E263" t="inlineStr">
        <is>
          <t>SKELLEFTEÅ</t>
        </is>
      </c>
      <c r="G263" t="n">
        <v>15.6</v>
      </c>
      <c r="H263" t="n">
        <v>1</v>
      </c>
      <c r="I263" t="n">
        <v>0</v>
      </c>
      <c r="J263" t="n">
        <v>0</v>
      </c>
      <c r="K263" t="n">
        <v>1</v>
      </c>
      <c r="L263" t="n">
        <v>0</v>
      </c>
      <c r="M263" t="n">
        <v>0</v>
      </c>
      <c r="N263" t="n">
        <v>0</v>
      </c>
      <c r="O263" t="n">
        <v>1</v>
      </c>
      <c r="P263" t="n">
        <v>1</v>
      </c>
      <c r="Q263" t="n">
        <v>1</v>
      </c>
      <c r="R263" s="2" t="inlineStr">
        <is>
          <t>Knärot</t>
        </is>
      </c>
      <c r="S263">
        <f>HYPERLINK("https://klasma.github.io/Logging_2482/artfynd/A 1016-2025 artfynd.xlsx", "A 1016-2025")</f>
        <v/>
      </c>
      <c r="T263">
        <f>HYPERLINK("https://klasma.github.io/Logging_2482/kartor/A 1016-2025 karta.png", "A 1016-2025")</f>
        <v/>
      </c>
      <c r="U263">
        <f>HYPERLINK("https://klasma.github.io/Logging_2482/knärot/A 1016-2025 karta knärot.png", "A 1016-2025")</f>
        <v/>
      </c>
      <c r="V263">
        <f>HYPERLINK("https://klasma.github.io/Logging_2482/klagomål/A 1016-2025 FSC-klagomål.docx", "A 1016-2025")</f>
        <v/>
      </c>
      <c r="W263">
        <f>HYPERLINK("https://klasma.github.io/Logging_2482/klagomålsmail/A 1016-2025 FSC-klagomål mail.docx", "A 1016-2025")</f>
        <v/>
      </c>
      <c r="X263">
        <f>HYPERLINK("https://klasma.github.io/Logging_2482/tillsyn/A 1016-2025 tillsynsbegäran.docx", "A 1016-2025")</f>
        <v/>
      </c>
      <c r="Y263">
        <f>HYPERLINK("https://klasma.github.io/Logging_2482/tillsynsmail/A 1016-2025 tillsynsbegäran mail.docx", "A 1016-2025")</f>
        <v/>
      </c>
    </row>
    <row r="264" ht="15" customHeight="1">
      <c r="A264" t="inlineStr">
        <is>
          <t>A 737-2025</t>
        </is>
      </c>
      <c r="B264" s="1" t="n">
        <v>45665</v>
      </c>
      <c r="C264" s="1" t="n">
        <v>45807</v>
      </c>
      <c r="D264" t="inlineStr">
        <is>
          <t>VÄSTERBOTTENS LÄN</t>
        </is>
      </c>
      <c r="E264" t="inlineStr">
        <is>
          <t>SKELLEFTEÅ</t>
        </is>
      </c>
      <c r="G264" t="n">
        <v>14.8</v>
      </c>
      <c r="H264" t="n">
        <v>0</v>
      </c>
      <c r="I264" t="n">
        <v>0</v>
      </c>
      <c r="J264" t="n">
        <v>0</v>
      </c>
      <c r="K264" t="n">
        <v>1</v>
      </c>
      <c r="L264" t="n">
        <v>0</v>
      </c>
      <c r="M264" t="n">
        <v>0</v>
      </c>
      <c r="N264" t="n">
        <v>0</v>
      </c>
      <c r="O264" t="n">
        <v>1</v>
      </c>
      <c r="P264" t="n">
        <v>1</v>
      </c>
      <c r="Q264" t="n">
        <v>1</v>
      </c>
      <c r="R264" s="2" t="inlineStr">
        <is>
          <t>Goliatmusseron</t>
        </is>
      </c>
      <c r="S264">
        <f>HYPERLINK("https://klasma.github.io/Logging_2482/artfynd/A 737-2025 artfynd.xlsx", "A 737-2025")</f>
        <v/>
      </c>
      <c r="T264">
        <f>HYPERLINK("https://klasma.github.io/Logging_2482/kartor/A 737-2025 karta.png", "A 737-2025")</f>
        <v/>
      </c>
      <c r="V264">
        <f>HYPERLINK("https://klasma.github.io/Logging_2482/klagomål/A 737-2025 FSC-klagomål.docx", "A 737-2025")</f>
        <v/>
      </c>
      <c r="W264">
        <f>HYPERLINK("https://klasma.github.io/Logging_2482/klagomålsmail/A 737-2025 FSC-klagomål mail.docx", "A 737-2025")</f>
        <v/>
      </c>
      <c r="X264">
        <f>HYPERLINK("https://klasma.github.io/Logging_2482/tillsyn/A 737-2025 tillsynsbegäran.docx", "A 737-2025")</f>
        <v/>
      </c>
      <c r="Y264">
        <f>HYPERLINK("https://klasma.github.io/Logging_2482/tillsynsmail/A 737-2025 tillsynsbegäran mail.docx", "A 737-2025")</f>
        <v/>
      </c>
    </row>
    <row r="265" ht="15" customHeight="1">
      <c r="A265" t="inlineStr">
        <is>
          <t>A 1694-2025</t>
        </is>
      </c>
      <c r="B265" s="1" t="n">
        <v>45670</v>
      </c>
      <c r="C265" s="1" t="n">
        <v>45807</v>
      </c>
      <c r="D265" t="inlineStr">
        <is>
          <t>VÄSTERBOTTENS LÄN</t>
        </is>
      </c>
      <c r="E265" t="inlineStr">
        <is>
          <t>SKELLEFTEÅ</t>
        </is>
      </c>
      <c r="G265" t="n">
        <v>1.8</v>
      </c>
      <c r="H265" t="n">
        <v>1</v>
      </c>
      <c r="I265" t="n">
        <v>0</v>
      </c>
      <c r="J265" t="n">
        <v>1</v>
      </c>
      <c r="K265" t="n">
        <v>0</v>
      </c>
      <c r="L265" t="n">
        <v>0</v>
      </c>
      <c r="M265" t="n">
        <v>0</v>
      </c>
      <c r="N265" t="n">
        <v>0</v>
      </c>
      <c r="O265" t="n">
        <v>1</v>
      </c>
      <c r="P265" t="n">
        <v>0</v>
      </c>
      <c r="Q265" t="n">
        <v>1</v>
      </c>
      <c r="R265" s="2" t="inlineStr">
        <is>
          <t>Spillkråka</t>
        </is>
      </c>
      <c r="S265">
        <f>HYPERLINK("https://klasma.github.io/Logging_2482/artfynd/A 1694-2025 artfynd.xlsx", "A 1694-2025")</f>
        <v/>
      </c>
      <c r="T265">
        <f>HYPERLINK("https://klasma.github.io/Logging_2482/kartor/A 1694-2025 karta.png", "A 1694-2025")</f>
        <v/>
      </c>
      <c r="V265">
        <f>HYPERLINK("https://klasma.github.io/Logging_2482/klagomål/A 1694-2025 FSC-klagomål.docx", "A 1694-2025")</f>
        <v/>
      </c>
      <c r="W265">
        <f>HYPERLINK("https://klasma.github.io/Logging_2482/klagomålsmail/A 1694-2025 FSC-klagomål mail.docx", "A 1694-2025")</f>
        <v/>
      </c>
      <c r="X265">
        <f>HYPERLINK("https://klasma.github.io/Logging_2482/tillsyn/A 1694-2025 tillsynsbegäran.docx", "A 1694-2025")</f>
        <v/>
      </c>
      <c r="Y265">
        <f>HYPERLINK("https://klasma.github.io/Logging_2482/tillsynsmail/A 1694-2025 tillsynsbegäran mail.docx", "A 1694-2025")</f>
        <v/>
      </c>
      <c r="Z265">
        <f>HYPERLINK("https://klasma.github.io/Logging_2482/fåglar/A 1694-2025 prioriterade fågelarter.docx", "A 1694-2025")</f>
        <v/>
      </c>
    </row>
    <row r="266" ht="15" customHeight="1">
      <c r="A266" t="inlineStr">
        <is>
          <t>A 2436-2025</t>
        </is>
      </c>
      <c r="B266" s="1" t="n">
        <v>45673</v>
      </c>
      <c r="C266" s="1" t="n">
        <v>45807</v>
      </c>
      <c r="D266" t="inlineStr">
        <is>
          <t>VÄSTERBOTTENS LÄN</t>
        </is>
      </c>
      <c r="E266" t="inlineStr">
        <is>
          <t>SKELLEFTEÅ</t>
        </is>
      </c>
      <c r="G266" t="n">
        <v>5</v>
      </c>
      <c r="H266" t="n">
        <v>1</v>
      </c>
      <c r="I266" t="n">
        <v>0</v>
      </c>
      <c r="J266" t="n">
        <v>1</v>
      </c>
      <c r="K266" t="n">
        <v>0</v>
      </c>
      <c r="L266" t="n">
        <v>0</v>
      </c>
      <c r="M266" t="n">
        <v>0</v>
      </c>
      <c r="N266" t="n">
        <v>0</v>
      </c>
      <c r="O266" t="n">
        <v>1</v>
      </c>
      <c r="P266" t="n">
        <v>0</v>
      </c>
      <c r="Q266" t="n">
        <v>1</v>
      </c>
      <c r="R266" s="2" t="inlineStr">
        <is>
          <t>Tretåig hackspett</t>
        </is>
      </c>
      <c r="S266">
        <f>HYPERLINK("https://klasma.github.io/Logging_2482/artfynd/A 2436-2025 artfynd.xlsx", "A 2436-2025")</f>
        <v/>
      </c>
      <c r="T266">
        <f>HYPERLINK("https://klasma.github.io/Logging_2482/kartor/A 2436-2025 karta.png", "A 2436-2025")</f>
        <v/>
      </c>
      <c r="V266">
        <f>HYPERLINK("https://klasma.github.io/Logging_2482/klagomål/A 2436-2025 FSC-klagomål.docx", "A 2436-2025")</f>
        <v/>
      </c>
      <c r="W266">
        <f>HYPERLINK("https://klasma.github.io/Logging_2482/klagomålsmail/A 2436-2025 FSC-klagomål mail.docx", "A 2436-2025")</f>
        <v/>
      </c>
      <c r="X266">
        <f>HYPERLINK("https://klasma.github.io/Logging_2482/tillsyn/A 2436-2025 tillsynsbegäran.docx", "A 2436-2025")</f>
        <v/>
      </c>
      <c r="Y266">
        <f>HYPERLINK("https://klasma.github.io/Logging_2482/tillsynsmail/A 2436-2025 tillsynsbegäran mail.docx", "A 2436-2025")</f>
        <v/>
      </c>
      <c r="Z266">
        <f>HYPERLINK("https://klasma.github.io/Logging_2482/fåglar/A 2436-2025 prioriterade fågelarter.docx", "A 2436-2025")</f>
        <v/>
      </c>
    </row>
    <row r="267" ht="15" customHeight="1">
      <c r="A267" t="inlineStr">
        <is>
          <t>A 6156-2025</t>
        </is>
      </c>
      <c r="B267" s="1" t="n">
        <v>45695</v>
      </c>
      <c r="C267" s="1" t="n">
        <v>45807</v>
      </c>
      <c r="D267" t="inlineStr">
        <is>
          <t>VÄSTERBOTTENS LÄN</t>
        </is>
      </c>
      <c r="E267" t="inlineStr">
        <is>
          <t>SKELLEFTEÅ</t>
        </is>
      </c>
      <c r="G267" t="n">
        <v>5.1</v>
      </c>
      <c r="H267" t="n">
        <v>0</v>
      </c>
      <c r="I267" t="n">
        <v>0</v>
      </c>
      <c r="J267" t="n">
        <v>1</v>
      </c>
      <c r="K267" t="n">
        <v>0</v>
      </c>
      <c r="L267" t="n">
        <v>0</v>
      </c>
      <c r="M267" t="n">
        <v>0</v>
      </c>
      <c r="N267" t="n">
        <v>0</v>
      </c>
      <c r="O267" t="n">
        <v>1</v>
      </c>
      <c r="P267" t="n">
        <v>0</v>
      </c>
      <c r="Q267" t="n">
        <v>1</v>
      </c>
      <c r="R267" s="2" t="inlineStr">
        <is>
          <t>Gammelgransskål</t>
        </is>
      </c>
      <c r="S267">
        <f>HYPERLINK("https://klasma.github.io/Logging_2482/artfynd/A 6156-2025 artfynd.xlsx", "A 6156-2025")</f>
        <v/>
      </c>
      <c r="T267">
        <f>HYPERLINK("https://klasma.github.io/Logging_2482/kartor/A 6156-2025 karta.png", "A 6156-2025")</f>
        <v/>
      </c>
      <c r="V267">
        <f>HYPERLINK("https://klasma.github.io/Logging_2482/klagomål/A 6156-2025 FSC-klagomål.docx", "A 6156-2025")</f>
        <v/>
      </c>
      <c r="W267">
        <f>HYPERLINK("https://klasma.github.io/Logging_2482/klagomålsmail/A 6156-2025 FSC-klagomål mail.docx", "A 6156-2025")</f>
        <v/>
      </c>
      <c r="X267">
        <f>HYPERLINK("https://klasma.github.io/Logging_2482/tillsyn/A 6156-2025 tillsynsbegäran.docx", "A 6156-2025")</f>
        <v/>
      </c>
      <c r="Y267">
        <f>HYPERLINK("https://klasma.github.io/Logging_2482/tillsynsmail/A 6156-2025 tillsynsbegäran mail.docx", "A 6156-2025")</f>
        <v/>
      </c>
    </row>
    <row r="268" ht="15" customHeight="1">
      <c r="A268" t="inlineStr">
        <is>
          <t>A 8302-2025</t>
        </is>
      </c>
      <c r="B268" s="1" t="n">
        <v>45708</v>
      </c>
      <c r="C268" s="1" t="n">
        <v>45807</v>
      </c>
      <c r="D268" t="inlineStr">
        <is>
          <t>VÄSTERBOTTENS LÄN</t>
        </is>
      </c>
      <c r="E268" t="inlineStr">
        <is>
          <t>SKELLEFTEÅ</t>
        </is>
      </c>
      <c r="G268" t="n">
        <v>9.800000000000001</v>
      </c>
      <c r="H268" t="n">
        <v>1</v>
      </c>
      <c r="I268" t="n">
        <v>0</v>
      </c>
      <c r="J268" t="n">
        <v>0</v>
      </c>
      <c r="K268" t="n">
        <v>0</v>
      </c>
      <c r="L268" t="n">
        <v>0</v>
      </c>
      <c r="M268" t="n">
        <v>0</v>
      </c>
      <c r="N268" t="n">
        <v>0</v>
      </c>
      <c r="O268" t="n">
        <v>0</v>
      </c>
      <c r="P268" t="n">
        <v>0</v>
      </c>
      <c r="Q268" t="n">
        <v>1</v>
      </c>
      <c r="R268" s="2" t="inlineStr">
        <is>
          <t>Mattlummer</t>
        </is>
      </c>
      <c r="S268">
        <f>HYPERLINK("https://klasma.github.io/Logging_2482/artfynd/A 8302-2025 artfynd.xlsx", "A 8302-2025")</f>
        <v/>
      </c>
      <c r="T268">
        <f>HYPERLINK("https://klasma.github.io/Logging_2482/kartor/A 8302-2025 karta.png", "A 8302-2025")</f>
        <v/>
      </c>
      <c r="V268">
        <f>HYPERLINK("https://klasma.github.io/Logging_2482/klagomål/A 8302-2025 FSC-klagomål.docx", "A 8302-2025")</f>
        <v/>
      </c>
      <c r="W268">
        <f>HYPERLINK("https://klasma.github.io/Logging_2482/klagomålsmail/A 8302-2025 FSC-klagomål mail.docx", "A 8302-2025")</f>
        <v/>
      </c>
      <c r="X268">
        <f>HYPERLINK("https://klasma.github.io/Logging_2482/tillsyn/A 8302-2025 tillsynsbegäran.docx", "A 8302-2025")</f>
        <v/>
      </c>
      <c r="Y268">
        <f>HYPERLINK("https://klasma.github.io/Logging_2482/tillsynsmail/A 8302-2025 tillsynsbegäran mail.docx", "A 8302-2025")</f>
        <v/>
      </c>
    </row>
    <row r="269" ht="15" customHeight="1">
      <c r="A269" t="inlineStr">
        <is>
          <t>A 8729-2025</t>
        </is>
      </c>
      <c r="B269" s="1" t="n">
        <v>45712</v>
      </c>
      <c r="C269" s="1" t="n">
        <v>45807</v>
      </c>
      <c r="D269" t="inlineStr">
        <is>
          <t>VÄSTERBOTTENS LÄN</t>
        </is>
      </c>
      <c r="E269" t="inlineStr">
        <is>
          <t>SKELLEFTEÅ</t>
        </is>
      </c>
      <c r="G269" t="n">
        <v>12.2</v>
      </c>
      <c r="H269" t="n">
        <v>0</v>
      </c>
      <c r="I269" t="n">
        <v>0</v>
      </c>
      <c r="J269" t="n">
        <v>1</v>
      </c>
      <c r="K269" t="n">
        <v>0</v>
      </c>
      <c r="L269" t="n">
        <v>0</v>
      </c>
      <c r="M269" t="n">
        <v>0</v>
      </c>
      <c r="N269" t="n">
        <v>0</v>
      </c>
      <c r="O269" t="n">
        <v>1</v>
      </c>
      <c r="P269" t="n">
        <v>0</v>
      </c>
      <c r="Q269" t="n">
        <v>1</v>
      </c>
      <c r="R269" s="2" t="inlineStr">
        <is>
          <t>Granticka</t>
        </is>
      </c>
      <c r="S269">
        <f>HYPERLINK("https://klasma.github.io/Logging_2482/artfynd/A 8729-2025 artfynd.xlsx", "A 8729-2025")</f>
        <v/>
      </c>
      <c r="T269">
        <f>HYPERLINK("https://klasma.github.io/Logging_2482/kartor/A 8729-2025 karta.png", "A 8729-2025")</f>
        <v/>
      </c>
      <c r="V269">
        <f>HYPERLINK("https://klasma.github.io/Logging_2482/klagomål/A 8729-2025 FSC-klagomål.docx", "A 8729-2025")</f>
        <v/>
      </c>
      <c r="W269">
        <f>HYPERLINK("https://klasma.github.io/Logging_2482/klagomålsmail/A 8729-2025 FSC-klagomål mail.docx", "A 8729-2025")</f>
        <v/>
      </c>
      <c r="X269">
        <f>HYPERLINK("https://klasma.github.io/Logging_2482/tillsyn/A 8729-2025 tillsynsbegäran.docx", "A 8729-2025")</f>
        <v/>
      </c>
      <c r="Y269">
        <f>HYPERLINK("https://klasma.github.io/Logging_2482/tillsynsmail/A 8729-2025 tillsynsbegäran mail.docx", "A 8729-2025")</f>
        <v/>
      </c>
    </row>
    <row r="270" ht="15" customHeight="1">
      <c r="A270" t="inlineStr">
        <is>
          <t>A 8820-2025</t>
        </is>
      </c>
      <c r="B270" s="1" t="n">
        <v>45712</v>
      </c>
      <c r="C270" s="1" t="n">
        <v>45807</v>
      </c>
      <c r="D270" t="inlineStr">
        <is>
          <t>VÄSTERBOTTENS LÄN</t>
        </is>
      </c>
      <c r="E270" t="inlineStr">
        <is>
          <t>SKELLEFTEÅ</t>
        </is>
      </c>
      <c r="G270" t="n">
        <v>2.5</v>
      </c>
      <c r="H270" t="n">
        <v>1</v>
      </c>
      <c r="I270" t="n">
        <v>0</v>
      </c>
      <c r="J270" t="n">
        <v>0</v>
      </c>
      <c r="K270" t="n">
        <v>1</v>
      </c>
      <c r="L270" t="n">
        <v>0</v>
      </c>
      <c r="M270" t="n">
        <v>0</v>
      </c>
      <c r="N270" t="n">
        <v>0</v>
      </c>
      <c r="O270" t="n">
        <v>1</v>
      </c>
      <c r="P270" t="n">
        <v>1</v>
      </c>
      <c r="Q270" t="n">
        <v>1</v>
      </c>
      <c r="R270" s="2" t="inlineStr">
        <is>
          <t>Knärot</t>
        </is>
      </c>
      <c r="S270">
        <f>HYPERLINK("https://klasma.github.io/Logging_2482/artfynd/A 8820-2025 artfynd.xlsx", "A 8820-2025")</f>
        <v/>
      </c>
      <c r="T270">
        <f>HYPERLINK("https://klasma.github.io/Logging_2482/kartor/A 8820-2025 karta.png", "A 8820-2025")</f>
        <v/>
      </c>
      <c r="U270">
        <f>HYPERLINK("https://klasma.github.io/Logging_2482/knärot/A 8820-2025 karta knärot.png", "A 8820-2025")</f>
        <v/>
      </c>
      <c r="V270">
        <f>HYPERLINK("https://klasma.github.io/Logging_2482/klagomål/A 8820-2025 FSC-klagomål.docx", "A 8820-2025")</f>
        <v/>
      </c>
      <c r="W270">
        <f>HYPERLINK("https://klasma.github.io/Logging_2482/klagomålsmail/A 8820-2025 FSC-klagomål mail.docx", "A 8820-2025")</f>
        <v/>
      </c>
      <c r="X270">
        <f>HYPERLINK("https://klasma.github.io/Logging_2482/tillsyn/A 8820-2025 tillsynsbegäran.docx", "A 8820-2025")</f>
        <v/>
      </c>
      <c r="Y270">
        <f>HYPERLINK("https://klasma.github.io/Logging_2482/tillsynsmail/A 8820-2025 tillsynsbegäran mail.docx", "A 8820-2025")</f>
        <v/>
      </c>
    </row>
    <row r="271" ht="15" customHeight="1">
      <c r="A271" t="inlineStr">
        <is>
          <t>A 9446-2025</t>
        </is>
      </c>
      <c r="B271" s="1" t="n">
        <v>45715</v>
      </c>
      <c r="C271" s="1" t="n">
        <v>45807</v>
      </c>
      <c r="D271" t="inlineStr">
        <is>
          <t>VÄSTERBOTTENS LÄN</t>
        </is>
      </c>
      <c r="E271" t="inlineStr">
        <is>
          <t>SKELLEFTEÅ</t>
        </is>
      </c>
      <c r="G271" t="n">
        <v>1.8</v>
      </c>
      <c r="H271" t="n">
        <v>0</v>
      </c>
      <c r="I271" t="n">
        <v>1</v>
      </c>
      <c r="J271" t="n">
        <v>0</v>
      </c>
      <c r="K271" t="n">
        <v>0</v>
      </c>
      <c r="L271" t="n">
        <v>0</v>
      </c>
      <c r="M271" t="n">
        <v>0</v>
      </c>
      <c r="N271" t="n">
        <v>0</v>
      </c>
      <c r="O271" t="n">
        <v>0</v>
      </c>
      <c r="P271" t="n">
        <v>0</v>
      </c>
      <c r="Q271" t="n">
        <v>1</v>
      </c>
      <c r="R271" s="2" t="inlineStr">
        <is>
          <t>Vedticka</t>
        </is>
      </c>
      <c r="S271">
        <f>HYPERLINK("https://klasma.github.io/Logging_242482/artfynd/A 9446-2025 artfynd.xlsx", "A 9446-2025")</f>
        <v/>
      </c>
      <c r="T271">
        <f>HYPERLINK("https://klasma.github.io/Logging_242482/kartor/A 9446-2025 karta.png", "A 9446-2025")</f>
        <v/>
      </c>
      <c r="V271">
        <f>HYPERLINK("https://klasma.github.io/Logging_242482/klagomål/A 9446-2025 FSC-klagomål.docx", "A 9446-2025")</f>
        <v/>
      </c>
      <c r="W271">
        <f>HYPERLINK("https://klasma.github.io/Logging_242482/klagomålsmail/A 9446-2025 FSC-klagomål mail.docx", "A 9446-2025")</f>
        <v/>
      </c>
      <c r="X271">
        <f>HYPERLINK("https://klasma.github.io/Logging_242482/tillsyn/A 9446-2025 tillsynsbegäran.docx", "A 9446-2025")</f>
        <v/>
      </c>
      <c r="Y271">
        <f>HYPERLINK("https://klasma.github.io/Logging_242482/tillsynsmail/A 9446-2025 tillsynsbegäran mail.docx", "A 9446-2025")</f>
        <v/>
      </c>
    </row>
    <row r="272" ht="15" customHeight="1">
      <c r="A272" t="inlineStr">
        <is>
          <t>A 17958-2025</t>
        </is>
      </c>
      <c r="B272" s="1" t="n">
        <v>45761</v>
      </c>
      <c r="C272" s="1" t="n">
        <v>45807</v>
      </c>
      <c r="D272" t="inlineStr">
        <is>
          <t>VÄSTERBOTTENS LÄN</t>
        </is>
      </c>
      <c r="E272" t="inlineStr">
        <is>
          <t>SKELLEFTEÅ</t>
        </is>
      </c>
      <c r="G272" t="n">
        <v>2.5</v>
      </c>
      <c r="H272" t="n">
        <v>0</v>
      </c>
      <c r="I272" t="n">
        <v>0</v>
      </c>
      <c r="J272" t="n">
        <v>1</v>
      </c>
      <c r="K272" t="n">
        <v>0</v>
      </c>
      <c r="L272" t="n">
        <v>0</v>
      </c>
      <c r="M272" t="n">
        <v>0</v>
      </c>
      <c r="N272" t="n">
        <v>0</v>
      </c>
      <c r="O272" t="n">
        <v>1</v>
      </c>
      <c r="P272" t="n">
        <v>0</v>
      </c>
      <c r="Q272" t="n">
        <v>1</v>
      </c>
      <c r="R272" s="2" t="inlineStr">
        <is>
          <t>Harticka</t>
        </is>
      </c>
      <c r="S272">
        <f>HYPERLINK("https://klasma.github.io/Logging_242482/artfynd/A 17958-2025 artfynd.xlsx", "A 17958-2025")</f>
        <v/>
      </c>
      <c r="T272">
        <f>HYPERLINK("https://klasma.github.io/Logging_242482/kartor/A 17958-2025 karta.png", "A 17958-2025")</f>
        <v/>
      </c>
      <c r="V272">
        <f>HYPERLINK("https://klasma.github.io/Logging_242482/klagomål/A 17958-2025 FSC-klagomål.docx", "A 17958-2025")</f>
        <v/>
      </c>
      <c r="W272">
        <f>HYPERLINK("https://klasma.github.io/Logging_242482/klagomålsmail/A 17958-2025 FSC-klagomål mail.docx", "A 17958-2025")</f>
        <v/>
      </c>
      <c r="X272">
        <f>HYPERLINK("https://klasma.github.io/Logging_242482/tillsyn/A 17958-2025 tillsynsbegäran.docx", "A 17958-2025")</f>
        <v/>
      </c>
      <c r="Y272">
        <f>HYPERLINK("https://klasma.github.io/Logging_242482/tillsynsmail/A 17958-2025 tillsynsbegäran mail.docx", "A 17958-2025")</f>
        <v/>
      </c>
    </row>
    <row r="273" ht="15" customHeight="1">
      <c r="A273" t="inlineStr">
        <is>
          <t>A 19924-2025</t>
        </is>
      </c>
      <c r="B273" s="1" t="n">
        <v>45771</v>
      </c>
      <c r="C273" s="1" t="n">
        <v>45807</v>
      </c>
      <c r="D273" t="inlineStr">
        <is>
          <t>VÄSTERBOTTENS LÄN</t>
        </is>
      </c>
      <c r="E273" t="inlineStr">
        <is>
          <t>SKELLEFTEÅ</t>
        </is>
      </c>
      <c r="F273" t="inlineStr">
        <is>
          <t>Holmen skog AB</t>
        </is>
      </c>
      <c r="G273" t="n">
        <v>2.1</v>
      </c>
      <c r="H273" t="n">
        <v>0</v>
      </c>
      <c r="I273" t="n">
        <v>1</v>
      </c>
      <c r="J273" t="n">
        <v>0</v>
      </c>
      <c r="K273" t="n">
        <v>0</v>
      </c>
      <c r="L273" t="n">
        <v>0</v>
      </c>
      <c r="M273" t="n">
        <v>0</v>
      </c>
      <c r="N273" t="n">
        <v>0</v>
      </c>
      <c r="O273" t="n">
        <v>0</v>
      </c>
      <c r="P273" t="n">
        <v>0</v>
      </c>
      <c r="Q273" t="n">
        <v>1</v>
      </c>
      <c r="R273" s="2" t="inlineStr">
        <is>
          <t>Tibast</t>
        </is>
      </c>
      <c r="S273">
        <f>HYPERLINK("https://klasma.github.io/Logging_242482/artfynd/A 19924-2025 artfynd.xlsx", "A 19924-2025")</f>
        <v/>
      </c>
      <c r="T273">
        <f>HYPERLINK("https://klasma.github.io/Logging_242482/kartor/A 19924-2025 karta.png", "A 19924-2025")</f>
        <v/>
      </c>
      <c r="V273">
        <f>HYPERLINK("https://klasma.github.io/Logging_242482/klagomål/A 19924-2025 FSC-klagomål.docx", "A 19924-2025")</f>
        <v/>
      </c>
      <c r="W273">
        <f>HYPERLINK("https://klasma.github.io/Logging_242482/klagomålsmail/A 19924-2025 FSC-klagomål mail.docx", "A 19924-2025")</f>
        <v/>
      </c>
      <c r="X273">
        <f>HYPERLINK("https://klasma.github.io/Logging_242482/tillsyn/A 19924-2025 tillsynsbegäran.docx", "A 19924-2025")</f>
        <v/>
      </c>
      <c r="Y273">
        <f>HYPERLINK("https://klasma.github.io/Logging_242482/tillsynsmail/A 19924-2025 tillsynsbegäran mail.docx", "A 19924-2025")</f>
        <v/>
      </c>
    </row>
    <row r="274" ht="15" customHeight="1">
      <c r="A274" t="inlineStr">
        <is>
          <t>A 22441-2025</t>
        </is>
      </c>
      <c r="B274" s="1" t="n">
        <v>45786</v>
      </c>
      <c r="C274" s="1" t="n">
        <v>45807</v>
      </c>
      <c r="D274" t="inlineStr">
        <is>
          <t>VÄSTERBOTTENS LÄN</t>
        </is>
      </c>
      <c r="E274" t="inlineStr">
        <is>
          <t>SKELLEFTEÅ</t>
        </is>
      </c>
      <c r="G274" t="n">
        <v>3.6</v>
      </c>
      <c r="H274" t="n">
        <v>0</v>
      </c>
      <c r="I274" t="n">
        <v>0</v>
      </c>
      <c r="J274" t="n">
        <v>1</v>
      </c>
      <c r="K274" t="n">
        <v>0</v>
      </c>
      <c r="L274" t="n">
        <v>0</v>
      </c>
      <c r="M274" t="n">
        <v>0</v>
      </c>
      <c r="N274" t="n">
        <v>0</v>
      </c>
      <c r="O274" t="n">
        <v>1</v>
      </c>
      <c r="P274" t="n">
        <v>0</v>
      </c>
      <c r="Q274" t="n">
        <v>1</v>
      </c>
      <c r="R274" s="2" t="inlineStr">
        <is>
          <t>Gammelgransskål</t>
        </is>
      </c>
      <c r="S274">
        <f>HYPERLINK("https://klasma.github.io/Logging_242482/artfynd/A 22441-2025 artfynd.xlsx", "A 22441-2025")</f>
        <v/>
      </c>
      <c r="T274">
        <f>HYPERLINK("https://klasma.github.io/Logging_242482/kartor/A 22441-2025 karta.png", "A 22441-2025")</f>
        <v/>
      </c>
      <c r="V274">
        <f>HYPERLINK("https://klasma.github.io/Logging_242482/klagomål/A 22441-2025 FSC-klagomål.docx", "A 22441-2025")</f>
        <v/>
      </c>
      <c r="W274">
        <f>HYPERLINK("https://klasma.github.io/Logging_242482/klagomålsmail/A 22441-2025 FSC-klagomål mail.docx", "A 22441-2025")</f>
        <v/>
      </c>
      <c r="X274">
        <f>HYPERLINK("https://klasma.github.io/Logging_242482/tillsyn/A 22441-2025 tillsynsbegäran.docx", "A 22441-2025")</f>
        <v/>
      </c>
      <c r="Y274">
        <f>HYPERLINK("https://klasma.github.io/Logging_242482/tillsynsmail/A 22441-2025 tillsynsbegäran mail.docx", "A 22441-2025")</f>
        <v/>
      </c>
    </row>
    <row r="275" ht="15" customHeight="1">
      <c r="A275" t="inlineStr">
        <is>
          <t>A 18072-2019</t>
        </is>
      </c>
      <c r="B275" s="1" t="n">
        <v>43557</v>
      </c>
      <c r="C275" s="1" t="n">
        <v>45807</v>
      </c>
      <c r="D275" t="inlineStr">
        <is>
          <t>VÄSTERBOTTENS LÄN</t>
        </is>
      </c>
      <c r="E275" t="inlineStr">
        <is>
          <t>SKELLEFTEÅ</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18271-2019</t>
        </is>
      </c>
      <c r="B276" s="1" t="n">
        <v>43557</v>
      </c>
      <c r="C276" s="1" t="n">
        <v>45807</v>
      </c>
      <c r="D276" t="inlineStr">
        <is>
          <t>VÄSTERBOTTENS LÄN</t>
        </is>
      </c>
      <c r="E276" t="inlineStr">
        <is>
          <t>SKELLEFTEÅ</t>
        </is>
      </c>
      <c r="G276" t="n">
        <v>0.4</v>
      </c>
      <c r="H276" t="n">
        <v>0</v>
      </c>
      <c r="I276" t="n">
        <v>0</v>
      </c>
      <c r="J276" t="n">
        <v>0</v>
      </c>
      <c r="K276" t="n">
        <v>0</v>
      </c>
      <c r="L276" t="n">
        <v>0</v>
      </c>
      <c r="M276" t="n">
        <v>0</v>
      </c>
      <c r="N276" t="n">
        <v>0</v>
      </c>
      <c r="O276" t="n">
        <v>0</v>
      </c>
      <c r="P276" t="n">
        <v>0</v>
      </c>
      <c r="Q276" t="n">
        <v>0</v>
      </c>
      <c r="R276" s="2" t="inlineStr"/>
    </row>
    <row r="277" ht="15" customHeight="1">
      <c r="A277" t="inlineStr">
        <is>
          <t>A 18073-2019</t>
        </is>
      </c>
      <c r="B277" s="1" t="n">
        <v>43557</v>
      </c>
      <c r="C277" s="1" t="n">
        <v>45807</v>
      </c>
      <c r="D277" t="inlineStr">
        <is>
          <t>VÄSTERBOTTENS LÄN</t>
        </is>
      </c>
      <c r="E277" t="inlineStr">
        <is>
          <t>SKELLEFTEÅ</t>
        </is>
      </c>
      <c r="F277" t="inlineStr">
        <is>
          <t>SCA</t>
        </is>
      </c>
      <c r="G277" t="n">
        <v>3.2</v>
      </c>
      <c r="H277" t="n">
        <v>0</v>
      </c>
      <c r="I277" t="n">
        <v>0</v>
      </c>
      <c r="J277" t="n">
        <v>0</v>
      </c>
      <c r="K277" t="n">
        <v>0</v>
      </c>
      <c r="L277" t="n">
        <v>0</v>
      </c>
      <c r="M277" t="n">
        <v>0</v>
      </c>
      <c r="N277" t="n">
        <v>0</v>
      </c>
      <c r="O277" t="n">
        <v>0</v>
      </c>
      <c r="P277" t="n">
        <v>0</v>
      </c>
      <c r="Q277" t="n">
        <v>0</v>
      </c>
      <c r="R277" s="2" t="inlineStr"/>
    </row>
    <row r="278" ht="15" customHeight="1">
      <c r="A278" t="inlineStr">
        <is>
          <t>A 18201-2019</t>
        </is>
      </c>
      <c r="B278" s="1" t="n">
        <v>43558</v>
      </c>
      <c r="C278" s="1" t="n">
        <v>45807</v>
      </c>
      <c r="D278" t="inlineStr">
        <is>
          <t>VÄSTERBOTTENS LÄN</t>
        </is>
      </c>
      <c r="E278" t="inlineStr">
        <is>
          <t>SKELLEFTEÅ</t>
        </is>
      </c>
      <c r="G278" t="n">
        <v>2.5</v>
      </c>
      <c r="H278" t="n">
        <v>0</v>
      </c>
      <c r="I278" t="n">
        <v>0</v>
      </c>
      <c r="J278" t="n">
        <v>0</v>
      </c>
      <c r="K278" t="n">
        <v>0</v>
      </c>
      <c r="L278" t="n">
        <v>0</v>
      </c>
      <c r="M278" t="n">
        <v>0</v>
      </c>
      <c r="N278" t="n">
        <v>0</v>
      </c>
      <c r="O278" t="n">
        <v>0</v>
      </c>
      <c r="P278" t="n">
        <v>0</v>
      </c>
      <c r="Q278" t="n">
        <v>0</v>
      </c>
      <c r="R278" s="2" t="inlineStr"/>
    </row>
    <row r="279" ht="15" customHeight="1">
      <c r="A279" t="inlineStr">
        <is>
          <t>A 18202-2019</t>
        </is>
      </c>
      <c r="B279" s="1" t="n">
        <v>43558</v>
      </c>
      <c r="C279" s="1" t="n">
        <v>45807</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18137-2019</t>
        </is>
      </c>
      <c r="B280" s="1" t="n">
        <v>43558</v>
      </c>
      <c r="C280" s="1" t="n">
        <v>45807</v>
      </c>
      <c r="D280" t="inlineStr">
        <is>
          <t>VÄSTERBOTTENS LÄN</t>
        </is>
      </c>
      <c r="E280" t="inlineStr">
        <is>
          <t>SKELLEFTEÅ</t>
        </is>
      </c>
      <c r="G280" t="n">
        <v>10</v>
      </c>
      <c r="H280" t="n">
        <v>0</v>
      </c>
      <c r="I280" t="n">
        <v>0</v>
      </c>
      <c r="J280" t="n">
        <v>0</v>
      </c>
      <c r="K280" t="n">
        <v>0</v>
      </c>
      <c r="L280" t="n">
        <v>0</v>
      </c>
      <c r="M280" t="n">
        <v>0</v>
      </c>
      <c r="N280" t="n">
        <v>0</v>
      </c>
      <c r="O280" t="n">
        <v>0</v>
      </c>
      <c r="P280" t="n">
        <v>0</v>
      </c>
      <c r="Q280" t="n">
        <v>0</v>
      </c>
      <c r="R280" s="2" t="inlineStr"/>
    </row>
    <row r="281" ht="15" customHeight="1">
      <c r="A281" t="inlineStr">
        <is>
          <t>A 18714-2019</t>
        </is>
      </c>
      <c r="B281" s="1" t="n">
        <v>43560</v>
      </c>
      <c r="C281" s="1" t="n">
        <v>45807</v>
      </c>
      <c r="D281" t="inlineStr">
        <is>
          <t>VÄSTERBOTTENS LÄN</t>
        </is>
      </c>
      <c r="E281" t="inlineStr">
        <is>
          <t>SKELLEFTEÅ</t>
        </is>
      </c>
      <c r="G281" t="n">
        <v>1.6</v>
      </c>
      <c r="H281" t="n">
        <v>0</v>
      </c>
      <c r="I281" t="n">
        <v>0</v>
      </c>
      <c r="J281" t="n">
        <v>0</v>
      </c>
      <c r="K281" t="n">
        <v>0</v>
      </c>
      <c r="L281" t="n">
        <v>0</v>
      </c>
      <c r="M281" t="n">
        <v>0</v>
      </c>
      <c r="N281" t="n">
        <v>0</v>
      </c>
      <c r="O281" t="n">
        <v>0</v>
      </c>
      <c r="P281" t="n">
        <v>0</v>
      </c>
      <c r="Q281" t="n">
        <v>0</v>
      </c>
      <c r="R281" s="2" t="inlineStr"/>
    </row>
    <row r="282" ht="15" customHeight="1">
      <c r="A282" t="inlineStr">
        <is>
          <t>A 18712-2019</t>
        </is>
      </c>
      <c r="B282" s="1" t="n">
        <v>43560</v>
      </c>
      <c r="C282" s="1" t="n">
        <v>45807</v>
      </c>
      <c r="D282" t="inlineStr">
        <is>
          <t>VÄSTERBOTTENS LÄN</t>
        </is>
      </c>
      <c r="E282" t="inlineStr">
        <is>
          <t>SKELLEFTEÅ</t>
        </is>
      </c>
      <c r="F282" t="inlineStr">
        <is>
          <t>Övriga Aktiebolag</t>
        </is>
      </c>
      <c r="G282" t="n">
        <v>2.2</v>
      </c>
      <c r="H282" t="n">
        <v>0</v>
      </c>
      <c r="I282" t="n">
        <v>0</v>
      </c>
      <c r="J282" t="n">
        <v>0</v>
      </c>
      <c r="K282" t="n">
        <v>0</v>
      </c>
      <c r="L282" t="n">
        <v>0</v>
      </c>
      <c r="M282" t="n">
        <v>0</v>
      </c>
      <c r="N282" t="n">
        <v>0</v>
      </c>
      <c r="O282" t="n">
        <v>0</v>
      </c>
      <c r="P282" t="n">
        <v>0</v>
      </c>
      <c r="Q282" t="n">
        <v>0</v>
      </c>
      <c r="R282" s="2" t="inlineStr"/>
    </row>
    <row r="283" ht="15" customHeight="1">
      <c r="A283" t="inlineStr">
        <is>
          <t>A 19101-2019</t>
        </is>
      </c>
      <c r="B283" s="1" t="n">
        <v>43563</v>
      </c>
      <c r="C283" s="1" t="n">
        <v>45807</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19059-2019</t>
        </is>
      </c>
      <c r="B284" s="1" t="n">
        <v>43563</v>
      </c>
      <c r="C284" s="1" t="n">
        <v>45807</v>
      </c>
      <c r="D284" t="inlineStr">
        <is>
          <t>VÄSTERBOTTENS LÄN</t>
        </is>
      </c>
      <c r="E284" t="inlineStr">
        <is>
          <t>SKELLEFTEÅ</t>
        </is>
      </c>
      <c r="G284" t="n">
        <v>2.5</v>
      </c>
      <c r="H284" t="n">
        <v>0</v>
      </c>
      <c r="I284" t="n">
        <v>0</v>
      </c>
      <c r="J284" t="n">
        <v>0</v>
      </c>
      <c r="K284" t="n">
        <v>0</v>
      </c>
      <c r="L284" t="n">
        <v>0</v>
      </c>
      <c r="M284" t="n">
        <v>0</v>
      </c>
      <c r="N284" t="n">
        <v>0</v>
      </c>
      <c r="O284" t="n">
        <v>0</v>
      </c>
      <c r="P284" t="n">
        <v>0</v>
      </c>
      <c r="Q284" t="n">
        <v>0</v>
      </c>
      <c r="R284" s="2" t="inlineStr"/>
    </row>
    <row r="285" ht="15" customHeight="1">
      <c r="A285" t="inlineStr">
        <is>
          <t>A 19382-2019</t>
        </is>
      </c>
      <c r="B285" s="1" t="n">
        <v>43565</v>
      </c>
      <c r="C285" s="1" t="n">
        <v>45807</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19530-2019</t>
        </is>
      </c>
      <c r="B286" s="1" t="n">
        <v>43565</v>
      </c>
      <c r="C286" s="1" t="n">
        <v>45807</v>
      </c>
      <c r="D286" t="inlineStr">
        <is>
          <t>VÄSTERBOTTENS LÄN</t>
        </is>
      </c>
      <c r="E286" t="inlineStr">
        <is>
          <t>SKELLEFTEÅ</t>
        </is>
      </c>
      <c r="G286" t="n">
        <v>8</v>
      </c>
      <c r="H286" t="n">
        <v>0</v>
      </c>
      <c r="I286" t="n">
        <v>0</v>
      </c>
      <c r="J286" t="n">
        <v>0</v>
      </c>
      <c r="K286" t="n">
        <v>0</v>
      </c>
      <c r="L286" t="n">
        <v>0</v>
      </c>
      <c r="M286" t="n">
        <v>0</v>
      </c>
      <c r="N286" t="n">
        <v>0</v>
      </c>
      <c r="O286" t="n">
        <v>0</v>
      </c>
      <c r="P286" t="n">
        <v>0</v>
      </c>
      <c r="Q286" t="n">
        <v>0</v>
      </c>
      <c r="R286" s="2" t="inlineStr"/>
    </row>
    <row r="287" ht="15" customHeight="1">
      <c r="A287" t="inlineStr">
        <is>
          <t>A 20163-2019</t>
        </is>
      </c>
      <c r="B287" s="1" t="n">
        <v>43567</v>
      </c>
      <c r="C287" s="1" t="n">
        <v>45807</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20428-2019</t>
        </is>
      </c>
      <c r="B288" s="1" t="n">
        <v>43571</v>
      </c>
      <c r="C288" s="1" t="n">
        <v>45807</v>
      </c>
      <c r="D288" t="inlineStr">
        <is>
          <t>VÄSTERBOTTENS LÄN</t>
        </is>
      </c>
      <c r="E288" t="inlineStr">
        <is>
          <t>SKELLEFTEÅ</t>
        </is>
      </c>
      <c r="G288" t="n">
        <v>0.8</v>
      </c>
      <c r="H288" t="n">
        <v>0</v>
      </c>
      <c r="I288" t="n">
        <v>0</v>
      </c>
      <c r="J288" t="n">
        <v>0</v>
      </c>
      <c r="K288" t="n">
        <v>0</v>
      </c>
      <c r="L288" t="n">
        <v>0</v>
      </c>
      <c r="M288" t="n">
        <v>0</v>
      </c>
      <c r="N288" t="n">
        <v>0</v>
      </c>
      <c r="O288" t="n">
        <v>0</v>
      </c>
      <c r="P288" t="n">
        <v>0</v>
      </c>
      <c r="Q288" t="n">
        <v>0</v>
      </c>
      <c r="R288" s="2" t="inlineStr"/>
    </row>
    <row r="289" ht="15" customHeight="1">
      <c r="A289" t="inlineStr">
        <is>
          <t>A 20584-2019</t>
        </is>
      </c>
      <c r="B289" s="1" t="n">
        <v>43572</v>
      </c>
      <c r="C289" s="1" t="n">
        <v>45807</v>
      </c>
      <c r="D289" t="inlineStr">
        <is>
          <t>VÄSTERBOTTENS LÄN</t>
        </is>
      </c>
      <c r="E289" t="inlineStr">
        <is>
          <t>SKELLEFTEÅ</t>
        </is>
      </c>
      <c r="F289" t="inlineStr">
        <is>
          <t>Kommuner</t>
        </is>
      </c>
      <c r="G289" t="n">
        <v>6.3</v>
      </c>
      <c r="H289" t="n">
        <v>0</v>
      </c>
      <c r="I289" t="n">
        <v>0</v>
      </c>
      <c r="J289" t="n">
        <v>0</v>
      </c>
      <c r="K289" t="n">
        <v>0</v>
      </c>
      <c r="L289" t="n">
        <v>0</v>
      </c>
      <c r="M289" t="n">
        <v>0</v>
      </c>
      <c r="N289" t="n">
        <v>0</v>
      </c>
      <c r="O289" t="n">
        <v>0</v>
      </c>
      <c r="P289" t="n">
        <v>0</v>
      </c>
      <c r="Q289" t="n">
        <v>0</v>
      </c>
      <c r="R289" s="2" t="inlineStr"/>
    </row>
    <row r="290" ht="15" customHeight="1">
      <c r="A290" t="inlineStr">
        <is>
          <t>A 20668-2019</t>
        </is>
      </c>
      <c r="B290" s="1" t="n">
        <v>43572</v>
      </c>
      <c r="C290" s="1" t="n">
        <v>45807</v>
      </c>
      <c r="D290" t="inlineStr">
        <is>
          <t>VÄSTERBOTTENS LÄN</t>
        </is>
      </c>
      <c r="E290" t="inlineStr">
        <is>
          <t>SKELLEFTEÅ</t>
        </is>
      </c>
      <c r="G290" t="n">
        <v>1</v>
      </c>
      <c r="H290" t="n">
        <v>0</v>
      </c>
      <c r="I290" t="n">
        <v>0</v>
      </c>
      <c r="J290" t="n">
        <v>0</v>
      </c>
      <c r="K290" t="n">
        <v>0</v>
      </c>
      <c r="L290" t="n">
        <v>0</v>
      </c>
      <c r="M290" t="n">
        <v>0</v>
      </c>
      <c r="N290" t="n">
        <v>0</v>
      </c>
      <c r="O290" t="n">
        <v>0</v>
      </c>
      <c r="P290" t="n">
        <v>0</v>
      </c>
      <c r="Q290" t="n">
        <v>0</v>
      </c>
      <c r="R290" s="2" t="inlineStr"/>
    </row>
    <row r="291" ht="15" customHeight="1">
      <c r="A291" t="inlineStr">
        <is>
          <t>A 21553-2019</t>
        </is>
      </c>
      <c r="B291" s="1" t="n">
        <v>43580</v>
      </c>
      <c r="C291" s="1" t="n">
        <v>45807</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21583-2019</t>
        </is>
      </c>
      <c r="B292" s="1" t="n">
        <v>43580</v>
      </c>
      <c r="C292" s="1" t="n">
        <v>45807</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22580-2019</t>
        </is>
      </c>
      <c r="B293" s="1" t="n">
        <v>43587</v>
      </c>
      <c r="C293" s="1" t="n">
        <v>45807</v>
      </c>
      <c r="D293" t="inlineStr">
        <is>
          <t>VÄSTERBOTTENS LÄN</t>
        </is>
      </c>
      <c r="E293" t="inlineStr">
        <is>
          <t>SKELLEFTEÅ</t>
        </is>
      </c>
      <c r="G293" t="n">
        <v>3</v>
      </c>
      <c r="H293" t="n">
        <v>0</v>
      </c>
      <c r="I293" t="n">
        <v>0</v>
      </c>
      <c r="J293" t="n">
        <v>0</v>
      </c>
      <c r="K293" t="n">
        <v>0</v>
      </c>
      <c r="L293" t="n">
        <v>0</v>
      </c>
      <c r="M293" t="n">
        <v>0</v>
      </c>
      <c r="N293" t="n">
        <v>0</v>
      </c>
      <c r="O293" t="n">
        <v>0</v>
      </c>
      <c r="P293" t="n">
        <v>0</v>
      </c>
      <c r="Q293" t="n">
        <v>0</v>
      </c>
      <c r="R293" s="2" t="inlineStr"/>
    </row>
    <row r="294" ht="15" customHeight="1">
      <c r="A294" t="inlineStr">
        <is>
          <t>A 23436-2019</t>
        </is>
      </c>
      <c r="B294" s="1" t="n">
        <v>43592</v>
      </c>
      <c r="C294" s="1" t="n">
        <v>45807</v>
      </c>
      <c r="D294" t="inlineStr">
        <is>
          <t>VÄSTERBOTTENS LÄN</t>
        </is>
      </c>
      <c r="E294" t="inlineStr">
        <is>
          <t>SKELLEFTEÅ</t>
        </is>
      </c>
      <c r="G294" t="n">
        <v>13</v>
      </c>
      <c r="H294" t="n">
        <v>0</v>
      </c>
      <c r="I294" t="n">
        <v>0</v>
      </c>
      <c r="J294" t="n">
        <v>0</v>
      </c>
      <c r="K294" t="n">
        <v>0</v>
      </c>
      <c r="L294" t="n">
        <v>0</v>
      </c>
      <c r="M294" t="n">
        <v>0</v>
      </c>
      <c r="N294" t="n">
        <v>0</v>
      </c>
      <c r="O294" t="n">
        <v>0</v>
      </c>
      <c r="P294" t="n">
        <v>0</v>
      </c>
      <c r="Q294" t="n">
        <v>0</v>
      </c>
      <c r="R294" s="2" t="inlineStr"/>
    </row>
    <row r="295" ht="15" customHeight="1">
      <c r="A295" t="inlineStr">
        <is>
          <t>A 23396-2019</t>
        </is>
      </c>
      <c r="B295" s="1" t="n">
        <v>43592</v>
      </c>
      <c r="C295" s="1" t="n">
        <v>45807</v>
      </c>
      <c r="D295" t="inlineStr">
        <is>
          <t>VÄSTERBOTTENS LÄN</t>
        </is>
      </c>
      <c r="E295" t="inlineStr">
        <is>
          <t>SKELLEFTEÅ</t>
        </is>
      </c>
      <c r="G295" t="n">
        <v>5.1</v>
      </c>
      <c r="H295" t="n">
        <v>0</v>
      </c>
      <c r="I295" t="n">
        <v>0</v>
      </c>
      <c r="J295" t="n">
        <v>0</v>
      </c>
      <c r="K295" t="n">
        <v>0</v>
      </c>
      <c r="L295" t="n">
        <v>0</v>
      </c>
      <c r="M295" t="n">
        <v>0</v>
      </c>
      <c r="N295" t="n">
        <v>0</v>
      </c>
      <c r="O295" t="n">
        <v>0</v>
      </c>
      <c r="P295" t="n">
        <v>0</v>
      </c>
      <c r="Q295" t="n">
        <v>0</v>
      </c>
      <c r="R295" s="2" t="inlineStr"/>
    </row>
    <row r="296" ht="15" customHeight="1">
      <c r="A296" t="inlineStr">
        <is>
          <t>A 24063-2019</t>
        </is>
      </c>
      <c r="B296" s="1" t="n">
        <v>43598</v>
      </c>
      <c r="C296" s="1" t="n">
        <v>45807</v>
      </c>
      <c r="D296" t="inlineStr">
        <is>
          <t>VÄSTERBOTTENS LÄN</t>
        </is>
      </c>
      <c r="E296" t="inlineStr">
        <is>
          <t>SKELLEFTEÅ</t>
        </is>
      </c>
      <c r="G296" t="n">
        <v>1.3</v>
      </c>
      <c r="H296" t="n">
        <v>0</v>
      </c>
      <c r="I296" t="n">
        <v>0</v>
      </c>
      <c r="J296" t="n">
        <v>0</v>
      </c>
      <c r="K296" t="n">
        <v>0</v>
      </c>
      <c r="L296" t="n">
        <v>0</v>
      </c>
      <c r="M296" t="n">
        <v>0</v>
      </c>
      <c r="N296" t="n">
        <v>0</v>
      </c>
      <c r="O296" t="n">
        <v>0</v>
      </c>
      <c r="P296" t="n">
        <v>0</v>
      </c>
      <c r="Q296" t="n">
        <v>0</v>
      </c>
      <c r="R296" s="2" t="inlineStr"/>
    </row>
    <row r="297" ht="15" customHeight="1">
      <c r="A297" t="inlineStr">
        <is>
          <t>A 24164-2019</t>
        </is>
      </c>
      <c r="B297" s="1" t="n">
        <v>43598</v>
      </c>
      <c r="C297" s="1" t="n">
        <v>45807</v>
      </c>
      <c r="D297" t="inlineStr">
        <is>
          <t>VÄSTERBOTTENS LÄN</t>
        </is>
      </c>
      <c r="E297" t="inlineStr">
        <is>
          <t>SKELLEFTEÅ</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24210-2019</t>
        </is>
      </c>
      <c r="B298" s="1" t="n">
        <v>43599</v>
      </c>
      <c r="C298" s="1" t="n">
        <v>45807</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26115-2019</t>
        </is>
      </c>
      <c r="B299" s="1" t="n">
        <v>43605</v>
      </c>
      <c r="C299" s="1" t="n">
        <v>45807</v>
      </c>
      <c r="D299" t="inlineStr">
        <is>
          <t>VÄSTERBOTTENS LÄN</t>
        </is>
      </c>
      <c r="E299" t="inlineStr">
        <is>
          <t>SKELLEFTEÅ</t>
        </is>
      </c>
      <c r="G299" t="n">
        <v>1.7</v>
      </c>
      <c r="H299" t="n">
        <v>0</v>
      </c>
      <c r="I299" t="n">
        <v>0</v>
      </c>
      <c r="J299" t="n">
        <v>0</v>
      </c>
      <c r="K299" t="n">
        <v>0</v>
      </c>
      <c r="L299" t="n">
        <v>0</v>
      </c>
      <c r="M299" t="n">
        <v>0</v>
      </c>
      <c r="N299" t="n">
        <v>0</v>
      </c>
      <c r="O299" t="n">
        <v>0</v>
      </c>
      <c r="P299" t="n">
        <v>0</v>
      </c>
      <c r="Q299" t="n">
        <v>0</v>
      </c>
      <c r="R299" s="2" t="inlineStr"/>
    </row>
    <row r="300" ht="15" customHeight="1">
      <c r="A300" t="inlineStr">
        <is>
          <t>A 26174-2019</t>
        </is>
      </c>
      <c r="B300" s="1" t="n">
        <v>43605</v>
      </c>
      <c r="C300" s="1" t="n">
        <v>45807</v>
      </c>
      <c r="D300" t="inlineStr">
        <is>
          <t>VÄSTERBOTTENS LÄN</t>
        </is>
      </c>
      <c r="E300" t="inlineStr">
        <is>
          <t>SKELLEFTEÅ</t>
        </is>
      </c>
      <c r="G300" t="n">
        <v>4.3</v>
      </c>
      <c r="H300" t="n">
        <v>0</v>
      </c>
      <c r="I300" t="n">
        <v>0</v>
      </c>
      <c r="J300" t="n">
        <v>0</v>
      </c>
      <c r="K300" t="n">
        <v>0</v>
      </c>
      <c r="L300" t="n">
        <v>0</v>
      </c>
      <c r="M300" t="n">
        <v>0</v>
      </c>
      <c r="N300" t="n">
        <v>0</v>
      </c>
      <c r="O300" t="n">
        <v>0</v>
      </c>
      <c r="P300" t="n">
        <v>0</v>
      </c>
      <c r="Q300" t="n">
        <v>0</v>
      </c>
      <c r="R300" s="2" t="inlineStr"/>
    </row>
    <row r="301" ht="15" customHeight="1">
      <c r="A301" t="inlineStr">
        <is>
          <t>A 26039-2019</t>
        </is>
      </c>
      <c r="B301" s="1" t="n">
        <v>43609</v>
      </c>
      <c r="C301" s="1" t="n">
        <v>45807</v>
      </c>
      <c r="D301" t="inlineStr">
        <is>
          <t>VÄSTERBOTTENS LÄN</t>
        </is>
      </c>
      <c r="E301" t="inlineStr">
        <is>
          <t>SKELLEFTEÅ</t>
        </is>
      </c>
      <c r="G301" t="n">
        <v>3.4</v>
      </c>
      <c r="H301" t="n">
        <v>0</v>
      </c>
      <c r="I301" t="n">
        <v>0</v>
      </c>
      <c r="J301" t="n">
        <v>0</v>
      </c>
      <c r="K301" t="n">
        <v>0</v>
      </c>
      <c r="L301" t="n">
        <v>0</v>
      </c>
      <c r="M301" t="n">
        <v>0</v>
      </c>
      <c r="N301" t="n">
        <v>0</v>
      </c>
      <c r="O301" t="n">
        <v>0</v>
      </c>
      <c r="P301" t="n">
        <v>0</v>
      </c>
      <c r="Q301" t="n">
        <v>0</v>
      </c>
      <c r="R301" s="2" t="inlineStr"/>
    </row>
    <row r="302" ht="15" customHeight="1">
      <c r="A302" t="inlineStr">
        <is>
          <t>A 26148-2019</t>
        </is>
      </c>
      <c r="B302" s="1" t="n">
        <v>43609</v>
      </c>
      <c r="C302" s="1" t="n">
        <v>45807</v>
      </c>
      <c r="D302" t="inlineStr">
        <is>
          <t>VÄSTERBOTTENS LÄN</t>
        </is>
      </c>
      <c r="E302" t="inlineStr">
        <is>
          <t>SKELLEFTEÅ</t>
        </is>
      </c>
      <c r="G302" t="n">
        <v>4.5</v>
      </c>
      <c r="H302" t="n">
        <v>0</v>
      </c>
      <c r="I302" t="n">
        <v>0</v>
      </c>
      <c r="J302" t="n">
        <v>0</v>
      </c>
      <c r="K302" t="n">
        <v>0</v>
      </c>
      <c r="L302" t="n">
        <v>0</v>
      </c>
      <c r="M302" t="n">
        <v>0</v>
      </c>
      <c r="N302" t="n">
        <v>0</v>
      </c>
      <c r="O302" t="n">
        <v>0</v>
      </c>
      <c r="P302" t="n">
        <v>0</v>
      </c>
      <c r="Q302" t="n">
        <v>0</v>
      </c>
      <c r="R302" s="2" t="inlineStr"/>
    </row>
    <row r="303" ht="15" customHeight="1">
      <c r="A303" t="inlineStr">
        <is>
          <t>A 26180-2019</t>
        </is>
      </c>
      <c r="B303" s="1" t="n">
        <v>43609</v>
      </c>
      <c r="C303" s="1" t="n">
        <v>45807</v>
      </c>
      <c r="D303" t="inlineStr">
        <is>
          <t>VÄSTERBOTTENS LÄN</t>
        </is>
      </c>
      <c r="E303" t="inlineStr">
        <is>
          <t>SKELLEFTEÅ</t>
        </is>
      </c>
      <c r="G303" t="n">
        <v>6</v>
      </c>
      <c r="H303" t="n">
        <v>0</v>
      </c>
      <c r="I303" t="n">
        <v>0</v>
      </c>
      <c r="J303" t="n">
        <v>0</v>
      </c>
      <c r="K303" t="n">
        <v>0</v>
      </c>
      <c r="L303" t="n">
        <v>0</v>
      </c>
      <c r="M303" t="n">
        <v>0</v>
      </c>
      <c r="N303" t="n">
        <v>0</v>
      </c>
      <c r="O303" t="n">
        <v>0</v>
      </c>
      <c r="P303" t="n">
        <v>0</v>
      </c>
      <c r="Q303" t="n">
        <v>0</v>
      </c>
      <c r="R303" s="2" t="inlineStr"/>
    </row>
    <row r="304" ht="15" customHeight="1">
      <c r="A304" t="inlineStr">
        <is>
          <t>A 26075-2019</t>
        </is>
      </c>
      <c r="B304" s="1" t="n">
        <v>43609</v>
      </c>
      <c r="C304" s="1" t="n">
        <v>45807</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26859-2019</t>
        </is>
      </c>
      <c r="B305" s="1" t="n">
        <v>43613</v>
      </c>
      <c r="C305" s="1" t="n">
        <v>45807</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28114-2019</t>
        </is>
      </c>
      <c r="B306" s="1" t="n">
        <v>43613</v>
      </c>
      <c r="C306" s="1" t="n">
        <v>45807</v>
      </c>
      <c r="D306" t="inlineStr">
        <is>
          <t>VÄSTERBOTTENS LÄN</t>
        </is>
      </c>
      <c r="E306" t="inlineStr">
        <is>
          <t>SKELLEFTEÅ</t>
        </is>
      </c>
      <c r="G306" t="n">
        <v>4.4</v>
      </c>
      <c r="H306" t="n">
        <v>0</v>
      </c>
      <c r="I306" t="n">
        <v>0</v>
      </c>
      <c r="J306" t="n">
        <v>0</v>
      </c>
      <c r="K306" t="n">
        <v>0</v>
      </c>
      <c r="L306" t="n">
        <v>0</v>
      </c>
      <c r="M306" t="n">
        <v>0</v>
      </c>
      <c r="N306" t="n">
        <v>0</v>
      </c>
      <c r="O306" t="n">
        <v>0</v>
      </c>
      <c r="P306" t="n">
        <v>0</v>
      </c>
      <c r="Q306" t="n">
        <v>0</v>
      </c>
      <c r="R306" s="2" t="inlineStr"/>
    </row>
    <row r="307" ht="15" customHeight="1">
      <c r="A307" t="inlineStr">
        <is>
          <t>A 26907-2019</t>
        </is>
      </c>
      <c r="B307" s="1" t="n">
        <v>43613</v>
      </c>
      <c r="C307" s="1" t="n">
        <v>45807</v>
      </c>
      <c r="D307" t="inlineStr">
        <is>
          <t>VÄSTERBOTTENS LÄN</t>
        </is>
      </c>
      <c r="E307" t="inlineStr">
        <is>
          <t>SKELLEFTEÅ</t>
        </is>
      </c>
      <c r="G307" t="n">
        <v>0.3</v>
      </c>
      <c r="H307" t="n">
        <v>0</v>
      </c>
      <c r="I307" t="n">
        <v>0</v>
      </c>
      <c r="J307" t="n">
        <v>0</v>
      </c>
      <c r="K307" t="n">
        <v>0</v>
      </c>
      <c r="L307" t="n">
        <v>0</v>
      </c>
      <c r="M307" t="n">
        <v>0</v>
      </c>
      <c r="N307" t="n">
        <v>0</v>
      </c>
      <c r="O307" t="n">
        <v>0</v>
      </c>
      <c r="P307" t="n">
        <v>0</v>
      </c>
      <c r="Q307" t="n">
        <v>0</v>
      </c>
      <c r="R307" s="2" t="inlineStr"/>
    </row>
    <row r="308" ht="15" customHeight="1">
      <c r="A308" t="inlineStr">
        <is>
          <t>A 28920-2019</t>
        </is>
      </c>
      <c r="B308" s="1" t="n">
        <v>43619</v>
      </c>
      <c r="C308" s="1" t="n">
        <v>45807</v>
      </c>
      <c r="D308" t="inlineStr">
        <is>
          <t>VÄSTERBOTTENS LÄN</t>
        </is>
      </c>
      <c r="E308" t="inlineStr">
        <is>
          <t>SKELLEFTEÅ</t>
        </is>
      </c>
      <c r="G308" t="n">
        <v>8.1</v>
      </c>
      <c r="H308" t="n">
        <v>0</v>
      </c>
      <c r="I308" t="n">
        <v>0</v>
      </c>
      <c r="J308" t="n">
        <v>0</v>
      </c>
      <c r="K308" t="n">
        <v>0</v>
      </c>
      <c r="L308" t="n">
        <v>0</v>
      </c>
      <c r="M308" t="n">
        <v>0</v>
      </c>
      <c r="N308" t="n">
        <v>0</v>
      </c>
      <c r="O308" t="n">
        <v>0</v>
      </c>
      <c r="P308" t="n">
        <v>0</v>
      </c>
      <c r="Q308" t="n">
        <v>0</v>
      </c>
      <c r="R308" s="2" t="inlineStr"/>
    </row>
    <row r="309" ht="15" customHeight="1">
      <c r="A309" t="inlineStr">
        <is>
          <t>A 28983-2019</t>
        </is>
      </c>
      <c r="B309" s="1" t="n">
        <v>43620</v>
      </c>
      <c r="C309" s="1" t="n">
        <v>45807</v>
      </c>
      <c r="D309" t="inlineStr">
        <is>
          <t>VÄSTERBOTTENS LÄN</t>
        </is>
      </c>
      <c r="E309" t="inlineStr">
        <is>
          <t>SKELLEFTEÅ</t>
        </is>
      </c>
      <c r="G309" t="n">
        <v>5.2</v>
      </c>
      <c r="H309" t="n">
        <v>0</v>
      </c>
      <c r="I309" t="n">
        <v>0</v>
      </c>
      <c r="J309" t="n">
        <v>0</v>
      </c>
      <c r="K309" t="n">
        <v>0</v>
      </c>
      <c r="L309" t="n">
        <v>0</v>
      </c>
      <c r="M309" t="n">
        <v>0</v>
      </c>
      <c r="N309" t="n">
        <v>0</v>
      </c>
      <c r="O309" t="n">
        <v>0</v>
      </c>
      <c r="P309" t="n">
        <v>0</v>
      </c>
      <c r="Q309" t="n">
        <v>0</v>
      </c>
      <c r="R309" s="2" t="inlineStr"/>
    </row>
    <row r="310" ht="15" customHeight="1">
      <c r="A310" t="inlineStr">
        <is>
          <t>A 29034-2019</t>
        </is>
      </c>
      <c r="B310" s="1" t="n">
        <v>43620</v>
      </c>
      <c r="C310" s="1" t="n">
        <v>45807</v>
      </c>
      <c r="D310" t="inlineStr">
        <is>
          <t>VÄSTERBOTTENS LÄN</t>
        </is>
      </c>
      <c r="E310" t="inlineStr">
        <is>
          <t>SKELLEFTEÅ</t>
        </is>
      </c>
      <c r="G310" t="n">
        <v>5.9</v>
      </c>
      <c r="H310" t="n">
        <v>0</v>
      </c>
      <c r="I310" t="n">
        <v>0</v>
      </c>
      <c r="J310" t="n">
        <v>0</v>
      </c>
      <c r="K310" t="n">
        <v>0</v>
      </c>
      <c r="L310" t="n">
        <v>0</v>
      </c>
      <c r="M310" t="n">
        <v>0</v>
      </c>
      <c r="N310" t="n">
        <v>0</v>
      </c>
      <c r="O310" t="n">
        <v>0</v>
      </c>
      <c r="P310" t="n">
        <v>0</v>
      </c>
      <c r="Q310" t="n">
        <v>0</v>
      </c>
      <c r="R310" s="2" t="inlineStr"/>
    </row>
    <row r="311" ht="15" customHeight="1">
      <c r="A311" t="inlineStr">
        <is>
          <t>A 28979-2019</t>
        </is>
      </c>
      <c r="B311" s="1" t="n">
        <v>43620</v>
      </c>
      <c r="C311" s="1" t="n">
        <v>45807</v>
      </c>
      <c r="D311" t="inlineStr">
        <is>
          <t>VÄSTERBOTTENS LÄN</t>
        </is>
      </c>
      <c r="E311" t="inlineStr">
        <is>
          <t>SKELLEFTEÅ</t>
        </is>
      </c>
      <c r="G311" t="n">
        <v>4.6</v>
      </c>
      <c r="H311" t="n">
        <v>0</v>
      </c>
      <c r="I311" t="n">
        <v>0</v>
      </c>
      <c r="J311" t="n">
        <v>0</v>
      </c>
      <c r="K311" t="n">
        <v>0</v>
      </c>
      <c r="L311" t="n">
        <v>0</v>
      </c>
      <c r="M311" t="n">
        <v>0</v>
      </c>
      <c r="N311" t="n">
        <v>0</v>
      </c>
      <c r="O311" t="n">
        <v>0</v>
      </c>
      <c r="P311" t="n">
        <v>0</v>
      </c>
      <c r="Q311" t="n">
        <v>0</v>
      </c>
      <c r="R311" s="2" t="inlineStr"/>
    </row>
    <row r="312" ht="15" customHeight="1">
      <c r="A312" t="inlineStr">
        <is>
          <t>A 28211-2019</t>
        </is>
      </c>
      <c r="B312" s="1" t="n">
        <v>43621</v>
      </c>
      <c r="C312" s="1" t="n">
        <v>45807</v>
      </c>
      <c r="D312" t="inlineStr">
        <is>
          <t>VÄSTERBOTTENS LÄN</t>
        </is>
      </c>
      <c r="E312" t="inlineStr">
        <is>
          <t>SKELLEFTEÅ</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28612-2019</t>
        </is>
      </c>
      <c r="B313" s="1" t="n">
        <v>43626</v>
      </c>
      <c r="C313" s="1" t="n">
        <v>45807</v>
      </c>
      <c r="D313" t="inlineStr">
        <is>
          <t>VÄSTERBOTTENS LÄN</t>
        </is>
      </c>
      <c r="E313" t="inlineStr">
        <is>
          <t>SKELLEFTEÅ</t>
        </is>
      </c>
      <c r="G313" t="n">
        <v>6.7</v>
      </c>
      <c r="H313" t="n">
        <v>0</v>
      </c>
      <c r="I313" t="n">
        <v>0</v>
      </c>
      <c r="J313" t="n">
        <v>0</v>
      </c>
      <c r="K313" t="n">
        <v>0</v>
      </c>
      <c r="L313" t="n">
        <v>0</v>
      </c>
      <c r="M313" t="n">
        <v>0</v>
      </c>
      <c r="N313" t="n">
        <v>0</v>
      </c>
      <c r="O313" t="n">
        <v>0</v>
      </c>
      <c r="P313" t="n">
        <v>0</v>
      </c>
      <c r="Q313" t="n">
        <v>0</v>
      </c>
      <c r="R313" s="2" t="inlineStr"/>
    </row>
    <row r="314" ht="15" customHeight="1">
      <c r="A314" t="inlineStr">
        <is>
          <t>A 28777-2019</t>
        </is>
      </c>
      <c r="B314" s="1" t="n">
        <v>43627</v>
      </c>
      <c r="C314" s="1" t="n">
        <v>45807</v>
      </c>
      <c r="D314" t="inlineStr">
        <is>
          <t>VÄSTERBOTTENS LÄN</t>
        </is>
      </c>
      <c r="E314" t="inlineStr">
        <is>
          <t>SKELLEFTEÅ</t>
        </is>
      </c>
      <c r="G314" t="n">
        <v>5</v>
      </c>
      <c r="H314" t="n">
        <v>0</v>
      </c>
      <c r="I314" t="n">
        <v>0</v>
      </c>
      <c r="J314" t="n">
        <v>0</v>
      </c>
      <c r="K314" t="n">
        <v>0</v>
      </c>
      <c r="L314" t="n">
        <v>0</v>
      </c>
      <c r="M314" t="n">
        <v>0</v>
      </c>
      <c r="N314" t="n">
        <v>0</v>
      </c>
      <c r="O314" t="n">
        <v>0</v>
      </c>
      <c r="P314" t="n">
        <v>0</v>
      </c>
      <c r="Q314" t="n">
        <v>0</v>
      </c>
      <c r="R314" s="2" t="inlineStr"/>
    </row>
    <row r="315" ht="15" customHeight="1">
      <c r="A315" t="inlineStr">
        <is>
          <t>A 29053-2019</t>
        </is>
      </c>
      <c r="B315" s="1" t="n">
        <v>43628</v>
      </c>
      <c r="C315" s="1" t="n">
        <v>45807</v>
      </c>
      <c r="D315" t="inlineStr">
        <is>
          <t>VÄSTERBOTTENS LÄN</t>
        </is>
      </c>
      <c r="E315" t="inlineStr">
        <is>
          <t>SKELLEFTEÅ</t>
        </is>
      </c>
      <c r="G315" t="n">
        <v>8.6</v>
      </c>
      <c r="H315" t="n">
        <v>0</v>
      </c>
      <c r="I315" t="n">
        <v>0</v>
      </c>
      <c r="J315" t="n">
        <v>0</v>
      </c>
      <c r="K315" t="n">
        <v>0</v>
      </c>
      <c r="L315" t="n">
        <v>0</v>
      </c>
      <c r="M315" t="n">
        <v>0</v>
      </c>
      <c r="N315" t="n">
        <v>0</v>
      </c>
      <c r="O315" t="n">
        <v>0</v>
      </c>
      <c r="P315" t="n">
        <v>0</v>
      </c>
      <c r="Q315" t="n">
        <v>0</v>
      </c>
      <c r="R315" s="2" t="inlineStr"/>
    </row>
    <row r="316" ht="15" customHeight="1">
      <c r="A316" t="inlineStr">
        <is>
          <t>A 29321-2019</t>
        </is>
      </c>
      <c r="B316" s="1" t="n">
        <v>43629</v>
      </c>
      <c r="C316" s="1" t="n">
        <v>45807</v>
      </c>
      <c r="D316" t="inlineStr">
        <is>
          <t>VÄSTERBOTTENS LÄN</t>
        </is>
      </c>
      <c r="E316" t="inlineStr">
        <is>
          <t>SKELLEFTEÅ</t>
        </is>
      </c>
      <c r="F316" t="inlineStr">
        <is>
          <t>Holmen skog AB</t>
        </is>
      </c>
      <c r="G316" t="n">
        <v>12.6</v>
      </c>
      <c r="H316" t="n">
        <v>0</v>
      </c>
      <c r="I316" t="n">
        <v>0</v>
      </c>
      <c r="J316" t="n">
        <v>0</v>
      </c>
      <c r="K316" t="n">
        <v>0</v>
      </c>
      <c r="L316" t="n">
        <v>0</v>
      </c>
      <c r="M316" t="n">
        <v>0</v>
      </c>
      <c r="N316" t="n">
        <v>0</v>
      </c>
      <c r="O316" t="n">
        <v>0</v>
      </c>
      <c r="P316" t="n">
        <v>0</v>
      </c>
      <c r="Q316" t="n">
        <v>0</v>
      </c>
      <c r="R316" s="2" t="inlineStr"/>
    </row>
    <row r="317" ht="15" customHeight="1">
      <c r="A317" t="inlineStr">
        <is>
          <t>A 29383-2019</t>
        </is>
      </c>
      <c r="B317" s="1" t="n">
        <v>43629</v>
      </c>
      <c r="C317" s="1" t="n">
        <v>45807</v>
      </c>
      <c r="D317" t="inlineStr">
        <is>
          <t>VÄSTERBOTTENS LÄN</t>
        </is>
      </c>
      <c r="E317" t="inlineStr">
        <is>
          <t>SKELLEFTEÅ</t>
        </is>
      </c>
      <c r="F317" t="inlineStr">
        <is>
          <t>Holmen skog AB</t>
        </is>
      </c>
      <c r="G317" t="n">
        <v>6.5</v>
      </c>
      <c r="H317" t="n">
        <v>0</v>
      </c>
      <c r="I317" t="n">
        <v>0</v>
      </c>
      <c r="J317" t="n">
        <v>0</v>
      </c>
      <c r="K317" t="n">
        <v>0</v>
      </c>
      <c r="L317" t="n">
        <v>0</v>
      </c>
      <c r="M317" t="n">
        <v>0</v>
      </c>
      <c r="N317" t="n">
        <v>0</v>
      </c>
      <c r="O317" t="n">
        <v>0</v>
      </c>
      <c r="P317" t="n">
        <v>0</v>
      </c>
      <c r="Q317" t="n">
        <v>0</v>
      </c>
      <c r="R317" s="2" t="inlineStr"/>
    </row>
    <row r="318" ht="15" customHeight="1">
      <c r="A318" t="inlineStr">
        <is>
          <t>A 30559-2019</t>
        </is>
      </c>
      <c r="B318" s="1" t="n">
        <v>43634</v>
      </c>
      <c r="C318" s="1" t="n">
        <v>45807</v>
      </c>
      <c r="D318" t="inlineStr">
        <is>
          <t>VÄSTERBOTTENS LÄN</t>
        </is>
      </c>
      <c r="E318" t="inlineStr">
        <is>
          <t>SKELLEFTEÅ</t>
        </is>
      </c>
      <c r="G318" t="n">
        <v>4.6</v>
      </c>
      <c r="H318" t="n">
        <v>0</v>
      </c>
      <c r="I318" t="n">
        <v>0</v>
      </c>
      <c r="J318" t="n">
        <v>0</v>
      </c>
      <c r="K318" t="n">
        <v>0</v>
      </c>
      <c r="L318" t="n">
        <v>0</v>
      </c>
      <c r="M318" t="n">
        <v>0</v>
      </c>
      <c r="N318" t="n">
        <v>0</v>
      </c>
      <c r="O318" t="n">
        <v>0</v>
      </c>
      <c r="P318" t="n">
        <v>0</v>
      </c>
      <c r="Q318" t="n">
        <v>0</v>
      </c>
      <c r="R318" s="2" t="inlineStr"/>
    </row>
    <row r="319" ht="15" customHeight="1">
      <c r="A319" t="inlineStr">
        <is>
          <t>A 30452-2019</t>
        </is>
      </c>
      <c r="B319" s="1" t="n">
        <v>43635</v>
      </c>
      <c r="C319" s="1" t="n">
        <v>45807</v>
      </c>
      <c r="D319" t="inlineStr">
        <is>
          <t>VÄSTERBOTTENS LÄN</t>
        </is>
      </c>
      <c r="E319" t="inlineStr">
        <is>
          <t>SKELLEFTEÅ</t>
        </is>
      </c>
      <c r="G319" t="n">
        <v>1.1</v>
      </c>
      <c r="H319" t="n">
        <v>0</v>
      </c>
      <c r="I319" t="n">
        <v>0</v>
      </c>
      <c r="J319" t="n">
        <v>0</v>
      </c>
      <c r="K319" t="n">
        <v>0</v>
      </c>
      <c r="L319" t="n">
        <v>0</v>
      </c>
      <c r="M319" t="n">
        <v>0</v>
      </c>
      <c r="N319" t="n">
        <v>0</v>
      </c>
      <c r="O319" t="n">
        <v>0</v>
      </c>
      <c r="P319" t="n">
        <v>0</v>
      </c>
      <c r="Q319" t="n">
        <v>0</v>
      </c>
      <c r="R319" s="2" t="inlineStr"/>
    </row>
    <row r="320" ht="15" customHeight="1">
      <c r="A320" t="inlineStr">
        <is>
          <t>A 30754-2019</t>
        </is>
      </c>
      <c r="B320" s="1" t="n">
        <v>43636</v>
      </c>
      <c r="C320" s="1" t="n">
        <v>45807</v>
      </c>
      <c r="D320" t="inlineStr">
        <is>
          <t>VÄSTERBOTTENS LÄN</t>
        </is>
      </c>
      <c r="E320" t="inlineStr">
        <is>
          <t>SKELLEFTEÅ</t>
        </is>
      </c>
      <c r="F320" t="inlineStr">
        <is>
          <t>Holmen skog AB</t>
        </is>
      </c>
      <c r="G320" t="n">
        <v>9.4</v>
      </c>
      <c r="H320" t="n">
        <v>0</v>
      </c>
      <c r="I320" t="n">
        <v>0</v>
      </c>
      <c r="J320" t="n">
        <v>0</v>
      </c>
      <c r="K320" t="n">
        <v>0</v>
      </c>
      <c r="L320" t="n">
        <v>0</v>
      </c>
      <c r="M320" t="n">
        <v>0</v>
      </c>
      <c r="N320" t="n">
        <v>0</v>
      </c>
      <c r="O320" t="n">
        <v>0</v>
      </c>
      <c r="P320" t="n">
        <v>0</v>
      </c>
      <c r="Q320" t="n">
        <v>0</v>
      </c>
      <c r="R320" s="2" t="inlineStr"/>
    </row>
    <row r="321" ht="15" customHeight="1">
      <c r="A321" t="inlineStr">
        <is>
          <t>A 30804-2019</t>
        </is>
      </c>
      <c r="B321" s="1" t="n">
        <v>43636</v>
      </c>
      <c r="C321" s="1" t="n">
        <v>45807</v>
      </c>
      <c r="D321" t="inlineStr">
        <is>
          <t>VÄSTERBOTTENS LÄN</t>
        </is>
      </c>
      <c r="E321" t="inlineStr">
        <is>
          <t>SKELLEFTEÅ</t>
        </is>
      </c>
      <c r="F321" t="inlineStr">
        <is>
          <t>Holmen skog AB</t>
        </is>
      </c>
      <c r="G321" t="n">
        <v>3.9</v>
      </c>
      <c r="H321" t="n">
        <v>0</v>
      </c>
      <c r="I321" t="n">
        <v>0</v>
      </c>
      <c r="J321" t="n">
        <v>0</v>
      </c>
      <c r="K321" t="n">
        <v>0</v>
      </c>
      <c r="L321" t="n">
        <v>0</v>
      </c>
      <c r="M321" t="n">
        <v>0</v>
      </c>
      <c r="N321" t="n">
        <v>0</v>
      </c>
      <c r="O321" t="n">
        <v>0</v>
      </c>
      <c r="P321" t="n">
        <v>0</v>
      </c>
      <c r="Q321" t="n">
        <v>0</v>
      </c>
      <c r="R321" s="2" t="inlineStr"/>
    </row>
    <row r="322" ht="15" customHeight="1">
      <c r="A322" t="inlineStr">
        <is>
          <t>A 31012-2019</t>
        </is>
      </c>
      <c r="B322" s="1" t="n">
        <v>43640</v>
      </c>
      <c r="C322" s="1" t="n">
        <v>45807</v>
      </c>
      <c r="D322" t="inlineStr">
        <is>
          <t>VÄSTERBOTTENS LÄN</t>
        </is>
      </c>
      <c r="E322" t="inlineStr">
        <is>
          <t>SKELLEFTEÅ</t>
        </is>
      </c>
      <c r="F322" t="inlineStr">
        <is>
          <t>Holmen skog AB</t>
        </is>
      </c>
      <c r="G322" t="n">
        <v>6.3</v>
      </c>
      <c r="H322" t="n">
        <v>0</v>
      </c>
      <c r="I322" t="n">
        <v>0</v>
      </c>
      <c r="J322" t="n">
        <v>0</v>
      </c>
      <c r="K322" t="n">
        <v>0</v>
      </c>
      <c r="L322" t="n">
        <v>0</v>
      </c>
      <c r="M322" t="n">
        <v>0</v>
      </c>
      <c r="N322" t="n">
        <v>0</v>
      </c>
      <c r="O322" t="n">
        <v>0</v>
      </c>
      <c r="P322" t="n">
        <v>0</v>
      </c>
      <c r="Q322" t="n">
        <v>0</v>
      </c>
      <c r="R322" s="2" t="inlineStr"/>
      <c r="U322">
        <f>HYPERLINK("https://klasma.github.io/Logging_2482/knärot/A 31012-2019 karta knärot.png", "A 31012-2019")</f>
        <v/>
      </c>
      <c r="V322">
        <f>HYPERLINK("https://klasma.github.io/Logging_2482/klagomål/A 31012-2019 FSC-klagomål.docx", "A 31012-2019")</f>
        <v/>
      </c>
      <c r="W322">
        <f>HYPERLINK("https://klasma.github.io/Logging_2482/klagomålsmail/A 31012-2019 FSC-klagomål mail.docx", "A 31012-2019")</f>
        <v/>
      </c>
      <c r="X322">
        <f>HYPERLINK("https://klasma.github.io/Logging_2482/tillsyn/A 31012-2019 tillsynsbegäran.docx", "A 31012-2019")</f>
        <v/>
      </c>
      <c r="Y322">
        <f>HYPERLINK("https://klasma.github.io/Logging_2482/tillsynsmail/A 31012-2019 tillsynsbegäran mail.docx", "A 31012-2019")</f>
        <v/>
      </c>
    </row>
    <row r="323" ht="15" customHeight="1">
      <c r="A323" t="inlineStr">
        <is>
          <t>A 31500-2019</t>
        </is>
      </c>
      <c r="B323" s="1" t="n">
        <v>43641</v>
      </c>
      <c r="C323" s="1" t="n">
        <v>45807</v>
      </c>
      <c r="D323" t="inlineStr">
        <is>
          <t>VÄSTERBOTTENS LÄN</t>
        </is>
      </c>
      <c r="E323" t="inlineStr">
        <is>
          <t>SKELLEFTEÅ</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31322-2019</t>
        </is>
      </c>
      <c r="B324" s="1" t="n">
        <v>43641</v>
      </c>
      <c r="C324" s="1" t="n">
        <v>45807</v>
      </c>
      <c r="D324" t="inlineStr">
        <is>
          <t>VÄSTERBOTTENS LÄN</t>
        </is>
      </c>
      <c r="E324" t="inlineStr">
        <is>
          <t>SKELLEFTEÅ</t>
        </is>
      </c>
      <c r="G324" t="n">
        <v>0.5</v>
      </c>
      <c r="H324" t="n">
        <v>0</v>
      </c>
      <c r="I324" t="n">
        <v>0</v>
      </c>
      <c r="J324" t="n">
        <v>0</v>
      </c>
      <c r="K324" t="n">
        <v>0</v>
      </c>
      <c r="L324" t="n">
        <v>0</v>
      </c>
      <c r="M324" t="n">
        <v>0</v>
      </c>
      <c r="N324" t="n">
        <v>0</v>
      </c>
      <c r="O324" t="n">
        <v>0</v>
      </c>
      <c r="P324" t="n">
        <v>0</v>
      </c>
      <c r="Q324" t="n">
        <v>0</v>
      </c>
      <c r="R324" s="2" t="inlineStr"/>
    </row>
    <row r="325" ht="15" customHeight="1">
      <c r="A325" t="inlineStr">
        <is>
          <t>A 31629-2019</t>
        </is>
      </c>
      <c r="B325" s="1" t="n">
        <v>43642</v>
      </c>
      <c r="C325" s="1" t="n">
        <v>45807</v>
      </c>
      <c r="D325" t="inlineStr">
        <is>
          <t>VÄSTERBOTTENS LÄN</t>
        </is>
      </c>
      <c r="E325" t="inlineStr">
        <is>
          <t>SKELLEFTEÅ</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32239-2019</t>
        </is>
      </c>
      <c r="B326" s="1" t="n">
        <v>43644</v>
      </c>
      <c r="C326" s="1" t="n">
        <v>45807</v>
      </c>
      <c r="D326" t="inlineStr">
        <is>
          <t>VÄSTERBOTTENS LÄN</t>
        </is>
      </c>
      <c r="E326" t="inlineStr">
        <is>
          <t>SKELLEFTEÅ</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32343-2019</t>
        </is>
      </c>
      <c r="B327" s="1" t="n">
        <v>43644</v>
      </c>
      <c r="C327" s="1" t="n">
        <v>45807</v>
      </c>
      <c r="D327" t="inlineStr">
        <is>
          <t>VÄSTERBOTTENS LÄN</t>
        </is>
      </c>
      <c r="E327" t="inlineStr">
        <is>
          <t>SKELLEFTEÅ</t>
        </is>
      </c>
      <c r="F327" t="inlineStr">
        <is>
          <t>Holmen skog AB</t>
        </is>
      </c>
      <c r="G327" t="n">
        <v>12.8</v>
      </c>
      <c r="H327" t="n">
        <v>0</v>
      </c>
      <c r="I327" t="n">
        <v>0</v>
      </c>
      <c r="J327" t="n">
        <v>0</v>
      </c>
      <c r="K327" t="n">
        <v>0</v>
      </c>
      <c r="L327" t="n">
        <v>0</v>
      </c>
      <c r="M327" t="n">
        <v>0</v>
      </c>
      <c r="N327" t="n">
        <v>0</v>
      </c>
      <c r="O327" t="n">
        <v>0</v>
      </c>
      <c r="P327" t="n">
        <v>0</v>
      </c>
      <c r="Q327" t="n">
        <v>0</v>
      </c>
      <c r="R327" s="2" t="inlineStr"/>
    </row>
    <row r="328" ht="15" customHeight="1">
      <c r="A328" t="inlineStr">
        <is>
          <t>A 32606-2019</t>
        </is>
      </c>
      <c r="B328" s="1" t="n">
        <v>43647</v>
      </c>
      <c r="C328" s="1" t="n">
        <v>45807</v>
      </c>
      <c r="D328" t="inlineStr">
        <is>
          <t>VÄSTERBOTTENS LÄN</t>
        </is>
      </c>
      <c r="E328" t="inlineStr">
        <is>
          <t>SKELLEFTEÅ</t>
        </is>
      </c>
      <c r="F328" t="inlineStr">
        <is>
          <t>Holmen skog AB</t>
        </is>
      </c>
      <c r="G328" t="n">
        <v>7.3</v>
      </c>
      <c r="H328" t="n">
        <v>0</v>
      </c>
      <c r="I328" t="n">
        <v>0</v>
      </c>
      <c r="J328" t="n">
        <v>0</v>
      </c>
      <c r="K328" t="n">
        <v>0</v>
      </c>
      <c r="L328" t="n">
        <v>0</v>
      </c>
      <c r="M328" t="n">
        <v>0</v>
      </c>
      <c r="N328" t="n">
        <v>0</v>
      </c>
      <c r="O328" t="n">
        <v>0</v>
      </c>
      <c r="P328" t="n">
        <v>0</v>
      </c>
      <c r="Q328" t="n">
        <v>0</v>
      </c>
      <c r="R328" s="2" t="inlineStr"/>
    </row>
    <row r="329" ht="15" customHeight="1">
      <c r="A329" t="inlineStr">
        <is>
          <t>A 34575-2019</t>
        </is>
      </c>
      <c r="B329" s="1" t="n">
        <v>43647</v>
      </c>
      <c r="C329" s="1" t="n">
        <v>45807</v>
      </c>
      <c r="D329" t="inlineStr">
        <is>
          <t>VÄSTERBOTTENS LÄN</t>
        </is>
      </c>
      <c r="E329" t="inlineStr">
        <is>
          <t>SKELLEFTEÅ</t>
        </is>
      </c>
      <c r="G329" t="n">
        <v>1.8</v>
      </c>
      <c r="H329" t="n">
        <v>0</v>
      </c>
      <c r="I329" t="n">
        <v>0</v>
      </c>
      <c r="J329" t="n">
        <v>0</v>
      </c>
      <c r="K329" t="n">
        <v>0</v>
      </c>
      <c r="L329" t="n">
        <v>0</v>
      </c>
      <c r="M329" t="n">
        <v>0</v>
      </c>
      <c r="N329" t="n">
        <v>0</v>
      </c>
      <c r="O329" t="n">
        <v>0</v>
      </c>
      <c r="P329" t="n">
        <v>0</v>
      </c>
      <c r="Q329" t="n">
        <v>0</v>
      </c>
      <c r="R329" s="2" t="inlineStr"/>
    </row>
    <row r="330" ht="15" customHeight="1">
      <c r="A330" t="inlineStr">
        <is>
          <t>A 34645-2019</t>
        </is>
      </c>
      <c r="B330" s="1" t="n">
        <v>43647</v>
      </c>
      <c r="C330" s="1" t="n">
        <v>45807</v>
      </c>
      <c r="D330" t="inlineStr">
        <is>
          <t>VÄSTERBOTTENS LÄN</t>
        </is>
      </c>
      <c r="E330" t="inlineStr">
        <is>
          <t>SKELLEFTEÅ</t>
        </is>
      </c>
      <c r="G330" t="n">
        <v>2</v>
      </c>
      <c r="H330" t="n">
        <v>0</v>
      </c>
      <c r="I330" t="n">
        <v>0</v>
      </c>
      <c r="J330" t="n">
        <v>0</v>
      </c>
      <c r="K330" t="n">
        <v>0</v>
      </c>
      <c r="L330" t="n">
        <v>0</v>
      </c>
      <c r="M330" t="n">
        <v>0</v>
      </c>
      <c r="N330" t="n">
        <v>0</v>
      </c>
      <c r="O330" t="n">
        <v>0</v>
      </c>
      <c r="P330" t="n">
        <v>0</v>
      </c>
      <c r="Q330" t="n">
        <v>0</v>
      </c>
      <c r="R330" s="2" t="inlineStr"/>
    </row>
    <row r="331" ht="15" customHeight="1">
      <c r="A331" t="inlineStr">
        <is>
          <t>A 32679-2019</t>
        </is>
      </c>
      <c r="B331" s="1" t="n">
        <v>43647</v>
      </c>
      <c r="C331" s="1" t="n">
        <v>45807</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34627-2019</t>
        </is>
      </c>
      <c r="B332" s="1" t="n">
        <v>43647</v>
      </c>
      <c r="C332" s="1" t="n">
        <v>45807</v>
      </c>
      <c r="D332" t="inlineStr">
        <is>
          <t>VÄSTERBOTTENS LÄN</t>
        </is>
      </c>
      <c r="E332" t="inlineStr">
        <is>
          <t>SKELLEFTEÅ</t>
        </is>
      </c>
      <c r="G332" t="n">
        <v>11.6</v>
      </c>
      <c r="H332" t="n">
        <v>0</v>
      </c>
      <c r="I332" t="n">
        <v>0</v>
      </c>
      <c r="J332" t="n">
        <v>0</v>
      </c>
      <c r="K332" t="n">
        <v>0</v>
      </c>
      <c r="L332" t="n">
        <v>0</v>
      </c>
      <c r="M332" t="n">
        <v>0</v>
      </c>
      <c r="N332" t="n">
        <v>0</v>
      </c>
      <c r="O332" t="n">
        <v>0</v>
      </c>
      <c r="P332" t="n">
        <v>0</v>
      </c>
      <c r="Q332" t="n">
        <v>0</v>
      </c>
      <c r="R332" s="2" t="inlineStr"/>
    </row>
    <row r="333" ht="15" customHeight="1">
      <c r="A333" t="inlineStr">
        <is>
          <t>A 32772-2019</t>
        </is>
      </c>
      <c r="B333" s="1" t="n">
        <v>43648</v>
      </c>
      <c r="C333" s="1" t="n">
        <v>45807</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32866-2019</t>
        </is>
      </c>
      <c r="B334" s="1" t="n">
        <v>43648</v>
      </c>
      <c r="C334" s="1" t="n">
        <v>45807</v>
      </c>
      <c r="D334" t="inlineStr">
        <is>
          <t>VÄSTERBOTTENS LÄN</t>
        </is>
      </c>
      <c r="E334" t="inlineStr">
        <is>
          <t>SKELLEFTEÅ</t>
        </is>
      </c>
      <c r="G334" t="n">
        <v>5.7</v>
      </c>
      <c r="H334" t="n">
        <v>0</v>
      </c>
      <c r="I334" t="n">
        <v>0</v>
      </c>
      <c r="J334" t="n">
        <v>0</v>
      </c>
      <c r="K334" t="n">
        <v>0</v>
      </c>
      <c r="L334" t="n">
        <v>0</v>
      </c>
      <c r="M334" t="n">
        <v>0</v>
      </c>
      <c r="N334" t="n">
        <v>0</v>
      </c>
      <c r="O334" t="n">
        <v>0</v>
      </c>
      <c r="P334" t="n">
        <v>0</v>
      </c>
      <c r="Q334" t="n">
        <v>0</v>
      </c>
      <c r="R334" s="2" t="inlineStr"/>
    </row>
    <row r="335" ht="15" customHeight="1">
      <c r="A335" t="inlineStr">
        <is>
          <t>A 34685-2019</t>
        </is>
      </c>
      <c r="B335" s="1" t="n">
        <v>43648</v>
      </c>
      <c r="C335" s="1" t="n">
        <v>45807</v>
      </c>
      <c r="D335" t="inlineStr">
        <is>
          <t>VÄSTERBOTTENS LÄN</t>
        </is>
      </c>
      <c r="E335" t="inlineStr">
        <is>
          <t>SKELLEFTEÅ</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33063-2019</t>
        </is>
      </c>
      <c r="B336" s="1" t="n">
        <v>43649</v>
      </c>
      <c r="C336" s="1" t="n">
        <v>45807</v>
      </c>
      <c r="D336" t="inlineStr">
        <is>
          <t>VÄSTERBOTTENS LÄN</t>
        </is>
      </c>
      <c r="E336" t="inlineStr">
        <is>
          <t>SKELLEFTEÅ</t>
        </is>
      </c>
      <c r="G336" t="n">
        <v>2.3</v>
      </c>
      <c r="H336" t="n">
        <v>0</v>
      </c>
      <c r="I336" t="n">
        <v>0</v>
      </c>
      <c r="J336" t="n">
        <v>0</v>
      </c>
      <c r="K336" t="n">
        <v>0</v>
      </c>
      <c r="L336" t="n">
        <v>0</v>
      </c>
      <c r="M336" t="n">
        <v>0</v>
      </c>
      <c r="N336" t="n">
        <v>0</v>
      </c>
      <c r="O336" t="n">
        <v>0</v>
      </c>
      <c r="P336" t="n">
        <v>0</v>
      </c>
      <c r="Q336" t="n">
        <v>0</v>
      </c>
      <c r="R336" s="2" t="inlineStr"/>
    </row>
    <row r="337" ht="15" customHeight="1">
      <c r="A337" t="inlineStr">
        <is>
          <t>A 33058-2019</t>
        </is>
      </c>
      <c r="B337" s="1" t="n">
        <v>43649</v>
      </c>
      <c r="C337" s="1" t="n">
        <v>45807</v>
      </c>
      <c r="D337" t="inlineStr">
        <is>
          <t>VÄSTERBOTTENS LÄN</t>
        </is>
      </c>
      <c r="E337" t="inlineStr">
        <is>
          <t>SKELLEFTEÅ</t>
        </is>
      </c>
      <c r="G337" t="n">
        <v>2.7</v>
      </c>
      <c r="H337" t="n">
        <v>0</v>
      </c>
      <c r="I337" t="n">
        <v>0</v>
      </c>
      <c r="J337" t="n">
        <v>0</v>
      </c>
      <c r="K337" t="n">
        <v>0</v>
      </c>
      <c r="L337" t="n">
        <v>0</v>
      </c>
      <c r="M337" t="n">
        <v>0</v>
      </c>
      <c r="N337" t="n">
        <v>0</v>
      </c>
      <c r="O337" t="n">
        <v>0</v>
      </c>
      <c r="P337" t="n">
        <v>0</v>
      </c>
      <c r="Q337" t="n">
        <v>0</v>
      </c>
      <c r="R337" s="2" t="inlineStr"/>
    </row>
    <row r="338" ht="15" customHeight="1">
      <c r="A338" t="inlineStr">
        <is>
          <t>A 34894-2019</t>
        </is>
      </c>
      <c r="B338" s="1" t="n">
        <v>43649</v>
      </c>
      <c r="C338" s="1" t="n">
        <v>45807</v>
      </c>
      <c r="D338" t="inlineStr">
        <is>
          <t>VÄSTERBOTTENS LÄN</t>
        </is>
      </c>
      <c r="E338" t="inlineStr">
        <is>
          <t>SKELLEFTEÅ</t>
        </is>
      </c>
      <c r="G338" t="n">
        <v>20.4</v>
      </c>
      <c r="H338" t="n">
        <v>0</v>
      </c>
      <c r="I338" t="n">
        <v>0</v>
      </c>
      <c r="J338" t="n">
        <v>0</v>
      </c>
      <c r="K338" t="n">
        <v>0</v>
      </c>
      <c r="L338" t="n">
        <v>0</v>
      </c>
      <c r="M338" t="n">
        <v>0</v>
      </c>
      <c r="N338" t="n">
        <v>0</v>
      </c>
      <c r="O338" t="n">
        <v>0</v>
      </c>
      <c r="P338" t="n">
        <v>0</v>
      </c>
      <c r="Q338" t="n">
        <v>0</v>
      </c>
      <c r="R338" s="2" t="inlineStr"/>
    </row>
    <row r="339" ht="15" customHeight="1">
      <c r="A339" t="inlineStr">
        <is>
          <t>A 33193-2019</t>
        </is>
      </c>
      <c r="B339" s="1" t="n">
        <v>43649</v>
      </c>
      <c r="C339" s="1" t="n">
        <v>45807</v>
      </c>
      <c r="D339" t="inlineStr">
        <is>
          <t>VÄSTERBOTTENS LÄN</t>
        </is>
      </c>
      <c r="E339" t="inlineStr">
        <is>
          <t>SKELLEFTEÅ</t>
        </is>
      </c>
      <c r="G339" t="n">
        <v>3.1</v>
      </c>
      <c r="H339" t="n">
        <v>0</v>
      </c>
      <c r="I339" t="n">
        <v>0</v>
      </c>
      <c r="J339" t="n">
        <v>0</v>
      </c>
      <c r="K339" t="n">
        <v>0</v>
      </c>
      <c r="L339" t="n">
        <v>0</v>
      </c>
      <c r="M339" t="n">
        <v>0</v>
      </c>
      <c r="N339" t="n">
        <v>0</v>
      </c>
      <c r="O339" t="n">
        <v>0</v>
      </c>
      <c r="P339" t="n">
        <v>0</v>
      </c>
      <c r="Q339" t="n">
        <v>0</v>
      </c>
      <c r="R339" s="2" t="inlineStr"/>
    </row>
    <row r="340" ht="15" customHeight="1">
      <c r="A340" t="inlineStr">
        <is>
          <t>A 34906-2019</t>
        </is>
      </c>
      <c r="B340" s="1" t="n">
        <v>43649</v>
      </c>
      <c r="C340" s="1" t="n">
        <v>45807</v>
      </c>
      <c r="D340" t="inlineStr">
        <is>
          <t>VÄSTERBOTTENS LÄN</t>
        </is>
      </c>
      <c r="E340" t="inlineStr">
        <is>
          <t>SKELLEFTEÅ</t>
        </is>
      </c>
      <c r="G340" t="n">
        <v>1.1</v>
      </c>
      <c r="H340" t="n">
        <v>0</v>
      </c>
      <c r="I340" t="n">
        <v>0</v>
      </c>
      <c r="J340" t="n">
        <v>0</v>
      </c>
      <c r="K340" t="n">
        <v>0</v>
      </c>
      <c r="L340" t="n">
        <v>0</v>
      </c>
      <c r="M340" t="n">
        <v>0</v>
      </c>
      <c r="N340" t="n">
        <v>0</v>
      </c>
      <c r="O340" t="n">
        <v>0</v>
      </c>
      <c r="P340" t="n">
        <v>0</v>
      </c>
      <c r="Q340" t="n">
        <v>0</v>
      </c>
      <c r="R340" s="2" t="inlineStr"/>
    </row>
    <row r="341" ht="15" customHeight="1">
      <c r="A341" t="inlineStr">
        <is>
          <t>A 35229-2019</t>
        </is>
      </c>
      <c r="B341" s="1" t="n">
        <v>43650</v>
      </c>
      <c r="C341" s="1" t="n">
        <v>45807</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35445-2019</t>
        </is>
      </c>
      <c r="B342" s="1" t="n">
        <v>43651</v>
      </c>
      <c r="C342" s="1" t="n">
        <v>45807</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35452-2019</t>
        </is>
      </c>
      <c r="B343" s="1" t="n">
        <v>43651</v>
      </c>
      <c r="C343" s="1" t="n">
        <v>45807</v>
      </c>
      <c r="D343" t="inlineStr">
        <is>
          <t>VÄSTERBOTTENS LÄN</t>
        </is>
      </c>
      <c r="E343" t="inlineStr">
        <is>
          <t>SKELLEFTEÅ</t>
        </is>
      </c>
      <c r="G343" t="n">
        <v>1.6</v>
      </c>
      <c r="H343" t="n">
        <v>0</v>
      </c>
      <c r="I343" t="n">
        <v>0</v>
      </c>
      <c r="J343" t="n">
        <v>0</v>
      </c>
      <c r="K343" t="n">
        <v>0</v>
      </c>
      <c r="L343" t="n">
        <v>0</v>
      </c>
      <c r="M343" t="n">
        <v>0</v>
      </c>
      <c r="N343" t="n">
        <v>0</v>
      </c>
      <c r="O343" t="n">
        <v>0</v>
      </c>
      <c r="P343" t="n">
        <v>0</v>
      </c>
      <c r="Q343" t="n">
        <v>0</v>
      </c>
      <c r="R343" s="2" t="inlineStr"/>
    </row>
    <row r="344" ht="15" customHeight="1">
      <c r="A344" t="inlineStr">
        <is>
          <t>A 33888-2019</t>
        </is>
      </c>
      <c r="B344" s="1" t="n">
        <v>43653</v>
      </c>
      <c r="C344" s="1" t="n">
        <v>45807</v>
      </c>
      <c r="D344" t="inlineStr">
        <is>
          <t>VÄSTERBOTTENS LÄN</t>
        </is>
      </c>
      <c r="E344" t="inlineStr">
        <is>
          <t>SKELLEFTEÅ</t>
        </is>
      </c>
      <c r="G344" t="n">
        <v>1.5</v>
      </c>
      <c r="H344" t="n">
        <v>0</v>
      </c>
      <c r="I344" t="n">
        <v>0</v>
      </c>
      <c r="J344" t="n">
        <v>0</v>
      </c>
      <c r="K344" t="n">
        <v>0</v>
      </c>
      <c r="L344" t="n">
        <v>0</v>
      </c>
      <c r="M344" t="n">
        <v>0</v>
      </c>
      <c r="N344" t="n">
        <v>0</v>
      </c>
      <c r="O344" t="n">
        <v>0</v>
      </c>
      <c r="P344" t="n">
        <v>0</v>
      </c>
      <c r="Q344" t="n">
        <v>0</v>
      </c>
      <c r="R344" s="2" t="inlineStr"/>
    </row>
    <row r="345" ht="15" customHeight="1">
      <c r="A345" t="inlineStr">
        <is>
          <t>A 34089-2019</t>
        </is>
      </c>
      <c r="B345" s="1" t="n">
        <v>43654</v>
      </c>
      <c r="C345" s="1" t="n">
        <v>45807</v>
      </c>
      <c r="D345" t="inlineStr">
        <is>
          <t>VÄSTERBOTTENS LÄN</t>
        </is>
      </c>
      <c r="E345" t="inlineStr">
        <is>
          <t>SKELLEFTEÅ</t>
        </is>
      </c>
      <c r="F345" t="inlineStr">
        <is>
          <t>Holmen skog AB</t>
        </is>
      </c>
      <c r="G345" t="n">
        <v>20.9</v>
      </c>
      <c r="H345" t="n">
        <v>0</v>
      </c>
      <c r="I345" t="n">
        <v>0</v>
      </c>
      <c r="J345" t="n">
        <v>0</v>
      </c>
      <c r="K345" t="n">
        <v>0</v>
      </c>
      <c r="L345" t="n">
        <v>0</v>
      </c>
      <c r="M345" t="n">
        <v>0</v>
      </c>
      <c r="N345" t="n">
        <v>0</v>
      </c>
      <c r="O345" t="n">
        <v>0</v>
      </c>
      <c r="P345" t="n">
        <v>0</v>
      </c>
      <c r="Q345" t="n">
        <v>0</v>
      </c>
      <c r="R345" s="2" t="inlineStr"/>
    </row>
    <row r="346" ht="15" customHeight="1">
      <c r="A346" t="inlineStr">
        <is>
          <t>A 34253-2019</t>
        </is>
      </c>
      <c r="B346" s="1" t="n">
        <v>43655</v>
      </c>
      <c r="C346" s="1" t="n">
        <v>45807</v>
      </c>
      <c r="D346" t="inlineStr">
        <is>
          <t>VÄSTERBOTTENS LÄN</t>
        </is>
      </c>
      <c r="E346" t="inlineStr">
        <is>
          <t>SKELLEFTEÅ</t>
        </is>
      </c>
      <c r="F346" t="inlineStr">
        <is>
          <t>Holmen skog AB</t>
        </is>
      </c>
      <c r="G346" t="n">
        <v>18.9</v>
      </c>
      <c r="H346" t="n">
        <v>0</v>
      </c>
      <c r="I346" t="n">
        <v>0</v>
      </c>
      <c r="J346" t="n">
        <v>0</v>
      </c>
      <c r="K346" t="n">
        <v>0</v>
      </c>
      <c r="L346" t="n">
        <v>0</v>
      </c>
      <c r="M346" t="n">
        <v>0</v>
      </c>
      <c r="N346" t="n">
        <v>0</v>
      </c>
      <c r="O346" t="n">
        <v>0</v>
      </c>
      <c r="P346" t="n">
        <v>0</v>
      </c>
      <c r="Q346" t="n">
        <v>0</v>
      </c>
      <c r="R346" s="2" t="inlineStr"/>
    </row>
    <row r="347" ht="15" customHeight="1">
      <c r="A347" t="inlineStr">
        <is>
          <t>A 34939-2019</t>
        </is>
      </c>
      <c r="B347" s="1" t="n">
        <v>43658</v>
      </c>
      <c r="C347" s="1" t="n">
        <v>45807</v>
      </c>
      <c r="D347" t="inlineStr">
        <is>
          <t>VÄSTERBOTTENS LÄN</t>
        </is>
      </c>
      <c r="E347" t="inlineStr">
        <is>
          <t>SKELLEFTEÅ</t>
        </is>
      </c>
      <c r="G347" t="n">
        <v>0.8</v>
      </c>
      <c r="H347" t="n">
        <v>0</v>
      </c>
      <c r="I347" t="n">
        <v>0</v>
      </c>
      <c r="J347" t="n">
        <v>0</v>
      </c>
      <c r="K347" t="n">
        <v>0</v>
      </c>
      <c r="L347" t="n">
        <v>0</v>
      </c>
      <c r="M347" t="n">
        <v>0</v>
      </c>
      <c r="N347" t="n">
        <v>0</v>
      </c>
      <c r="O347" t="n">
        <v>0</v>
      </c>
      <c r="P347" t="n">
        <v>0</v>
      </c>
      <c r="Q347" t="n">
        <v>0</v>
      </c>
      <c r="R347" s="2" t="inlineStr"/>
    </row>
    <row r="348" ht="15" customHeight="1">
      <c r="A348" t="inlineStr">
        <is>
          <t>A 34997-2019</t>
        </is>
      </c>
      <c r="B348" s="1" t="n">
        <v>43660</v>
      </c>
      <c r="C348" s="1" t="n">
        <v>45807</v>
      </c>
      <c r="D348" t="inlineStr">
        <is>
          <t>VÄSTERBOTTENS LÄN</t>
        </is>
      </c>
      <c r="E348" t="inlineStr">
        <is>
          <t>SKELLEFTEÅ</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35084-2019</t>
        </is>
      </c>
      <c r="B349" s="1" t="n">
        <v>43661</v>
      </c>
      <c r="C349" s="1" t="n">
        <v>45807</v>
      </c>
      <c r="D349" t="inlineStr">
        <is>
          <t>VÄSTERBOTTENS LÄN</t>
        </is>
      </c>
      <c r="E349" t="inlineStr">
        <is>
          <t>SKELLEFTEÅ</t>
        </is>
      </c>
      <c r="F349" t="inlineStr">
        <is>
          <t>Sveaskog</t>
        </is>
      </c>
      <c r="G349" t="n">
        <v>8.4</v>
      </c>
      <c r="H349" t="n">
        <v>0</v>
      </c>
      <c r="I349" t="n">
        <v>0</v>
      </c>
      <c r="J349" t="n">
        <v>0</v>
      </c>
      <c r="K349" t="n">
        <v>0</v>
      </c>
      <c r="L349" t="n">
        <v>0</v>
      </c>
      <c r="M349" t="n">
        <v>0</v>
      </c>
      <c r="N349" t="n">
        <v>0</v>
      </c>
      <c r="O349" t="n">
        <v>0</v>
      </c>
      <c r="P349" t="n">
        <v>0</v>
      </c>
      <c r="Q349" t="n">
        <v>0</v>
      </c>
      <c r="R349" s="2" t="inlineStr"/>
    </row>
    <row r="350" ht="15" customHeight="1">
      <c r="A350" t="inlineStr">
        <is>
          <t>A 35075-2019</t>
        </is>
      </c>
      <c r="B350" s="1" t="n">
        <v>43661</v>
      </c>
      <c r="C350" s="1" t="n">
        <v>45807</v>
      </c>
      <c r="D350" t="inlineStr">
        <is>
          <t>VÄSTERBOTTENS LÄN</t>
        </is>
      </c>
      <c r="E350" t="inlineStr">
        <is>
          <t>SKELLEFTEÅ</t>
        </is>
      </c>
      <c r="G350" t="n">
        <v>1.3</v>
      </c>
      <c r="H350" t="n">
        <v>0</v>
      </c>
      <c r="I350" t="n">
        <v>0</v>
      </c>
      <c r="J350" t="n">
        <v>0</v>
      </c>
      <c r="K350" t="n">
        <v>0</v>
      </c>
      <c r="L350" t="n">
        <v>0</v>
      </c>
      <c r="M350" t="n">
        <v>0</v>
      </c>
      <c r="N350" t="n">
        <v>0</v>
      </c>
      <c r="O350" t="n">
        <v>0</v>
      </c>
      <c r="P350" t="n">
        <v>0</v>
      </c>
      <c r="Q350" t="n">
        <v>0</v>
      </c>
      <c r="R350" s="2" t="inlineStr"/>
    </row>
    <row r="351" ht="15" customHeight="1">
      <c r="A351" t="inlineStr">
        <is>
          <t>A 35104-2019</t>
        </is>
      </c>
      <c r="B351" s="1" t="n">
        <v>43661</v>
      </c>
      <c r="C351" s="1" t="n">
        <v>45807</v>
      </c>
      <c r="D351" t="inlineStr">
        <is>
          <t>VÄSTERBOTTENS LÄN</t>
        </is>
      </c>
      <c r="E351" t="inlineStr">
        <is>
          <t>SKELLEFTEÅ</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35120-2019</t>
        </is>
      </c>
      <c r="B352" s="1" t="n">
        <v>43661</v>
      </c>
      <c r="C352" s="1" t="n">
        <v>45807</v>
      </c>
      <c r="D352" t="inlineStr">
        <is>
          <t>VÄSTERBOTTENS LÄN</t>
        </is>
      </c>
      <c r="E352" t="inlineStr">
        <is>
          <t>SKELLEFTEÅ</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35073-2019</t>
        </is>
      </c>
      <c r="B353" s="1" t="n">
        <v>43661</v>
      </c>
      <c r="C353" s="1" t="n">
        <v>45807</v>
      </c>
      <c r="D353" t="inlineStr">
        <is>
          <t>VÄSTERBOTTENS LÄN</t>
        </is>
      </c>
      <c r="E353" t="inlineStr">
        <is>
          <t>SKELLEFTEÅ</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35080-2019</t>
        </is>
      </c>
      <c r="B354" s="1" t="n">
        <v>43661</v>
      </c>
      <c r="C354" s="1" t="n">
        <v>45807</v>
      </c>
      <c r="D354" t="inlineStr">
        <is>
          <t>VÄSTERBOTTENS LÄN</t>
        </is>
      </c>
      <c r="E354" t="inlineStr">
        <is>
          <t>SKELLEFTEÅ</t>
        </is>
      </c>
      <c r="G354" t="n">
        <v>2.5</v>
      </c>
      <c r="H354" t="n">
        <v>0</v>
      </c>
      <c r="I354" t="n">
        <v>0</v>
      </c>
      <c r="J354" t="n">
        <v>0</v>
      </c>
      <c r="K354" t="n">
        <v>0</v>
      </c>
      <c r="L354" t="n">
        <v>0</v>
      </c>
      <c r="M354" t="n">
        <v>0</v>
      </c>
      <c r="N354" t="n">
        <v>0</v>
      </c>
      <c r="O354" t="n">
        <v>0</v>
      </c>
      <c r="P354" t="n">
        <v>0</v>
      </c>
      <c r="Q354" t="n">
        <v>0</v>
      </c>
      <c r="R354" s="2" t="inlineStr"/>
    </row>
    <row r="355" ht="15" customHeight="1">
      <c r="A355" t="inlineStr">
        <is>
          <t>A 35121-2019</t>
        </is>
      </c>
      <c r="B355" s="1" t="n">
        <v>43661</v>
      </c>
      <c r="C355" s="1" t="n">
        <v>45807</v>
      </c>
      <c r="D355" t="inlineStr">
        <is>
          <t>VÄSTERBOTTENS LÄN</t>
        </is>
      </c>
      <c r="E355" t="inlineStr">
        <is>
          <t>SKELLEFTEÅ</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35024-2019</t>
        </is>
      </c>
      <c r="B356" s="1" t="n">
        <v>43661</v>
      </c>
      <c r="C356" s="1" t="n">
        <v>45807</v>
      </c>
      <c r="D356" t="inlineStr">
        <is>
          <t>VÄSTERBOTTENS LÄN</t>
        </is>
      </c>
      <c r="E356" t="inlineStr">
        <is>
          <t>SKELLEFTEÅ</t>
        </is>
      </c>
      <c r="G356" t="n">
        <v>5.3</v>
      </c>
      <c r="H356" t="n">
        <v>0</v>
      </c>
      <c r="I356" t="n">
        <v>0</v>
      </c>
      <c r="J356" t="n">
        <v>0</v>
      </c>
      <c r="K356" t="n">
        <v>0</v>
      </c>
      <c r="L356" t="n">
        <v>0</v>
      </c>
      <c r="M356" t="n">
        <v>0</v>
      </c>
      <c r="N356" t="n">
        <v>0</v>
      </c>
      <c r="O356" t="n">
        <v>0</v>
      </c>
      <c r="P356" t="n">
        <v>0</v>
      </c>
      <c r="Q356" t="n">
        <v>0</v>
      </c>
      <c r="R356" s="2" t="inlineStr"/>
    </row>
    <row r="357" ht="15" customHeight="1">
      <c r="A357" t="inlineStr">
        <is>
          <t>A 35363-2019</t>
        </is>
      </c>
      <c r="B357" s="1" t="n">
        <v>43663</v>
      </c>
      <c r="C357" s="1" t="n">
        <v>45807</v>
      </c>
      <c r="D357" t="inlineStr">
        <is>
          <t>VÄSTERBOTTENS LÄN</t>
        </is>
      </c>
      <c r="E357" t="inlineStr">
        <is>
          <t>SKELLEFTEÅ</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35786-2019</t>
        </is>
      </c>
      <c r="B358" s="1" t="n">
        <v>43665</v>
      </c>
      <c r="C358" s="1" t="n">
        <v>45807</v>
      </c>
      <c r="D358" t="inlineStr">
        <is>
          <t>VÄSTERBOTTENS LÄN</t>
        </is>
      </c>
      <c r="E358" t="inlineStr">
        <is>
          <t>SKELLEFTEÅ</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36996-2019</t>
        </is>
      </c>
      <c r="B359" s="1" t="n">
        <v>43676</v>
      </c>
      <c r="C359" s="1" t="n">
        <v>45807</v>
      </c>
      <c r="D359" t="inlineStr">
        <is>
          <t>VÄSTERBOTTENS LÄN</t>
        </is>
      </c>
      <c r="E359" t="inlineStr">
        <is>
          <t>SKELLEFTEÅ</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38674-2019</t>
        </is>
      </c>
      <c r="B360" s="1" t="n">
        <v>43684</v>
      </c>
      <c r="C360" s="1" t="n">
        <v>45807</v>
      </c>
      <c r="D360" t="inlineStr">
        <is>
          <t>VÄSTERBOTTENS LÄN</t>
        </is>
      </c>
      <c r="E360" t="inlineStr">
        <is>
          <t>SKELLEFTEÅ</t>
        </is>
      </c>
      <c r="G360" t="n">
        <v>1.5</v>
      </c>
      <c r="H360" t="n">
        <v>0</v>
      </c>
      <c r="I360" t="n">
        <v>0</v>
      </c>
      <c r="J360" t="n">
        <v>0</v>
      </c>
      <c r="K360" t="n">
        <v>0</v>
      </c>
      <c r="L360" t="n">
        <v>0</v>
      </c>
      <c r="M360" t="n">
        <v>0</v>
      </c>
      <c r="N360" t="n">
        <v>0</v>
      </c>
      <c r="O360" t="n">
        <v>0</v>
      </c>
      <c r="P360" t="n">
        <v>0</v>
      </c>
      <c r="Q360" t="n">
        <v>0</v>
      </c>
      <c r="R360" s="2" t="inlineStr"/>
    </row>
    <row r="361" ht="15" customHeight="1">
      <c r="A361" t="inlineStr">
        <is>
          <t>A 38797-2019</t>
        </is>
      </c>
      <c r="B361" s="1" t="n">
        <v>43688</v>
      </c>
      <c r="C361" s="1" t="n">
        <v>45807</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39106-2019</t>
        </is>
      </c>
      <c r="B362" s="1" t="n">
        <v>43689</v>
      </c>
      <c r="C362" s="1" t="n">
        <v>45807</v>
      </c>
      <c r="D362" t="inlineStr">
        <is>
          <t>VÄSTERBOTTENS LÄN</t>
        </is>
      </c>
      <c r="E362" t="inlineStr">
        <is>
          <t>SKELLEFTEÅ</t>
        </is>
      </c>
      <c r="F362" t="inlineStr">
        <is>
          <t>Holmen skog AB</t>
        </is>
      </c>
      <c r="G362" t="n">
        <v>5.6</v>
      </c>
      <c r="H362" t="n">
        <v>0</v>
      </c>
      <c r="I362" t="n">
        <v>0</v>
      </c>
      <c r="J362" t="n">
        <v>0</v>
      </c>
      <c r="K362" t="n">
        <v>0</v>
      </c>
      <c r="L362" t="n">
        <v>0</v>
      </c>
      <c r="M362" t="n">
        <v>0</v>
      </c>
      <c r="N362" t="n">
        <v>0</v>
      </c>
      <c r="O362" t="n">
        <v>0</v>
      </c>
      <c r="P362" t="n">
        <v>0</v>
      </c>
      <c r="Q362" t="n">
        <v>0</v>
      </c>
      <c r="R362" s="2" t="inlineStr"/>
    </row>
    <row r="363" ht="15" customHeight="1">
      <c r="A363" t="inlineStr">
        <is>
          <t>A 38973-2019</t>
        </is>
      </c>
      <c r="B363" s="1" t="n">
        <v>43689</v>
      </c>
      <c r="C363" s="1" t="n">
        <v>45807</v>
      </c>
      <c r="D363" t="inlineStr">
        <is>
          <t>VÄSTERBOTTENS LÄN</t>
        </is>
      </c>
      <c r="E363" t="inlineStr">
        <is>
          <t>SKELLEFTEÅ</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40562-2019</t>
        </is>
      </c>
      <c r="B364" s="1" t="n">
        <v>43696</v>
      </c>
      <c r="C364" s="1" t="n">
        <v>45807</v>
      </c>
      <c r="D364" t="inlineStr">
        <is>
          <t>VÄSTERBOTTENS LÄN</t>
        </is>
      </c>
      <c r="E364" t="inlineStr">
        <is>
          <t>SKELLEFTEÅ</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41585-2019</t>
        </is>
      </c>
      <c r="B365" s="1" t="n">
        <v>43696</v>
      </c>
      <c r="C365" s="1" t="n">
        <v>45807</v>
      </c>
      <c r="D365" t="inlineStr">
        <is>
          <t>VÄSTERBOTTENS LÄN</t>
        </is>
      </c>
      <c r="E365" t="inlineStr">
        <is>
          <t>SKELLEFTEÅ</t>
        </is>
      </c>
      <c r="G365" t="n">
        <v>1.5</v>
      </c>
      <c r="H365" t="n">
        <v>0</v>
      </c>
      <c r="I365" t="n">
        <v>0</v>
      </c>
      <c r="J365" t="n">
        <v>0</v>
      </c>
      <c r="K365" t="n">
        <v>0</v>
      </c>
      <c r="L365" t="n">
        <v>0</v>
      </c>
      <c r="M365" t="n">
        <v>0</v>
      </c>
      <c r="N365" t="n">
        <v>0</v>
      </c>
      <c r="O365" t="n">
        <v>0</v>
      </c>
      <c r="P365" t="n">
        <v>0</v>
      </c>
      <c r="Q365" t="n">
        <v>0</v>
      </c>
      <c r="R365" s="2" t="inlineStr"/>
    </row>
    <row r="366" ht="15" customHeight="1">
      <c r="A366" t="inlineStr">
        <is>
          <t>A 41648-2019</t>
        </is>
      </c>
      <c r="B366" s="1" t="n">
        <v>43696</v>
      </c>
      <c r="C366" s="1" t="n">
        <v>45807</v>
      </c>
      <c r="D366" t="inlineStr">
        <is>
          <t>VÄSTERBOTTENS LÄN</t>
        </is>
      </c>
      <c r="E366" t="inlineStr">
        <is>
          <t>SKELLEFTEÅ</t>
        </is>
      </c>
      <c r="G366" t="n">
        <v>2.9</v>
      </c>
      <c r="H366" t="n">
        <v>0</v>
      </c>
      <c r="I366" t="n">
        <v>0</v>
      </c>
      <c r="J366" t="n">
        <v>0</v>
      </c>
      <c r="K366" t="n">
        <v>0</v>
      </c>
      <c r="L366" t="n">
        <v>0</v>
      </c>
      <c r="M366" t="n">
        <v>0</v>
      </c>
      <c r="N366" t="n">
        <v>0</v>
      </c>
      <c r="O366" t="n">
        <v>0</v>
      </c>
      <c r="P366" t="n">
        <v>0</v>
      </c>
      <c r="Q366" t="n">
        <v>0</v>
      </c>
      <c r="R366" s="2" t="inlineStr"/>
    </row>
    <row r="367" ht="15" customHeight="1">
      <c r="A367" t="inlineStr">
        <is>
          <t>A 41557-2019</t>
        </is>
      </c>
      <c r="B367" s="1" t="n">
        <v>43696</v>
      </c>
      <c r="C367" s="1" t="n">
        <v>45807</v>
      </c>
      <c r="D367" t="inlineStr">
        <is>
          <t>VÄSTERBOTTENS LÄN</t>
        </is>
      </c>
      <c r="E367" t="inlineStr">
        <is>
          <t>SKELLEFTEÅ</t>
        </is>
      </c>
      <c r="G367" t="n">
        <v>5.9</v>
      </c>
      <c r="H367" t="n">
        <v>0</v>
      </c>
      <c r="I367" t="n">
        <v>0</v>
      </c>
      <c r="J367" t="n">
        <v>0</v>
      </c>
      <c r="K367" t="n">
        <v>0</v>
      </c>
      <c r="L367" t="n">
        <v>0</v>
      </c>
      <c r="M367" t="n">
        <v>0</v>
      </c>
      <c r="N367" t="n">
        <v>0</v>
      </c>
      <c r="O367" t="n">
        <v>0</v>
      </c>
      <c r="P367" t="n">
        <v>0</v>
      </c>
      <c r="Q367" t="n">
        <v>0</v>
      </c>
      <c r="R367" s="2" t="inlineStr"/>
    </row>
    <row r="368" ht="15" customHeight="1">
      <c r="A368" t="inlineStr">
        <is>
          <t>A 40744-2019</t>
        </is>
      </c>
      <c r="B368" s="1" t="n">
        <v>43697</v>
      </c>
      <c r="C368" s="1" t="n">
        <v>45807</v>
      </c>
      <c r="D368" t="inlineStr">
        <is>
          <t>VÄSTERBOTTENS LÄN</t>
        </is>
      </c>
      <c r="E368" t="inlineStr">
        <is>
          <t>SKELLEFTEÅ</t>
        </is>
      </c>
      <c r="G368" t="n">
        <v>36.9</v>
      </c>
      <c r="H368" t="n">
        <v>0</v>
      </c>
      <c r="I368" t="n">
        <v>0</v>
      </c>
      <c r="J368" t="n">
        <v>0</v>
      </c>
      <c r="K368" t="n">
        <v>0</v>
      </c>
      <c r="L368" t="n">
        <v>0</v>
      </c>
      <c r="M368" t="n">
        <v>0</v>
      </c>
      <c r="N368" t="n">
        <v>0</v>
      </c>
      <c r="O368" t="n">
        <v>0</v>
      </c>
      <c r="P368" t="n">
        <v>0</v>
      </c>
      <c r="Q368" t="n">
        <v>0</v>
      </c>
      <c r="R368" s="2" t="inlineStr"/>
    </row>
    <row r="369" ht="15" customHeight="1">
      <c r="A369" t="inlineStr">
        <is>
          <t>A 40727-2019</t>
        </is>
      </c>
      <c r="B369" s="1" t="n">
        <v>43697</v>
      </c>
      <c r="C369" s="1" t="n">
        <v>45807</v>
      </c>
      <c r="D369" t="inlineStr">
        <is>
          <t>VÄSTERBOTTENS LÄN</t>
        </is>
      </c>
      <c r="E369" t="inlineStr">
        <is>
          <t>SKELLEFTEÅ</t>
        </is>
      </c>
      <c r="G369" t="n">
        <v>1.1</v>
      </c>
      <c r="H369" t="n">
        <v>0</v>
      </c>
      <c r="I369" t="n">
        <v>0</v>
      </c>
      <c r="J369" t="n">
        <v>0</v>
      </c>
      <c r="K369" t="n">
        <v>0</v>
      </c>
      <c r="L369" t="n">
        <v>0</v>
      </c>
      <c r="M369" t="n">
        <v>0</v>
      </c>
      <c r="N369" t="n">
        <v>0</v>
      </c>
      <c r="O369" t="n">
        <v>0</v>
      </c>
      <c r="P369" t="n">
        <v>0</v>
      </c>
      <c r="Q369" t="n">
        <v>0</v>
      </c>
      <c r="R369" s="2" t="inlineStr"/>
    </row>
    <row r="370" ht="15" customHeight="1">
      <c r="A370" t="inlineStr">
        <is>
          <t>A 41980-2019</t>
        </is>
      </c>
      <c r="B370" s="1" t="n">
        <v>43700</v>
      </c>
      <c r="C370" s="1" t="n">
        <v>45807</v>
      </c>
      <c r="D370" t="inlineStr">
        <is>
          <t>VÄSTERBOTTENS LÄN</t>
        </is>
      </c>
      <c r="E370" t="inlineStr">
        <is>
          <t>SKELLEFTEÅ</t>
        </is>
      </c>
      <c r="F370" t="inlineStr">
        <is>
          <t>Holmen skog AB</t>
        </is>
      </c>
      <c r="G370" t="n">
        <v>2.2</v>
      </c>
      <c r="H370" t="n">
        <v>0</v>
      </c>
      <c r="I370" t="n">
        <v>0</v>
      </c>
      <c r="J370" t="n">
        <v>0</v>
      </c>
      <c r="K370" t="n">
        <v>0</v>
      </c>
      <c r="L370" t="n">
        <v>0</v>
      </c>
      <c r="M370" t="n">
        <v>0</v>
      </c>
      <c r="N370" t="n">
        <v>0</v>
      </c>
      <c r="O370" t="n">
        <v>0</v>
      </c>
      <c r="P370" t="n">
        <v>0</v>
      </c>
      <c r="Q370" t="n">
        <v>0</v>
      </c>
      <c r="R370" s="2" t="inlineStr"/>
    </row>
    <row r="371" ht="15" customHeight="1">
      <c r="A371" t="inlineStr">
        <is>
          <t>A 41826-2019</t>
        </is>
      </c>
      <c r="B371" s="1" t="n">
        <v>43700</v>
      </c>
      <c r="C371" s="1" t="n">
        <v>45807</v>
      </c>
      <c r="D371" t="inlineStr">
        <is>
          <t>VÄSTERBOTTENS LÄN</t>
        </is>
      </c>
      <c r="E371" t="inlineStr">
        <is>
          <t>SKELLEFTEÅ</t>
        </is>
      </c>
      <c r="F371" t="inlineStr">
        <is>
          <t>Holmen skog AB</t>
        </is>
      </c>
      <c r="G371" t="n">
        <v>4.9</v>
      </c>
      <c r="H371" t="n">
        <v>0</v>
      </c>
      <c r="I371" t="n">
        <v>0</v>
      </c>
      <c r="J371" t="n">
        <v>0</v>
      </c>
      <c r="K371" t="n">
        <v>0</v>
      </c>
      <c r="L371" t="n">
        <v>0</v>
      </c>
      <c r="M371" t="n">
        <v>0</v>
      </c>
      <c r="N371" t="n">
        <v>0</v>
      </c>
      <c r="O371" t="n">
        <v>0</v>
      </c>
      <c r="P371" t="n">
        <v>0</v>
      </c>
      <c r="Q371" t="n">
        <v>0</v>
      </c>
      <c r="R371" s="2" t="inlineStr"/>
    </row>
    <row r="372" ht="15" customHeight="1">
      <c r="A372" t="inlineStr">
        <is>
          <t>A 42319-2019</t>
        </is>
      </c>
      <c r="B372" s="1" t="n">
        <v>43703</v>
      </c>
      <c r="C372" s="1" t="n">
        <v>45807</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42435-2019</t>
        </is>
      </c>
      <c r="B373" s="1" t="n">
        <v>43704</v>
      </c>
      <c r="C373" s="1" t="n">
        <v>45807</v>
      </c>
      <c r="D373" t="inlineStr">
        <is>
          <t>VÄSTERBOTTENS LÄN</t>
        </is>
      </c>
      <c r="E373" t="inlineStr">
        <is>
          <t>SKELLEFTEÅ</t>
        </is>
      </c>
      <c r="G373" t="n">
        <v>1.4</v>
      </c>
      <c r="H373" t="n">
        <v>0</v>
      </c>
      <c r="I373" t="n">
        <v>0</v>
      </c>
      <c r="J373" t="n">
        <v>0</v>
      </c>
      <c r="K373" t="n">
        <v>0</v>
      </c>
      <c r="L373" t="n">
        <v>0</v>
      </c>
      <c r="M373" t="n">
        <v>0</v>
      </c>
      <c r="N373" t="n">
        <v>0</v>
      </c>
      <c r="O373" t="n">
        <v>0</v>
      </c>
      <c r="P373" t="n">
        <v>0</v>
      </c>
      <c r="Q373" t="n">
        <v>0</v>
      </c>
      <c r="R373" s="2" t="inlineStr"/>
    </row>
    <row r="374" ht="15" customHeight="1">
      <c r="A374" t="inlineStr">
        <is>
          <t>A 42651-2019</t>
        </is>
      </c>
      <c r="B374" s="1" t="n">
        <v>43704</v>
      </c>
      <c r="C374" s="1" t="n">
        <v>45807</v>
      </c>
      <c r="D374" t="inlineStr">
        <is>
          <t>VÄSTERBOTTENS LÄN</t>
        </is>
      </c>
      <c r="E374" t="inlineStr">
        <is>
          <t>SKELLEFTEÅ</t>
        </is>
      </c>
      <c r="F374" t="inlineStr">
        <is>
          <t>Holmen skog AB</t>
        </is>
      </c>
      <c r="G374" t="n">
        <v>2.6</v>
      </c>
      <c r="H374" t="n">
        <v>0</v>
      </c>
      <c r="I374" t="n">
        <v>0</v>
      </c>
      <c r="J374" t="n">
        <v>0</v>
      </c>
      <c r="K374" t="n">
        <v>0</v>
      </c>
      <c r="L374" t="n">
        <v>0</v>
      </c>
      <c r="M374" t="n">
        <v>0</v>
      </c>
      <c r="N374" t="n">
        <v>0</v>
      </c>
      <c r="O374" t="n">
        <v>0</v>
      </c>
      <c r="P374" t="n">
        <v>0</v>
      </c>
      <c r="Q374" t="n">
        <v>0</v>
      </c>
      <c r="R374" s="2" t="inlineStr"/>
    </row>
    <row r="375" ht="15" customHeight="1">
      <c r="A375" t="inlineStr">
        <is>
          <t>A 44461-2019</t>
        </is>
      </c>
      <c r="B375" s="1" t="n">
        <v>43705</v>
      </c>
      <c r="C375" s="1" t="n">
        <v>45807</v>
      </c>
      <c r="D375" t="inlineStr">
        <is>
          <t>VÄSTERBOTTENS LÄN</t>
        </is>
      </c>
      <c r="E375" t="inlineStr">
        <is>
          <t>SKELLEFTEÅ</t>
        </is>
      </c>
      <c r="G375" t="n">
        <v>1.7</v>
      </c>
      <c r="H375" t="n">
        <v>0</v>
      </c>
      <c r="I375" t="n">
        <v>0</v>
      </c>
      <c r="J375" t="n">
        <v>0</v>
      </c>
      <c r="K375" t="n">
        <v>0</v>
      </c>
      <c r="L375" t="n">
        <v>0</v>
      </c>
      <c r="M375" t="n">
        <v>0</v>
      </c>
      <c r="N375" t="n">
        <v>0</v>
      </c>
      <c r="O375" t="n">
        <v>0</v>
      </c>
      <c r="P375" t="n">
        <v>0</v>
      </c>
      <c r="Q375" t="n">
        <v>0</v>
      </c>
      <c r="R375" s="2" t="inlineStr"/>
    </row>
    <row r="376" ht="15" customHeight="1">
      <c r="A376" t="inlineStr">
        <is>
          <t>A 44486-2019</t>
        </is>
      </c>
      <c r="B376" s="1" t="n">
        <v>43706</v>
      </c>
      <c r="C376" s="1" t="n">
        <v>45807</v>
      </c>
      <c r="D376" t="inlineStr">
        <is>
          <t>VÄSTERBOTTENS LÄN</t>
        </is>
      </c>
      <c r="E376" t="inlineStr">
        <is>
          <t>SKELLEFTEÅ</t>
        </is>
      </c>
      <c r="G376" t="n">
        <v>2.6</v>
      </c>
      <c r="H376" t="n">
        <v>0</v>
      </c>
      <c r="I376" t="n">
        <v>0</v>
      </c>
      <c r="J376" t="n">
        <v>0</v>
      </c>
      <c r="K376" t="n">
        <v>0</v>
      </c>
      <c r="L376" t="n">
        <v>0</v>
      </c>
      <c r="M376" t="n">
        <v>0</v>
      </c>
      <c r="N376" t="n">
        <v>0</v>
      </c>
      <c r="O376" t="n">
        <v>0</v>
      </c>
      <c r="P376" t="n">
        <v>0</v>
      </c>
      <c r="Q376" t="n">
        <v>0</v>
      </c>
      <c r="R376" s="2" t="inlineStr"/>
    </row>
    <row r="377" ht="15" customHeight="1">
      <c r="A377" t="inlineStr">
        <is>
          <t>A 43638-2019</t>
        </is>
      </c>
      <c r="B377" s="1" t="n">
        <v>43707</v>
      </c>
      <c r="C377" s="1" t="n">
        <v>45807</v>
      </c>
      <c r="D377" t="inlineStr">
        <is>
          <t>VÄSTERBOTTENS LÄN</t>
        </is>
      </c>
      <c r="E377" t="inlineStr">
        <is>
          <t>SKELLEFTEÅ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43842-2019</t>
        </is>
      </c>
      <c r="B378" s="1" t="n">
        <v>43707</v>
      </c>
      <c r="C378" s="1" t="n">
        <v>45807</v>
      </c>
      <c r="D378" t="inlineStr">
        <is>
          <t>VÄSTERBOTTENS LÄN</t>
        </is>
      </c>
      <c r="E378" t="inlineStr">
        <is>
          <t>SKELLEFTEÅ</t>
        </is>
      </c>
      <c r="F378" t="inlineStr">
        <is>
          <t>Sveaskog</t>
        </is>
      </c>
      <c r="G378" t="n">
        <v>7.3</v>
      </c>
      <c r="H378" t="n">
        <v>0</v>
      </c>
      <c r="I378" t="n">
        <v>0</v>
      </c>
      <c r="J378" t="n">
        <v>0</v>
      </c>
      <c r="K378" t="n">
        <v>0</v>
      </c>
      <c r="L378" t="n">
        <v>0</v>
      </c>
      <c r="M378" t="n">
        <v>0</v>
      </c>
      <c r="N378" t="n">
        <v>0</v>
      </c>
      <c r="O378" t="n">
        <v>0</v>
      </c>
      <c r="P378" t="n">
        <v>0</v>
      </c>
      <c r="Q378" t="n">
        <v>0</v>
      </c>
      <c r="R378" s="2" t="inlineStr"/>
    </row>
    <row r="379" ht="15" customHeight="1">
      <c r="A379" t="inlineStr">
        <is>
          <t>A 43648-2019</t>
        </is>
      </c>
      <c r="B379" s="1" t="n">
        <v>43707</v>
      </c>
      <c r="C379" s="1" t="n">
        <v>45807</v>
      </c>
      <c r="D379" t="inlineStr">
        <is>
          <t>VÄSTERBOTTENS LÄN</t>
        </is>
      </c>
      <c r="E379" t="inlineStr">
        <is>
          <t>SKELLEFTEÅ</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43845-2019</t>
        </is>
      </c>
      <c r="B380" s="1" t="n">
        <v>43707</v>
      </c>
      <c r="C380" s="1" t="n">
        <v>45807</v>
      </c>
      <c r="D380" t="inlineStr">
        <is>
          <t>VÄSTERBOTTENS LÄN</t>
        </is>
      </c>
      <c r="E380" t="inlineStr">
        <is>
          <t>SKELLEFTEÅ</t>
        </is>
      </c>
      <c r="F380" t="inlineStr">
        <is>
          <t>Sveaskog</t>
        </is>
      </c>
      <c r="G380" t="n">
        <v>11.6</v>
      </c>
      <c r="H380" t="n">
        <v>0</v>
      </c>
      <c r="I380" t="n">
        <v>0</v>
      </c>
      <c r="J380" t="n">
        <v>0</v>
      </c>
      <c r="K380" t="n">
        <v>0</v>
      </c>
      <c r="L380" t="n">
        <v>0</v>
      </c>
      <c r="M380" t="n">
        <v>0</v>
      </c>
      <c r="N380" t="n">
        <v>0</v>
      </c>
      <c r="O380" t="n">
        <v>0</v>
      </c>
      <c r="P380" t="n">
        <v>0</v>
      </c>
      <c r="Q380" t="n">
        <v>0</v>
      </c>
      <c r="R380" s="2" t="inlineStr"/>
    </row>
    <row r="381" ht="15" customHeight="1">
      <c r="A381" t="inlineStr">
        <is>
          <t>A 45296-2019</t>
        </is>
      </c>
      <c r="B381" s="1" t="n">
        <v>43707</v>
      </c>
      <c r="C381" s="1" t="n">
        <v>45807</v>
      </c>
      <c r="D381" t="inlineStr">
        <is>
          <t>VÄSTERBOTTENS LÄN</t>
        </is>
      </c>
      <c r="E381" t="inlineStr">
        <is>
          <t>SKELLEFTEÅ</t>
        </is>
      </c>
      <c r="G381" t="n">
        <v>5</v>
      </c>
      <c r="H381" t="n">
        <v>0</v>
      </c>
      <c r="I381" t="n">
        <v>0</v>
      </c>
      <c r="J381" t="n">
        <v>0</v>
      </c>
      <c r="K381" t="n">
        <v>0</v>
      </c>
      <c r="L381" t="n">
        <v>0</v>
      </c>
      <c r="M381" t="n">
        <v>0</v>
      </c>
      <c r="N381" t="n">
        <v>0</v>
      </c>
      <c r="O381" t="n">
        <v>0</v>
      </c>
      <c r="P381" t="n">
        <v>0</v>
      </c>
      <c r="Q381" t="n">
        <v>0</v>
      </c>
      <c r="R381" s="2" t="inlineStr"/>
    </row>
    <row r="382" ht="15" customHeight="1">
      <c r="A382" t="inlineStr">
        <is>
          <t>A 44007-2019</t>
        </is>
      </c>
      <c r="B382" s="1" t="n">
        <v>43709</v>
      </c>
      <c r="C382" s="1" t="n">
        <v>45807</v>
      </c>
      <c r="D382" t="inlineStr">
        <is>
          <t>VÄSTERBOTTENS LÄN</t>
        </is>
      </c>
      <c r="E382" t="inlineStr">
        <is>
          <t>SKELLEFTEÅ</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44204-2019</t>
        </is>
      </c>
      <c r="B383" s="1" t="n">
        <v>43710</v>
      </c>
      <c r="C383" s="1" t="n">
        <v>45807</v>
      </c>
      <c r="D383" t="inlineStr">
        <is>
          <t>VÄSTERBOTTENS LÄN</t>
        </is>
      </c>
      <c r="E383" t="inlineStr">
        <is>
          <t>SKELLEFTEÅ</t>
        </is>
      </c>
      <c r="G383" t="n">
        <v>5.2</v>
      </c>
      <c r="H383" t="n">
        <v>0</v>
      </c>
      <c r="I383" t="n">
        <v>0</v>
      </c>
      <c r="J383" t="n">
        <v>0</v>
      </c>
      <c r="K383" t="n">
        <v>0</v>
      </c>
      <c r="L383" t="n">
        <v>0</v>
      </c>
      <c r="M383" t="n">
        <v>0</v>
      </c>
      <c r="N383" t="n">
        <v>0</v>
      </c>
      <c r="O383" t="n">
        <v>0</v>
      </c>
      <c r="P383" t="n">
        <v>0</v>
      </c>
      <c r="Q383" t="n">
        <v>0</v>
      </c>
      <c r="R383" s="2" t="inlineStr"/>
    </row>
    <row r="384" ht="15" customHeight="1">
      <c r="A384" t="inlineStr">
        <is>
          <t>A 44348-2019</t>
        </is>
      </c>
      <c r="B384" s="1" t="n">
        <v>43711</v>
      </c>
      <c r="C384" s="1" t="n">
        <v>45807</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46412-2019</t>
        </is>
      </c>
      <c r="B385" s="1" t="n">
        <v>43714</v>
      </c>
      <c r="C385" s="1" t="n">
        <v>45807</v>
      </c>
      <c r="D385" t="inlineStr">
        <is>
          <t>VÄSTERBOTTENS LÄN</t>
        </is>
      </c>
      <c r="E385" t="inlineStr">
        <is>
          <t>SKELLEFTEÅ</t>
        </is>
      </c>
      <c r="G385" t="n">
        <v>3.9</v>
      </c>
      <c r="H385" t="n">
        <v>0</v>
      </c>
      <c r="I385" t="n">
        <v>0</v>
      </c>
      <c r="J385" t="n">
        <v>0</v>
      </c>
      <c r="K385" t="n">
        <v>0</v>
      </c>
      <c r="L385" t="n">
        <v>0</v>
      </c>
      <c r="M385" t="n">
        <v>0</v>
      </c>
      <c r="N385" t="n">
        <v>0</v>
      </c>
      <c r="O385" t="n">
        <v>0</v>
      </c>
      <c r="P385" t="n">
        <v>0</v>
      </c>
      <c r="Q385" t="n">
        <v>0</v>
      </c>
      <c r="R385" s="2" t="inlineStr"/>
    </row>
    <row r="386" ht="15" customHeight="1">
      <c r="A386" t="inlineStr">
        <is>
          <t>A 46227-2019</t>
        </is>
      </c>
      <c r="B386" s="1" t="n">
        <v>43714</v>
      </c>
      <c r="C386" s="1" t="n">
        <v>45807</v>
      </c>
      <c r="D386" t="inlineStr">
        <is>
          <t>VÄSTERBOTTENS LÄN</t>
        </is>
      </c>
      <c r="E386" t="inlineStr">
        <is>
          <t>SKELLEFTEÅ</t>
        </is>
      </c>
      <c r="G386" t="n">
        <v>4.3</v>
      </c>
      <c r="H386" t="n">
        <v>0</v>
      </c>
      <c r="I386" t="n">
        <v>0</v>
      </c>
      <c r="J386" t="n">
        <v>0</v>
      </c>
      <c r="K386" t="n">
        <v>0</v>
      </c>
      <c r="L386" t="n">
        <v>0</v>
      </c>
      <c r="M386" t="n">
        <v>0</v>
      </c>
      <c r="N386" t="n">
        <v>0</v>
      </c>
      <c r="O386" t="n">
        <v>0</v>
      </c>
      <c r="P386" t="n">
        <v>0</v>
      </c>
      <c r="Q386" t="n">
        <v>0</v>
      </c>
      <c r="R386" s="2" t="inlineStr"/>
    </row>
    <row r="387" ht="15" customHeight="1">
      <c r="A387" t="inlineStr">
        <is>
          <t>A 46367-2019</t>
        </is>
      </c>
      <c r="B387" s="1" t="n">
        <v>43718</v>
      </c>
      <c r="C387" s="1" t="n">
        <v>45807</v>
      </c>
      <c r="D387" t="inlineStr">
        <is>
          <t>VÄSTERBOTTENS LÄN</t>
        </is>
      </c>
      <c r="E387" t="inlineStr">
        <is>
          <t>SKELLEFTEÅ</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46355-2019</t>
        </is>
      </c>
      <c r="B388" s="1" t="n">
        <v>43718</v>
      </c>
      <c r="C388" s="1" t="n">
        <v>45807</v>
      </c>
      <c r="D388" t="inlineStr">
        <is>
          <t>VÄSTERBOTTENS LÄN</t>
        </is>
      </c>
      <c r="E388" t="inlineStr">
        <is>
          <t>SKELLEFTEÅ</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46368-2019</t>
        </is>
      </c>
      <c r="B389" s="1" t="n">
        <v>43718</v>
      </c>
      <c r="C389" s="1" t="n">
        <v>45807</v>
      </c>
      <c r="D389" t="inlineStr">
        <is>
          <t>VÄSTERBOTTENS LÄN</t>
        </is>
      </c>
      <c r="E389" t="inlineStr">
        <is>
          <t>SKELLEFTEÅ</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46952-2019</t>
        </is>
      </c>
      <c r="B390" s="1" t="n">
        <v>43720</v>
      </c>
      <c r="C390" s="1" t="n">
        <v>45807</v>
      </c>
      <c r="D390" t="inlineStr">
        <is>
          <t>VÄSTERBOTTENS LÄN</t>
        </is>
      </c>
      <c r="E390" t="inlineStr">
        <is>
          <t>SKELLEFTEÅ</t>
        </is>
      </c>
      <c r="F390" t="inlineStr">
        <is>
          <t>Holmen skog AB</t>
        </is>
      </c>
      <c r="G390" t="n">
        <v>10.8</v>
      </c>
      <c r="H390" t="n">
        <v>0</v>
      </c>
      <c r="I390" t="n">
        <v>0</v>
      </c>
      <c r="J390" t="n">
        <v>0</v>
      </c>
      <c r="K390" t="n">
        <v>0</v>
      </c>
      <c r="L390" t="n">
        <v>0</v>
      </c>
      <c r="M390" t="n">
        <v>0</v>
      </c>
      <c r="N390" t="n">
        <v>0</v>
      </c>
      <c r="O390" t="n">
        <v>0</v>
      </c>
      <c r="P390" t="n">
        <v>0</v>
      </c>
      <c r="Q390" t="n">
        <v>0</v>
      </c>
      <c r="R390" s="2" t="inlineStr"/>
    </row>
    <row r="391" ht="15" customHeight="1">
      <c r="A391" t="inlineStr">
        <is>
          <t>A 46968-2019</t>
        </is>
      </c>
      <c r="B391" s="1" t="n">
        <v>43720</v>
      </c>
      <c r="C391" s="1" t="n">
        <v>45807</v>
      </c>
      <c r="D391" t="inlineStr">
        <is>
          <t>VÄSTERBOTTENS LÄN</t>
        </is>
      </c>
      <c r="E391" t="inlineStr">
        <is>
          <t>SKELLEFTEÅ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46946-2019</t>
        </is>
      </c>
      <c r="B392" s="1" t="n">
        <v>43720</v>
      </c>
      <c r="C392" s="1" t="n">
        <v>45807</v>
      </c>
      <c r="D392" t="inlineStr">
        <is>
          <t>VÄSTERBOTTENS LÄN</t>
        </is>
      </c>
      <c r="E392" t="inlineStr">
        <is>
          <t>SKELLEFTEÅ</t>
        </is>
      </c>
      <c r="F392" t="inlineStr">
        <is>
          <t>Holmen skog AB</t>
        </is>
      </c>
      <c r="G392" t="n">
        <v>13.2</v>
      </c>
      <c r="H392" t="n">
        <v>0</v>
      </c>
      <c r="I392" t="n">
        <v>0</v>
      </c>
      <c r="J392" t="n">
        <v>0</v>
      </c>
      <c r="K392" t="n">
        <v>0</v>
      </c>
      <c r="L392" t="n">
        <v>0</v>
      </c>
      <c r="M392" t="n">
        <v>0</v>
      </c>
      <c r="N392" t="n">
        <v>0</v>
      </c>
      <c r="O392" t="n">
        <v>0</v>
      </c>
      <c r="P392" t="n">
        <v>0</v>
      </c>
      <c r="Q392" t="n">
        <v>0</v>
      </c>
      <c r="R392" s="2" t="inlineStr"/>
    </row>
    <row r="393" ht="15" customHeight="1">
      <c r="A393" t="inlineStr">
        <is>
          <t>A 47224-2019</t>
        </is>
      </c>
      <c r="B393" s="1" t="n">
        <v>43720</v>
      </c>
      <c r="C393" s="1" t="n">
        <v>45807</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47091-2019</t>
        </is>
      </c>
      <c r="B394" s="1" t="n">
        <v>43720</v>
      </c>
      <c r="C394" s="1" t="n">
        <v>45807</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47452-2019</t>
        </is>
      </c>
      <c r="B395" s="1" t="n">
        <v>43721</v>
      </c>
      <c r="C395" s="1" t="n">
        <v>45807</v>
      </c>
      <c r="D395" t="inlineStr">
        <is>
          <t>VÄSTERBOTTENS LÄN</t>
        </is>
      </c>
      <c r="E395" t="inlineStr">
        <is>
          <t>SKELLEFTEÅ</t>
        </is>
      </c>
      <c r="G395" t="n">
        <v>1</v>
      </c>
      <c r="H395" t="n">
        <v>0</v>
      </c>
      <c r="I395" t="n">
        <v>0</v>
      </c>
      <c r="J395" t="n">
        <v>0</v>
      </c>
      <c r="K395" t="n">
        <v>0</v>
      </c>
      <c r="L395" t="n">
        <v>0</v>
      </c>
      <c r="M395" t="n">
        <v>0</v>
      </c>
      <c r="N395" t="n">
        <v>0</v>
      </c>
      <c r="O395" t="n">
        <v>0</v>
      </c>
      <c r="P395" t="n">
        <v>0</v>
      </c>
      <c r="Q395" t="n">
        <v>0</v>
      </c>
      <c r="R395" s="2" t="inlineStr"/>
    </row>
    <row r="396" ht="15" customHeight="1">
      <c r="A396" t="inlineStr">
        <is>
          <t>A 47460-2019</t>
        </is>
      </c>
      <c r="B396" s="1" t="n">
        <v>43721</v>
      </c>
      <c r="C396" s="1" t="n">
        <v>45807</v>
      </c>
      <c r="D396" t="inlineStr">
        <is>
          <t>VÄSTERBOTTENS LÄN</t>
        </is>
      </c>
      <c r="E396" t="inlineStr">
        <is>
          <t>SKELLEFTEÅ</t>
        </is>
      </c>
      <c r="G396" t="n">
        <v>1.1</v>
      </c>
      <c r="H396" t="n">
        <v>0</v>
      </c>
      <c r="I396" t="n">
        <v>0</v>
      </c>
      <c r="J396" t="n">
        <v>0</v>
      </c>
      <c r="K396" t="n">
        <v>0</v>
      </c>
      <c r="L396" t="n">
        <v>0</v>
      </c>
      <c r="M396" t="n">
        <v>0</v>
      </c>
      <c r="N396" t="n">
        <v>0</v>
      </c>
      <c r="O396" t="n">
        <v>0</v>
      </c>
      <c r="P396" t="n">
        <v>0</v>
      </c>
      <c r="Q396" t="n">
        <v>0</v>
      </c>
      <c r="R396" s="2" t="inlineStr"/>
    </row>
    <row r="397" ht="15" customHeight="1">
      <c r="A397" t="inlineStr">
        <is>
          <t>A 47535-2019</t>
        </is>
      </c>
      <c r="B397" s="1" t="n">
        <v>43721</v>
      </c>
      <c r="C397" s="1" t="n">
        <v>45807</v>
      </c>
      <c r="D397" t="inlineStr">
        <is>
          <t>VÄSTERBOTTENS LÄN</t>
        </is>
      </c>
      <c r="E397" t="inlineStr">
        <is>
          <t>SKELLEFTEÅ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47572-2019</t>
        </is>
      </c>
      <c r="B398" s="1" t="n">
        <v>43724</v>
      </c>
      <c r="C398" s="1" t="n">
        <v>45807</v>
      </c>
      <c r="D398" t="inlineStr">
        <is>
          <t>VÄSTERBOTTENS LÄN</t>
        </is>
      </c>
      <c r="E398" t="inlineStr">
        <is>
          <t>SKELLEFTEÅ</t>
        </is>
      </c>
      <c r="G398" t="n">
        <v>3.6</v>
      </c>
      <c r="H398" t="n">
        <v>0</v>
      </c>
      <c r="I398" t="n">
        <v>0</v>
      </c>
      <c r="J398" t="n">
        <v>0</v>
      </c>
      <c r="K398" t="n">
        <v>0</v>
      </c>
      <c r="L398" t="n">
        <v>0</v>
      </c>
      <c r="M398" t="n">
        <v>0</v>
      </c>
      <c r="N398" t="n">
        <v>0</v>
      </c>
      <c r="O398" t="n">
        <v>0</v>
      </c>
      <c r="P398" t="n">
        <v>0</v>
      </c>
      <c r="Q398" t="n">
        <v>0</v>
      </c>
      <c r="R398" s="2" t="inlineStr"/>
    </row>
    <row r="399" ht="15" customHeight="1">
      <c r="A399" t="inlineStr">
        <is>
          <t>A 47643-2019</t>
        </is>
      </c>
      <c r="B399" s="1" t="n">
        <v>43724</v>
      </c>
      <c r="C399" s="1" t="n">
        <v>45807</v>
      </c>
      <c r="D399" t="inlineStr">
        <is>
          <t>VÄSTERBOTTENS LÄN</t>
        </is>
      </c>
      <c r="E399" t="inlineStr">
        <is>
          <t>SKELLEFTEÅ</t>
        </is>
      </c>
      <c r="G399" t="n">
        <v>3.5</v>
      </c>
      <c r="H399" t="n">
        <v>0</v>
      </c>
      <c r="I399" t="n">
        <v>0</v>
      </c>
      <c r="J399" t="n">
        <v>0</v>
      </c>
      <c r="K399" t="n">
        <v>0</v>
      </c>
      <c r="L399" t="n">
        <v>0</v>
      </c>
      <c r="M399" t="n">
        <v>0</v>
      </c>
      <c r="N399" t="n">
        <v>0</v>
      </c>
      <c r="O399" t="n">
        <v>0</v>
      </c>
      <c r="P399" t="n">
        <v>0</v>
      </c>
      <c r="Q399" t="n">
        <v>0</v>
      </c>
      <c r="R399" s="2" t="inlineStr"/>
    </row>
    <row r="400" ht="15" customHeight="1">
      <c r="A400" t="inlineStr">
        <is>
          <t>A 48592-2019</t>
        </is>
      </c>
      <c r="B400" s="1" t="n">
        <v>43727</v>
      </c>
      <c r="C400" s="1" t="n">
        <v>45807</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48786-2019</t>
        </is>
      </c>
      <c r="B401" s="1" t="n">
        <v>43727</v>
      </c>
      <c r="C401" s="1" t="n">
        <v>45807</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48957-2019</t>
        </is>
      </c>
      <c r="B402" s="1" t="n">
        <v>43728</v>
      </c>
      <c r="C402" s="1" t="n">
        <v>45807</v>
      </c>
      <c r="D402" t="inlineStr">
        <is>
          <t>VÄSTERBOTTENS LÄN</t>
        </is>
      </c>
      <c r="E402" t="inlineStr">
        <is>
          <t>SKELLEFTEÅ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49617-2019</t>
        </is>
      </c>
      <c r="B403" s="1" t="n">
        <v>43728</v>
      </c>
      <c r="C403" s="1" t="n">
        <v>45807</v>
      </c>
      <c r="D403" t="inlineStr">
        <is>
          <t>VÄSTERBOTTENS LÄN</t>
        </is>
      </c>
      <c r="E403" t="inlineStr">
        <is>
          <t>SKELLEFTEÅ</t>
        </is>
      </c>
      <c r="G403" t="n">
        <v>2.8</v>
      </c>
      <c r="H403" t="n">
        <v>0</v>
      </c>
      <c r="I403" t="n">
        <v>0</v>
      </c>
      <c r="J403" t="n">
        <v>0</v>
      </c>
      <c r="K403" t="n">
        <v>0</v>
      </c>
      <c r="L403" t="n">
        <v>0</v>
      </c>
      <c r="M403" t="n">
        <v>0</v>
      </c>
      <c r="N403" t="n">
        <v>0</v>
      </c>
      <c r="O403" t="n">
        <v>0</v>
      </c>
      <c r="P403" t="n">
        <v>0</v>
      </c>
      <c r="Q403" t="n">
        <v>0</v>
      </c>
      <c r="R403" s="2" t="inlineStr"/>
    </row>
    <row r="404" ht="15" customHeight="1">
      <c r="A404" t="inlineStr">
        <is>
          <t>A 49464-2019</t>
        </is>
      </c>
      <c r="B404" s="1" t="n">
        <v>43728</v>
      </c>
      <c r="C404" s="1" t="n">
        <v>45807</v>
      </c>
      <c r="D404" t="inlineStr">
        <is>
          <t>VÄSTERBOTTENS LÄN</t>
        </is>
      </c>
      <c r="E404" t="inlineStr">
        <is>
          <t>SKELLEFTEÅ</t>
        </is>
      </c>
      <c r="G404" t="n">
        <v>7.1</v>
      </c>
      <c r="H404" t="n">
        <v>0</v>
      </c>
      <c r="I404" t="n">
        <v>0</v>
      </c>
      <c r="J404" t="n">
        <v>0</v>
      </c>
      <c r="K404" t="n">
        <v>0</v>
      </c>
      <c r="L404" t="n">
        <v>0</v>
      </c>
      <c r="M404" t="n">
        <v>0</v>
      </c>
      <c r="N404" t="n">
        <v>0</v>
      </c>
      <c r="O404" t="n">
        <v>0</v>
      </c>
      <c r="P404" t="n">
        <v>0</v>
      </c>
      <c r="Q404" t="n">
        <v>0</v>
      </c>
      <c r="R404" s="2" t="inlineStr"/>
    </row>
    <row r="405" ht="15" customHeight="1">
      <c r="A405" t="inlineStr">
        <is>
          <t>A 49712-2019</t>
        </is>
      </c>
      <c r="B405" s="1" t="n">
        <v>43728</v>
      </c>
      <c r="C405" s="1" t="n">
        <v>45807</v>
      </c>
      <c r="D405" t="inlineStr">
        <is>
          <t>VÄSTERBOTTENS LÄN</t>
        </is>
      </c>
      <c r="E405" t="inlineStr">
        <is>
          <t>SKELLEFTEÅ</t>
        </is>
      </c>
      <c r="G405" t="n">
        <v>4.2</v>
      </c>
      <c r="H405" t="n">
        <v>0</v>
      </c>
      <c r="I405" t="n">
        <v>0</v>
      </c>
      <c r="J405" t="n">
        <v>0</v>
      </c>
      <c r="K405" t="n">
        <v>0</v>
      </c>
      <c r="L405" t="n">
        <v>0</v>
      </c>
      <c r="M405" t="n">
        <v>0</v>
      </c>
      <c r="N405" t="n">
        <v>0</v>
      </c>
      <c r="O405" t="n">
        <v>0</v>
      </c>
      <c r="P405" t="n">
        <v>0</v>
      </c>
      <c r="Q405" t="n">
        <v>0</v>
      </c>
      <c r="R405" s="2" t="inlineStr"/>
    </row>
    <row r="406" ht="15" customHeight="1">
      <c r="A406" t="inlineStr">
        <is>
          <t>A 49005-2019</t>
        </is>
      </c>
      <c r="B406" s="1" t="n">
        <v>43730</v>
      </c>
      <c r="C406" s="1" t="n">
        <v>45807</v>
      </c>
      <c r="D406" t="inlineStr">
        <is>
          <t>VÄSTERBOTTENS LÄN</t>
        </is>
      </c>
      <c r="E406" t="inlineStr">
        <is>
          <t>SKELLEFTEÅ</t>
        </is>
      </c>
      <c r="F406" t="inlineStr">
        <is>
          <t>Holmen skog AB</t>
        </is>
      </c>
      <c r="G406" t="n">
        <v>5.5</v>
      </c>
      <c r="H406" t="n">
        <v>0</v>
      </c>
      <c r="I406" t="n">
        <v>0</v>
      </c>
      <c r="J406" t="n">
        <v>0</v>
      </c>
      <c r="K406" t="n">
        <v>0</v>
      </c>
      <c r="L406" t="n">
        <v>0</v>
      </c>
      <c r="M406" t="n">
        <v>0</v>
      </c>
      <c r="N406" t="n">
        <v>0</v>
      </c>
      <c r="O406" t="n">
        <v>0</v>
      </c>
      <c r="P406" t="n">
        <v>0</v>
      </c>
      <c r="Q406" t="n">
        <v>0</v>
      </c>
      <c r="R406" s="2" t="inlineStr"/>
    </row>
    <row r="407" ht="15" customHeight="1">
      <c r="A407" t="inlineStr">
        <is>
          <t>A 49327-2019</t>
        </is>
      </c>
      <c r="B407" s="1" t="n">
        <v>43731</v>
      </c>
      <c r="C407" s="1" t="n">
        <v>45807</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49282-2019</t>
        </is>
      </c>
      <c r="B408" s="1" t="n">
        <v>43731</v>
      </c>
      <c r="C408" s="1" t="n">
        <v>45807</v>
      </c>
      <c r="D408" t="inlineStr">
        <is>
          <t>VÄSTERBOTTENS LÄN</t>
        </is>
      </c>
      <c r="E408" t="inlineStr">
        <is>
          <t>SKELLEFTEÅ</t>
        </is>
      </c>
      <c r="F408" t="inlineStr">
        <is>
          <t>Kommuner</t>
        </is>
      </c>
      <c r="G408" t="n">
        <v>0.9</v>
      </c>
      <c r="H408" t="n">
        <v>0</v>
      </c>
      <c r="I408" t="n">
        <v>0</v>
      </c>
      <c r="J408" t="n">
        <v>0</v>
      </c>
      <c r="K408" t="n">
        <v>0</v>
      </c>
      <c r="L408" t="n">
        <v>0</v>
      </c>
      <c r="M408" t="n">
        <v>0</v>
      </c>
      <c r="N408" t="n">
        <v>0</v>
      </c>
      <c r="O408" t="n">
        <v>0</v>
      </c>
      <c r="P408" t="n">
        <v>0</v>
      </c>
      <c r="Q408" t="n">
        <v>0</v>
      </c>
      <c r="R408" s="2" t="inlineStr"/>
    </row>
    <row r="409" ht="15" customHeight="1">
      <c r="A409" t="inlineStr">
        <is>
          <t>A 49312-2019</t>
        </is>
      </c>
      <c r="B409" s="1" t="n">
        <v>43731</v>
      </c>
      <c r="C409" s="1" t="n">
        <v>45807</v>
      </c>
      <c r="D409" t="inlineStr">
        <is>
          <t>VÄSTERBOTTENS LÄN</t>
        </is>
      </c>
      <c r="E409" t="inlineStr">
        <is>
          <t>SKELLEFTEÅ</t>
        </is>
      </c>
      <c r="G409" t="n">
        <v>1.8</v>
      </c>
      <c r="H409" t="n">
        <v>0</v>
      </c>
      <c r="I409" t="n">
        <v>0</v>
      </c>
      <c r="J409" t="n">
        <v>0</v>
      </c>
      <c r="K409" t="n">
        <v>0</v>
      </c>
      <c r="L409" t="n">
        <v>0</v>
      </c>
      <c r="M409" t="n">
        <v>0</v>
      </c>
      <c r="N409" t="n">
        <v>0</v>
      </c>
      <c r="O409" t="n">
        <v>0</v>
      </c>
      <c r="P409" t="n">
        <v>0</v>
      </c>
      <c r="Q409" t="n">
        <v>0</v>
      </c>
      <c r="R409" s="2" t="inlineStr"/>
    </row>
    <row r="410" ht="15" customHeight="1">
      <c r="A410" t="inlineStr">
        <is>
          <t>A 49792-2019</t>
        </is>
      </c>
      <c r="B410" s="1" t="n">
        <v>43733</v>
      </c>
      <c r="C410" s="1" t="n">
        <v>45807</v>
      </c>
      <c r="D410" t="inlineStr">
        <is>
          <t>VÄSTERBOTTENS LÄN</t>
        </is>
      </c>
      <c r="E410" t="inlineStr">
        <is>
          <t>SKELLEFTEÅ</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49793-2019</t>
        </is>
      </c>
      <c r="B411" s="1" t="n">
        <v>43733</v>
      </c>
      <c r="C411" s="1" t="n">
        <v>45807</v>
      </c>
      <c r="D411" t="inlineStr">
        <is>
          <t>VÄSTERBOTTENS LÄN</t>
        </is>
      </c>
      <c r="E411" t="inlineStr">
        <is>
          <t>SKELLEFTEÅ</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50518-2019</t>
        </is>
      </c>
      <c r="B412" s="1" t="n">
        <v>43733</v>
      </c>
      <c r="C412" s="1" t="n">
        <v>45807</v>
      </c>
      <c r="D412" t="inlineStr">
        <is>
          <t>VÄSTERBOTTENS LÄN</t>
        </is>
      </c>
      <c r="E412" t="inlineStr">
        <is>
          <t>SKELLEFTEÅ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50515-2019</t>
        </is>
      </c>
      <c r="B413" s="1" t="n">
        <v>43733</v>
      </c>
      <c r="C413" s="1" t="n">
        <v>45807</v>
      </c>
      <c r="D413" t="inlineStr">
        <is>
          <t>VÄSTERBOTTENS LÄN</t>
        </is>
      </c>
      <c r="E413" t="inlineStr">
        <is>
          <t>SKELLEFTEÅ</t>
        </is>
      </c>
      <c r="G413" t="n">
        <v>3.1</v>
      </c>
      <c r="H413" t="n">
        <v>0</v>
      </c>
      <c r="I413" t="n">
        <v>0</v>
      </c>
      <c r="J413" t="n">
        <v>0</v>
      </c>
      <c r="K413" t="n">
        <v>0</v>
      </c>
      <c r="L413" t="n">
        <v>0</v>
      </c>
      <c r="M413" t="n">
        <v>0</v>
      </c>
      <c r="N413" t="n">
        <v>0</v>
      </c>
      <c r="O413" t="n">
        <v>0</v>
      </c>
      <c r="P413" t="n">
        <v>0</v>
      </c>
      <c r="Q413" t="n">
        <v>0</v>
      </c>
      <c r="R413" s="2" t="inlineStr"/>
    </row>
    <row r="414" ht="15" customHeight="1">
      <c r="A414" t="inlineStr">
        <is>
          <t>A 50572-2019</t>
        </is>
      </c>
      <c r="B414" s="1" t="n">
        <v>43735</v>
      </c>
      <c r="C414" s="1" t="n">
        <v>45807</v>
      </c>
      <c r="D414" t="inlineStr">
        <is>
          <t>VÄSTERBOTTENS LÄN</t>
        </is>
      </c>
      <c r="E414" t="inlineStr">
        <is>
          <t>SKELLEFTEÅ</t>
        </is>
      </c>
      <c r="F414" t="inlineStr">
        <is>
          <t>Sveaskog</t>
        </is>
      </c>
      <c r="G414" t="n">
        <v>12.1</v>
      </c>
      <c r="H414" t="n">
        <v>0</v>
      </c>
      <c r="I414" t="n">
        <v>0</v>
      </c>
      <c r="J414" t="n">
        <v>0</v>
      </c>
      <c r="K414" t="n">
        <v>0</v>
      </c>
      <c r="L414" t="n">
        <v>0</v>
      </c>
      <c r="M414" t="n">
        <v>0</v>
      </c>
      <c r="N414" t="n">
        <v>0</v>
      </c>
      <c r="O414" t="n">
        <v>0</v>
      </c>
      <c r="P414" t="n">
        <v>0</v>
      </c>
      <c r="Q414" t="n">
        <v>0</v>
      </c>
      <c r="R414" s="2" t="inlineStr"/>
    </row>
    <row r="415" ht="15" customHeight="1">
      <c r="A415" t="inlineStr">
        <is>
          <t>A 50568-2019</t>
        </is>
      </c>
      <c r="B415" s="1" t="n">
        <v>43735</v>
      </c>
      <c r="C415" s="1" t="n">
        <v>45807</v>
      </c>
      <c r="D415" t="inlineStr">
        <is>
          <t>VÄSTERBOTTENS LÄN</t>
        </is>
      </c>
      <c r="E415" t="inlineStr">
        <is>
          <t>SKELLEFTEÅ</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50574-2019</t>
        </is>
      </c>
      <c r="B416" s="1" t="n">
        <v>43735</v>
      </c>
      <c r="C416" s="1" t="n">
        <v>45807</v>
      </c>
      <c r="D416" t="inlineStr">
        <is>
          <t>VÄSTERBOTTENS LÄN</t>
        </is>
      </c>
      <c r="E416" t="inlineStr">
        <is>
          <t>SKELLEFTEÅ</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50576-2019</t>
        </is>
      </c>
      <c r="B417" s="1" t="n">
        <v>43735</v>
      </c>
      <c r="C417" s="1" t="n">
        <v>45807</v>
      </c>
      <c r="D417" t="inlineStr">
        <is>
          <t>VÄSTERBOTTENS LÄN</t>
        </is>
      </c>
      <c r="E417" t="inlineStr">
        <is>
          <t>SKELLEFTEÅ</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53194-2019</t>
        </is>
      </c>
      <c r="B418" s="1" t="n">
        <v>43735</v>
      </c>
      <c r="C418" s="1" t="n">
        <v>45807</v>
      </c>
      <c r="D418" t="inlineStr">
        <is>
          <t>VÄSTERBOTTENS LÄN</t>
        </is>
      </c>
      <c r="E418" t="inlineStr">
        <is>
          <t>SKELLEFTEÅ</t>
        </is>
      </c>
      <c r="G418" t="n">
        <v>5.2</v>
      </c>
      <c r="H418" t="n">
        <v>0</v>
      </c>
      <c r="I418" t="n">
        <v>0</v>
      </c>
      <c r="J418" t="n">
        <v>0</v>
      </c>
      <c r="K418" t="n">
        <v>0</v>
      </c>
      <c r="L418" t="n">
        <v>0</v>
      </c>
      <c r="M418" t="n">
        <v>0</v>
      </c>
      <c r="N418" t="n">
        <v>0</v>
      </c>
      <c r="O418" t="n">
        <v>0</v>
      </c>
      <c r="P418" t="n">
        <v>0</v>
      </c>
      <c r="Q418" t="n">
        <v>0</v>
      </c>
      <c r="R418" s="2" t="inlineStr"/>
    </row>
    <row r="419" ht="15" customHeight="1">
      <c r="A419" t="inlineStr">
        <is>
          <t>A 50872-2019</t>
        </is>
      </c>
      <c r="B419" s="1" t="n">
        <v>43738</v>
      </c>
      <c r="C419" s="1" t="n">
        <v>45807</v>
      </c>
      <c r="D419" t="inlineStr">
        <is>
          <t>VÄSTERBOTTENS LÄN</t>
        </is>
      </c>
      <c r="E419" t="inlineStr">
        <is>
          <t>SKELLEFTEÅ</t>
        </is>
      </c>
      <c r="F419" t="inlineStr">
        <is>
          <t>Holmen skog AB</t>
        </is>
      </c>
      <c r="G419" t="n">
        <v>11.5</v>
      </c>
      <c r="H419" t="n">
        <v>0</v>
      </c>
      <c r="I419" t="n">
        <v>0</v>
      </c>
      <c r="J419" t="n">
        <v>0</v>
      </c>
      <c r="K419" t="n">
        <v>0</v>
      </c>
      <c r="L419" t="n">
        <v>0</v>
      </c>
      <c r="M419" t="n">
        <v>0</v>
      </c>
      <c r="N419" t="n">
        <v>0</v>
      </c>
      <c r="O419" t="n">
        <v>0</v>
      </c>
      <c r="P419" t="n">
        <v>0</v>
      </c>
      <c r="Q419" t="n">
        <v>0</v>
      </c>
      <c r="R419" s="2" t="inlineStr"/>
    </row>
    <row r="420" ht="15" customHeight="1">
      <c r="A420" t="inlineStr">
        <is>
          <t>A 53311-2019</t>
        </is>
      </c>
      <c r="B420" s="1" t="n">
        <v>43740</v>
      </c>
      <c r="C420" s="1" t="n">
        <v>45807</v>
      </c>
      <c r="D420" t="inlineStr">
        <is>
          <t>VÄSTERBOTTENS LÄN</t>
        </is>
      </c>
      <c r="E420" t="inlineStr">
        <is>
          <t>SKELLEFTEÅ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53557-2019</t>
        </is>
      </c>
      <c r="B421" s="1" t="n">
        <v>43740</v>
      </c>
      <c r="C421" s="1" t="n">
        <v>45807</v>
      </c>
      <c r="D421" t="inlineStr">
        <is>
          <t>VÄSTERBOTTENS LÄN</t>
        </is>
      </c>
      <c r="E421" t="inlineStr">
        <is>
          <t>SKELLEFTEÅ</t>
        </is>
      </c>
      <c r="G421" t="n">
        <v>2.8</v>
      </c>
      <c r="H421" t="n">
        <v>0</v>
      </c>
      <c r="I421" t="n">
        <v>0</v>
      </c>
      <c r="J421" t="n">
        <v>0</v>
      </c>
      <c r="K421" t="n">
        <v>0</v>
      </c>
      <c r="L421" t="n">
        <v>0</v>
      </c>
      <c r="M421" t="n">
        <v>0</v>
      </c>
      <c r="N421" t="n">
        <v>0</v>
      </c>
      <c r="O421" t="n">
        <v>0</v>
      </c>
      <c r="P421" t="n">
        <v>0</v>
      </c>
      <c r="Q421" t="n">
        <v>0</v>
      </c>
      <c r="R421" s="2" t="inlineStr"/>
    </row>
    <row r="422" ht="15" customHeight="1">
      <c r="A422" t="inlineStr">
        <is>
          <t>A 54004-2019</t>
        </is>
      </c>
      <c r="B422" s="1" t="n">
        <v>43742</v>
      </c>
      <c r="C422" s="1" t="n">
        <v>45807</v>
      </c>
      <c r="D422" t="inlineStr">
        <is>
          <t>VÄSTERBOTTENS LÄN</t>
        </is>
      </c>
      <c r="E422" t="inlineStr">
        <is>
          <t>SKELLEFTEÅ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52019-2019</t>
        </is>
      </c>
      <c r="B423" s="1" t="n">
        <v>43742</v>
      </c>
      <c r="C423" s="1" t="n">
        <v>45807</v>
      </c>
      <c r="D423" t="inlineStr">
        <is>
          <t>VÄSTERBOTTENS LÄN</t>
        </is>
      </c>
      <c r="E423" t="inlineStr">
        <is>
          <t>SKELLEFTEÅ</t>
        </is>
      </c>
      <c r="G423" t="n">
        <v>1.2</v>
      </c>
      <c r="H423" t="n">
        <v>0</v>
      </c>
      <c r="I423" t="n">
        <v>0</v>
      </c>
      <c r="J423" t="n">
        <v>0</v>
      </c>
      <c r="K423" t="n">
        <v>0</v>
      </c>
      <c r="L423" t="n">
        <v>0</v>
      </c>
      <c r="M423" t="n">
        <v>0</v>
      </c>
      <c r="N423" t="n">
        <v>0</v>
      </c>
      <c r="O423" t="n">
        <v>0</v>
      </c>
      <c r="P423" t="n">
        <v>0</v>
      </c>
      <c r="Q423" t="n">
        <v>0</v>
      </c>
      <c r="R423" s="2" t="inlineStr"/>
    </row>
    <row r="424" ht="15" customHeight="1">
      <c r="A424" t="inlineStr">
        <is>
          <t>A 53980-2019</t>
        </is>
      </c>
      <c r="B424" s="1" t="n">
        <v>43742</v>
      </c>
      <c r="C424" s="1" t="n">
        <v>45807</v>
      </c>
      <c r="D424" t="inlineStr">
        <is>
          <t>VÄSTERBOTTENS LÄN</t>
        </is>
      </c>
      <c r="E424" t="inlineStr">
        <is>
          <t>SKELLEFTEÅ</t>
        </is>
      </c>
      <c r="G424" t="n">
        <v>2.3</v>
      </c>
      <c r="H424" t="n">
        <v>0</v>
      </c>
      <c r="I424" t="n">
        <v>0</v>
      </c>
      <c r="J424" t="n">
        <v>0</v>
      </c>
      <c r="K424" t="n">
        <v>0</v>
      </c>
      <c r="L424" t="n">
        <v>0</v>
      </c>
      <c r="M424" t="n">
        <v>0</v>
      </c>
      <c r="N424" t="n">
        <v>0</v>
      </c>
      <c r="O424" t="n">
        <v>0</v>
      </c>
      <c r="P424" t="n">
        <v>0</v>
      </c>
      <c r="Q424" t="n">
        <v>0</v>
      </c>
      <c r="R424" s="2" t="inlineStr"/>
    </row>
    <row r="425" ht="15" customHeight="1">
      <c r="A425" t="inlineStr">
        <is>
          <t>A 52469-2019</t>
        </is>
      </c>
      <c r="B425" s="1" t="n">
        <v>43745</v>
      </c>
      <c r="C425" s="1" t="n">
        <v>45807</v>
      </c>
      <c r="D425" t="inlineStr">
        <is>
          <t>VÄSTERBOTTENS LÄN</t>
        </is>
      </c>
      <c r="E425" t="inlineStr">
        <is>
          <t>SKELLEFTEÅ</t>
        </is>
      </c>
      <c r="G425" t="n">
        <v>7.3</v>
      </c>
      <c r="H425" t="n">
        <v>0</v>
      </c>
      <c r="I425" t="n">
        <v>0</v>
      </c>
      <c r="J425" t="n">
        <v>0</v>
      </c>
      <c r="K425" t="n">
        <v>0</v>
      </c>
      <c r="L425" t="n">
        <v>0</v>
      </c>
      <c r="M425" t="n">
        <v>0</v>
      </c>
      <c r="N425" t="n">
        <v>0</v>
      </c>
      <c r="O425" t="n">
        <v>0</v>
      </c>
      <c r="P425" t="n">
        <v>0</v>
      </c>
      <c r="Q425" t="n">
        <v>0</v>
      </c>
      <c r="R425" s="2" t="inlineStr"/>
    </row>
    <row r="426" ht="15" customHeight="1">
      <c r="A426" t="inlineStr">
        <is>
          <t>A 52506-2019</t>
        </is>
      </c>
      <c r="B426" s="1" t="n">
        <v>43745</v>
      </c>
      <c r="C426" s="1" t="n">
        <v>45807</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52471-2019</t>
        </is>
      </c>
      <c r="B427" s="1" t="n">
        <v>43745</v>
      </c>
      <c r="C427" s="1" t="n">
        <v>45807</v>
      </c>
      <c r="D427" t="inlineStr">
        <is>
          <t>VÄSTERBOTTENS LÄN</t>
        </is>
      </c>
      <c r="E427" t="inlineStr">
        <is>
          <t>SKELLEFTEÅ</t>
        </is>
      </c>
      <c r="G427" t="n">
        <v>7.8</v>
      </c>
      <c r="H427" t="n">
        <v>0</v>
      </c>
      <c r="I427" t="n">
        <v>0</v>
      </c>
      <c r="J427" t="n">
        <v>0</v>
      </c>
      <c r="K427" t="n">
        <v>0</v>
      </c>
      <c r="L427" t="n">
        <v>0</v>
      </c>
      <c r="M427" t="n">
        <v>0</v>
      </c>
      <c r="N427" t="n">
        <v>0</v>
      </c>
      <c r="O427" t="n">
        <v>0</v>
      </c>
      <c r="P427" t="n">
        <v>0</v>
      </c>
      <c r="Q427" t="n">
        <v>0</v>
      </c>
      <c r="R427" s="2" t="inlineStr"/>
    </row>
    <row r="428" ht="15" customHeight="1">
      <c r="A428" t="inlineStr">
        <is>
          <t>A 52484-2019</t>
        </is>
      </c>
      <c r="B428" s="1" t="n">
        <v>43745</v>
      </c>
      <c r="C428" s="1" t="n">
        <v>45807</v>
      </c>
      <c r="D428" t="inlineStr">
        <is>
          <t>VÄSTERBOTTENS LÄN</t>
        </is>
      </c>
      <c r="E428" t="inlineStr">
        <is>
          <t>SKELLEFTEÅ</t>
        </is>
      </c>
      <c r="G428" t="n">
        <v>9</v>
      </c>
      <c r="H428" t="n">
        <v>0</v>
      </c>
      <c r="I428" t="n">
        <v>0</v>
      </c>
      <c r="J428" t="n">
        <v>0</v>
      </c>
      <c r="K428" t="n">
        <v>0</v>
      </c>
      <c r="L428" t="n">
        <v>0</v>
      </c>
      <c r="M428" t="n">
        <v>0</v>
      </c>
      <c r="N428" t="n">
        <v>0</v>
      </c>
      <c r="O428" t="n">
        <v>0</v>
      </c>
      <c r="P428" t="n">
        <v>0</v>
      </c>
      <c r="Q428" t="n">
        <v>0</v>
      </c>
      <c r="R428" s="2" t="inlineStr"/>
    </row>
    <row r="429" ht="15" customHeight="1">
      <c r="A429" t="inlineStr">
        <is>
          <t>A 52546-2019</t>
        </is>
      </c>
      <c r="B429" s="1" t="n">
        <v>43745</v>
      </c>
      <c r="C429" s="1" t="n">
        <v>45807</v>
      </c>
      <c r="D429" t="inlineStr">
        <is>
          <t>VÄSTERBOTTENS LÄN</t>
        </is>
      </c>
      <c r="E429" t="inlineStr">
        <is>
          <t>SKELLEFTEÅ</t>
        </is>
      </c>
      <c r="G429" t="n">
        <v>4</v>
      </c>
      <c r="H429" t="n">
        <v>0</v>
      </c>
      <c r="I429" t="n">
        <v>0</v>
      </c>
      <c r="J429" t="n">
        <v>0</v>
      </c>
      <c r="K429" t="n">
        <v>0</v>
      </c>
      <c r="L429" t="n">
        <v>0</v>
      </c>
      <c r="M429" t="n">
        <v>0</v>
      </c>
      <c r="N429" t="n">
        <v>0</v>
      </c>
      <c r="O429" t="n">
        <v>0</v>
      </c>
      <c r="P429" t="n">
        <v>0</v>
      </c>
      <c r="Q429" t="n">
        <v>0</v>
      </c>
      <c r="R429" s="2" t="inlineStr"/>
    </row>
    <row r="430" ht="15" customHeight="1">
      <c r="A430" t="inlineStr">
        <is>
          <t>A 52953-2019</t>
        </is>
      </c>
      <c r="B430" s="1" t="n">
        <v>43747</v>
      </c>
      <c r="C430" s="1" t="n">
        <v>45807</v>
      </c>
      <c r="D430" t="inlineStr">
        <is>
          <t>VÄSTERBOTTENS LÄN</t>
        </is>
      </c>
      <c r="E430" t="inlineStr">
        <is>
          <t>SKELLEFTEÅ</t>
        </is>
      </c>
      <c r="G430" t="n">
        <v>5.6</v>
      </c>
      <c r="H430" t="n">
        <v>0</v>
      </c>
      <c r="I430" t="n">
        <v>0</v>
      </c>
      <c r="J430" t="n">
        <v>0</v>
      </c>
      <c r="K430" t="n">
        <v>0</v>
      </c>
      <c r="L430" t="n">
        <v>0</v>
      </c>
      <c r="M430" t="n">
        <v>0</v>
      </c>
      <c r="N430" t="n">
        <v>0</v>
      </c>
      <c r="O430" t="n">
        <v>0</v>
      </c>
      <c r="P430" t="n">
        <v>0</v>
      </c>
      <c r="Q430" t="n">
        <v>0</v>
      </c>
      <c r="R430" s="2" t="inlineStr"/>
    </row>
    <row r="431" ht="15" customHeight="1">
      <c r="A431" t="inlineStr">
        <is>
          <t>A 54742-2019</t>
        </is>
      </c>
      <c r="B431" s="1" t="n">
        <v>43748</v>
      </c>
      <c r="C431" s="1" t="n">
        <v>45807</v>
      </c>
      <c r="D431" t="inlineStr">
        <is>
          <t>VÄSTERBOTTENS LÄN</t>
        </is>
      </c>
      <c r="E431" t="inlineStr">
        <is>
          <t>SKELLEFTEÅ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53584-2019</t>
        </is>
      </c>
      <c r="B432" s="1" t="n">
        <v>43749</v>
      </c>
      <c r="C432" s="1" t="n">
        <v>45807</v>
      </c>
      <c r="D432" t="inlineStr">
        <is>
          <t>VÄSTERBOTTENS LÄN</t>
        </is>
      </c>
      <c r="E432" t="inlineStr">
        <is>
          <t>SKELLEFTEÅ</t>
        </is>
      </c>
      <c r="G432" t="n">
        <v>11.4</v>
      </c>
      <c r="H432" t="n">
        <v>0</v>
      </c>
      <c r="I432" t="n">
        <v>0</v>
      </c>
      <c r="J432" t="n">
        <v>0</v>
      </c>
      <c r="K432" t="n">
        <v>0</v>
      </c>
      <c r="L432" t="n">
        <v>0</v>
      </c>
      <c r="M432" t="n">
        <v>0</v>
      </c>
      <c r="N432" t="n">
        <v>0</v>
      </c>
      <c r="O432" t="n">
        <v>0</v>
      </c>
      <c r="P432" t="n">
        <v>0</v>
      </c>
      <c r="Q432" t="n">
        <v>0</v>
      </c>
      <c r="R432" s="2" t="inlineStr"/>
    </row>
    <row r="433" ht="15" customHeight="1">
      <c r="A433" t="inlineStr">
        <is>
          <t>A 54935-2019</t>
        </is>
      </c>
      <c r="B433" s="1" t="n">
        <v>43749</v>
      </c>
      <c r="C433" s="1" t="n">
        <v>45807</v>
      </c>
      <c r="D433" t="inlineStr">
        <is>
          <t>VÄSTERBOTTENS LÄN</t>
        </is>
      </c>
      <c r="E433" t="inlineStr">
        <is>
          <t>SKELLEFTEÅ</t>
        </is>
      </c>
      <c r="G433" t="n">
        <v>0.9</v>
      </c>
      <c r="H433" t="n">
        <v>0</v>
      </c>
      <c r="I433" t="n">
        <v>0</v>
      </c>
      <c r="J433" t="n">
        <v>0</v>
      </c>
      <c r="K433" t="n">
        <v>0</v>
      </c>
      <c r="L433" t="n">
        <v>0</v>
      </c>
      <c r="M433" t="n">
        <v>0</v>
      </c>
      <c r="N433" t="n">
        <v>0</v>
      </c>
      <c r="O433" t="n">
        <v>0</v>
      </c>
      <c r="P433" t="n">
        <v>0</v>
      </c>
      <c r="Q433" t="n">
        <v>0</v>
      </c>
      <c r="R433" s="2" t="inlineStr"/>
    </row>
    <row r="434" ht="15" customHeight="1">
      <c r="A434" t="inlineStr">
        <is>
          <t>A 54920-2019</t>
        </is>
      </c>
      <c r="B434" s="1" t="n">
        <v>43749</v>
      </c>
      <c r="C434" s="1" t="n">
        <v>45807</v>
      </c>
      <c r="D434" t="inlineStr">
        <is>
          <t>VÄSTERBOTTENS LÄN</t>
        </is>
      </c>
      <c r="E434" t="inlineStr">
        <is>
          <t>SKELLEFTEÅ</t>
        </is>
      </c>
      <c r="G434" t="n">
        <v>24.3</v>
      </c>
      <c r="H434" t="n">
        <v>0</v>
      </c>
      <c r="I434" t="n">
        <v>0</v>
      </c>
      <c r="J434" t="n">
        <v>0</v>
      </c>
      <c r="K434" t="n">
        <v>0</v>
      </c>
      <c r="L434" t="n">
        <v>0</v>
      </c>
      <c r="M434" t="n">
        <v>0</v>
      </c>
      <c r="N434" t="n">
        <v>0</v>
      </c>
      <c r="O434" t="n">
        <v>0</v>
      </c>
      <c r="P434" t="n">
        <v>0</v>
      </c>
      <c r="Q434" t="n">
        <v>0</v>
      </c>
      <c r="R434" s="2" t="inlineStr"/>
    </row>
    <row r="435" ht="15" customHeight="1">
      <c r="A435" t="inlineStr">
        <is>
          <t>A 54939-2019</t>
        </is>
      </c>
      <c r="B435" s="1" t="n">
        <v>43749</v>
      </c>
      <c r="C435" s="1" t="n">
        <v>45807</v>
      </c>
      <c r="D435" t="inlineStr">
        <is>
          <t>VÄSTERBOTTENS LÄN</t>
        </is>
      </c>
      <c r="E435" t="inlineStr">
        <is>
          <t>SKELLEFTEÅ</t>
        </is>
      </c>
      <c r="G435" t="n">
        <v>4.2</v>
      </c>
      <c r="H435" t="n">
        <v>0</v>
      </c>
      <c r="I435" t="n">
        <v>0</v>
      </c>
      <c r="J435" t="n">
        <v>0</v>
      </c>
      <c r="K435" t="n">
        <v>0</v>
      </c>
      <c r="L435" t="n">
        <v>0</v>
      </c>
      <c r="M435" t="n">
        <v>0</v>
      </c>
      <c r="N435" t="n">
        <v>0</v>
      </c>
      <c r="O435" t="n">
        <v>0</v>
      </c>
      <c r="P435" t="n">
        <v>0</v>
      </c>
      <c r="Q435" t="n">
        <v>0</v>
      </c>
      <c r="R435" s="2" t="inlineStr"/>
    </row>
    <row r="436" ht="15" customHeight="1">
      <c r="A436" t="inlineStr">
        <is>
          <t>A 53925-2019</t>
        </is>
      </c>
      <c r="B436" s="1" t="n">
        <v>43752</v>
      </c>
      <c r="C436" s="1" t="n">
        <v>45807</v>
      </c>
      <c r="D436" t="inlineStr">
        <is>
          <t>VÄSTERBOTTENS LÄN</t>
        </is>
      </c>
      <c r="E436" t="inlineStr">
        <is>
          <t>SKELLEFTEÅ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54146-2019</t>
        </is>
      </c>
      <c r="B437" s="1" t="n">
        <v>43753</v>
      </c>
      <c r="C437" s="1" t="n">
        <v>45807</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54666-2019</t>
        </is>
      </c>
      <c r="B438" s="1" t="n">
        <v>43754</v>
      </c>
      <c r="C438" s="1" t="n">
        <v>45807</v>
      </c>
      <c r="D438" t="inlineStr">
        <is>
          <t>VÄSTERBOTTENS LÄN</t>
        </is>
      </c>
      <c r="E438" t="inlineStr">
        <is>
          <t>SKELLEFTEÅ</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54667-2019</t>
        </is>
      </c>
      <c r="B439" s="1" t="n">
        <v>43754</v>
      </c>
      <c r="C439" s="1" t="n">
        <v>45807</v>
      </c>
      <c r="D439" t="inlineStr">
        <is>
          <t>VÄSTERBOTTENS LÄN</t>
        </is>
      </c>
      <c r="E439" t="inlineStr">
        <is>
          <t>SKELLEFTEÅ</t>
        </is>
      </c>
      <c r="F439" t="inlineStr">
        <is>
          <t>Sveaskog</t>
        </is>
      </c>
      <c r="G439" t="n">
        <v>3.9</v>
      </c>
      <c r="H439" t="n">
        <v>0</v>
      </c>
      <c r="I439" t="n">
        <v>0</v>
      </c>
      <c r="J439" t="n">
        <v>0</v>
      </c>
      <c r="K439" t="n">
        <v>0</v>
      </c>
      <c r="L439" t="n">
        <v>0</v>
      </c>
      <c r="M439" t="n">
        <v>0</v>
      </c>
      <c r="N439" t="n">
        <v>0</v>
      </c>
      <c r="O439" t="n">
        <v>0</v>
      </c>
      <c r="P439" t="n">
        <v>0</v>
      </c>
      <c r="Q439" t="n">
        <v>0</v>
      </c>
      <c r="R439" s="2" t="inlineStr"/>
    </row>
    <row r="440" ht="15" customHeight="1">
      <c r="A440" t="inlineStr">
        <is>
          <t>A 55363-2019</t>
        </is>
      </c>
      <c r="B440" s="1" t="n">
        <v>43756</v>
      </c>
      <c r="C440" s="1" t="n">
        <v>45807</v>
      </c>
      <c r="D440" t="inlineStr">
        <is>
          <t>VÄSTERBOTTENS LÄN</t>
        </is>
      </c>
      <c r="E440" t="inlineStr">
        <is>
          <t>SKELLEFTEÅ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55459-2019</t>
        </is>
      </c>
      <c r="B441" s="1" t="n">
        <v>43759</v>
      </c>
      <c r="C441" s="1" t="n">
        <v>45807</v>
      </c>
      <c r="D441" t="inlineStr">
        <is>
          <t>VÄSTERBOTTENS LÄN</t>
        </is>
      </c>
      <c r="E441" t="inlineStr">
        <is>
          <t>SKELLEFTEÅ</t>
        </is>
      </c>
      <c r="G441" t="n">
        <v>14.5</v>
      </c>
      <c r="H441" t="n">
        <v>0</v>
      </c>
      <c r="I441" t="n">
        <v>0</v>
      </c>
      <c r="J441" t="n">
        <v>0</v>
      </c>
      <c r="K441" t="n">
        <v>0</v>
      </c>
      <c r="L441" t="n">
        <v>0</v>
      </c>
      <c r="M441" t="n">
        <v>0</v>
      </c>
      <c r="N441" t="n">
        <v>0</v>
      </c>
      <c r="O441" t="n">
        <v>0</v>
      </c>
      <c r="P441" t="n">
        <v>0</v>
      </c>
      <c r="Q441" t="n">
        <v>0</v>
      </c>
      <c r="R441" s="2" t="inlineStr"/>
    </row>
    <row r="442" ht="15" customHeight="1">
      <c r="A442" t="inlineStr">
        <is>
          <t>A 55489-2019</t>
        </is>
      </c>
      <c r="B442" s="1" t="n">
        <v>43759</v>
      </c>
      <c r="C442" s="1" t="n">
        <v>45807</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56284-2019</t>
        </is>
      </c>
      <c r="B443" s="1" t="n">
        <v>43762</v>
      </c>
      <c r="C443" s="1" t="n">
        <v>45807</v>
      </c>
      <c r="D443" t="inlineStr">
        <is>
          <t>VÄSTERBOTTENS LÄN</t>
        </is>
      </c>
      <c r="E443" t="inlineStr">
        <is>
          <t>SKELLEFTEÅ</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56786-2019</t>
        </is>
      </c>
      <c r="B444" s="1" t="n">
        <v>43763</v>
      </c>
      <c r="C444" s="1" t="n">
        <v>45807</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56581-2019</t>
        </is>
      </c>
      <c r="B445" s="1" t="n">
        <v>43763</v>
      </c>
      <c r="C445" s="1" t="n">
        <v>45807</v>
      </c>
      <c r="D445" t="inlineStr">
        <is>
          <t>VÄSTERBOTTENS LÄN</t>
        </is>
      </c>
      <c r="E445" t="inlineStr">
        <is>
          <t>SKELLEFTEÅ</t>
        </is>
      </c>
      <c r="F445" t="inlineStr">
        <is>
          <t>Sveaskog</t>
        </is>
      </c>
      <c r="G445" t="n">
        <v>21.4</v>
      </c>
      <c r="H445" t="n">
        <v>0</v>
      </c>
      <c r="I445" t="n">
        <v>0</v>
      </c>
      <c r="J445" t="n">
        <v>0</v>
      </c>
      <c r="K445" t="n">
        <v>0</v>
      </c>
      <c r="L445" t="n">
        <v>0</v>
      </c>
      <c r="M445" t="n">
        <v>0</v>
      </c>
      <c r="N445" t="n">
        <v>0</v>
      </c>
      <c r="O445" t="n">
        <v>0</v>
      </c>
      <c r="P445" t="n">
        <v>0</v>
      </c>
      <c r="Q445" t="n">
        <v>0</v>
      </c>
      <c r="R445" s="2" t="inlineStr"/>
    </row>
    <row r="446" ht="15" customHeight="1">
      <c r="A446" t="inlineStr">
        <is>
          <t>A 57569-2019</t>
        </is>
      </c>
      <c r="B446" s="1" t="n">
        <v>43768</v>
      </c>
      <c r="C446" s="1" t="n">
        <v>45807</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57803-2019</t>
        </is>
      </c>
      <c r="B447" s="1" t="n">
        <v>43768</v>
      </c>
      <c r="C447" s="1" t="n">
        <v>45807</v>
      </c>
      <c r="D447" t="inlineStr">
        <is>
          <t>VÄSTERBOTTENS LÄN</t>
        </is>
      </c>
      <c r="E447" t="inlineStr">
        <is>
          <t>SKELLEFTEÅ</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58546-2019</t>
        </is>
      </c>
      <c r="B448" s="1" t="n">
        <v>43773</v>
      </c>
      <c r="C448" s="1" t="n">
        <v>45807</v>
      </c>
      <c r="D448" t="inlineStr">
        <is>
          <t>VÄSTERBOTTENS LÄN</t>
        </is>
      </c>
      <c r="E448" t="inlineStr">
        <is>
          <t>SKELLEFTEÅ</t>
        </is>
      </c>
      <c r="F448" t="inlineStr">
        <is>
          <t>Sveaskog</t>
        </is>
      </c>
      <c r="G448" t="n">
        <v>27.6</v>
      </c>
      <c r="H448" t="n">
        <v>0</v>
      </c>
      <c r="I448" t="n">
        <v>0</v>
      </c>
      <c r="J448" t="n">
        <v>0</v>
      </c>
      <c r="K448" t="n">
        <v>0</v>
      </c>
      <c r="L448" t="n">
        <v>0</v>
      </c>
      <c r="M448" t="n">
        <v>0</v>
      </c>
      <c r="N448" t="n">
        <v>0</v>
      </c>
      <c r="O448" t="n">
        <v>0</v>
      </c>
      <c r="P448" t="n">
        <v>0</v>
      </c>
      <c r="Q448" t="n">
        <v>0</v>
      </c>
      <c r="R448" s="2" t="inlineStr"/>
    </row>
    <row r="449" ht="15" customHeight="1">
      <c r="A449" t="inlineStr">
        <is>
          <t>A 59255-2019</t>
        </is>
      </c>
      <c r="B449" s="1" t="n">
        <v>43773</v>
      </c>
      <c r="C449" s="1" t="n">
        <v>45807</v>
      </c>
      <c r="D449" t="inlineStr">
        <is>
          <t>VÄSTERBOTTENS LÄN</t>
        </is>
      </c>
      <c r="E449" t="inlineStr">
        <is>
          <t>SKELLEFTEÅ</t>
        </is>
      </c>
      <c r="G449" t="n">
        <v>3.7</v>
      </c>
      <c r="H449" t="n">
        <v>0</v>
      </c>
      <c r="I449" t="n">
        <v>0</v>
      </c>
      <c r="J449" t="n">
        <v>0</v>
      </c>
      <c r="K449" t="n">
        <v>0</v>
      </c>
      <c r="L449" t="n">
        <v>0</v>
      </c>
      <c r="M449" t="n">
        <v>0</v>
      </c>
      <c r="N449" t="n">
        <v>0</v>
      </c>
      <c r="O449" t="n">
        <v>0</v>
      </c>
      <c r="P449" t="n">
        <v>0</v>
      </c>
      <c r="Q449" t="n">
        <v>0</v>
      </c>
      <c r="R449" s="2" t="inlineStr"/>
    </row>
    <row r="450" ht="15" customHeight="1">
      <c r="A450" t="inlineStr">
        <is>
          <t>A 58905-2019</t>
        </is>
      </c>
      <c r="B450" s="1" t="n">
        <v>43774</v>
      </c>
      <c r="C450" s="1" t="n">
        <v>45807</v>
      </c>
      <c r="D450" t="inlineStr">
        <is>
          <t>VÄSTERBOTTENS LÄN</t>
        </is>
      </c>
      <c r="E450" t="inlineStr">
        <is>
          <t>SKELLEFTEÅ</t>
        </is>
      </c>
      <c r="F450" t="inlineStr">
        <is>
          <t>Sveaskog</t>
        </is>
      </c>
      <c r="G450" t="n">
        <v>26.4</v>
      </c>
      <c r="H450" t="n">
        <v>0</v>
      </c>
      <c r="I450" t="n">
        <v>0</v>
      </c>
      <c r="J450" t="n">
        <v>0</v>
      </c>
      <c r="K450" t="n">
        <v>0</v>
      </c>
      <c r="L450" t="n">
        <v>0</v>
      </c>
      <c r="M450" t="n">
        <v>0</v>
      </c>
      <c r="N450" t="n">
        <v>0</v>
      </c>
      <c r="O450" t="n">
        <v>0</v>
      </c>
      <c r="P450" t="n">
        <v>0</v>
      </c>
      <c r="Q450" t="n">
        <v>0</v>
      </c>
      <c r="R450" s="2" t="inlineStr"/>
    </row>
    <row r="451" ht="15" customHeight="1">
      <c r="A451" t="inlineStr">
        <is>
          <t>A 58817-2019</t>
        </is>
      </c>
      <c r="B451" s="1" t="n">
        <v>43774</v>
      </c>
      <c r="C451" s="1" t="n">
        <v>45807</v>
      </c>
      <c r="D451" t="inlineStr">
        <is>
          <t>VÄSTERBOTTENS LÄN</t>
        </is>
      </c>
      <c r="E451" t="inlineStr">
        <is>
          <t>SKELLEFTEÅ</t>
        </is>
      </c>
      <c r="F451" t="inlineStr">
        <is>
          <t>Holmen skog AB</t>
        </is>
      </c>
      <c r="G451" t="n">
        <v>1.6</v>
      </c>
      <c r="H451" t="n">
        <v>0</v>
      </c>
      <c r="I451" t="n">
        <v>0</v>
      </c>
      <c r="J451" t="n">
        <v>0</v>
      </c>
      <c r="K451" t="n">
        <v>0</v>
      </c>
      <c r="L451" t="n">
        <v>0</v>
      </c>
      <c r="M451" t="n">
        <v>0</v>
      </c>
      <c r="N451" t="n">
        <v>0</v>
      </c>
      <c r="O451" t="n">
        <v>0</v>
      </c>
      <c r="P451" t="n">
        <v>0</v>
      </c>
      <c r="Q451" t="n">
        <v>0</v>
      </c>
      <c r="R451" s="2" t="inlineStr"/>
    </row>
    <row r="452" ht="15" customHeight="1">
      <c r="A452" t="inlineStr">
        <is>
          <t>A 59611-2019</t>
        </is>
      </c>
      <c r="B452" s="1" t="n">
        <v>43774</v>
      </c>
      <c r="C452" s="1" t="n">
        <v>45807</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59344-2019</t>
        </is>
      </c>
      <c r="B453" s="1" t="n">
        <v>43775</v>
      </c>
      <c r="C453" s="1" t="n">
        <v>45807</v>
      </c>
      <c r="D453" t="inlineStr">
        <is>
          <t>VÄSTERBOTTENS LÄN</t>
        </is>
      </c>
      <c r="E453" t="inlineStr">
        <is>
          <t>SKELLEFTEÅ</t>
        </is>
      </c>
      <c r="G453" t="n">
        <v>2.3</v>
      </c>
      <c r="H453" t="n">
        <v>0</v>
      </c>
      <c r="I453" t="n">
        <v>0</v>
      </c>
      <c r="J453" t="n">
        <v>0</v>
      </c>
      <c r="K453" t="n">
        <v>0</v>
      </c>
      <c r="L453" t="n">
        <v>0</v>
      </c>
      <c r="M453" t="n">
        <v>0</v>
      </c>
      <c r="N453" t="n">
        <v>0</v>
      </c>
      <c r="O453" t="n">
        <v>0</v>
      </c>
      <c r="P453" t="n">
        <v>0</v>
      </c>
      <c r="Q453" t="n">
        <v>0</v>
      </c>
      <c r="R453" s="2" t="inlineStr"/>
    </row>
    <row r="454" ht="15" customHeight="1">
      <c r="A454" t="inlineStr">
        <is>
          <t>A 60378-2019</t>
        </is>
      </c>
      <c r="B454" s="1" t="n">
        <v>43776</v>
      </c>
      <c r="C454" s="1" t="n">
        <v>45807</v>
      </c>
      <c r="D454" t="inlineStr">
        <is>
          <t>VÄSTERBOTTENS LÄN</t>
        </is>
      </c>
      <c r="E454" t="inlineStr">
        <is>
          <t>SKELLEFTEÅ</t>
        </is>
      </c>
      <c r="G454" t="n">
        <v>4.3</v>
      </c>
      <c r="H454" t="n">
        <v>0</v>
      </c>
      <c r="I454" t="n">
        <v>0</v>
      </c>
      <c r="J454" t="n">
        <v>0</v>
      </c>
      <c r="K454" t="n">
        <v>0</v>
      </c>
      <c r="L454" t="n">
        <v>0</v>
      </c>
      <c r="M454" t="n">
        <v>0</v>
      </c>
      <c r="N454" t="n">
        <v>0</v>
      </c>
      <c r="O454" t="n">
        <v>0</v>
      </c>
      <c r="P454" t="n">
        <v>0</v>
      </c>
      <c r="Q454" t="n">
        <v>0</v>
      </c>
      <c r="R454" s="2" t="inlineStr"/>
    </row>
    <row r="455" ht="15" customHeight="1">
      <c r="A455" t="inlineStr">
        <is>
          <t>A 60289-2019</t>
        </is>
      </c>
      <c r="B455" s="1" t="n">
        <v>43776</v>
      </c>
      <c r="C455" s="1" t="n">
        <v>45807</v>
      </c>
      <c r="D455" t="inlineStr">
        <is>
          <t>VÄSTERBOTTENS LÄN</t>
        </is>
      </c>
      <c r="E455" t="inlineStr">
        <is>
          <t>SKELLEFTEÅ</t>
        </is>
      </c>
      <c r="G455" t="n">
        <v>3.3</v>
      </c>
      <c r="H455" t="n">
        <v>0</v>
      </c>
      <c r="I455" t="n">
        <v>0</v>
      </c>
      <c r="J455" t="n">
        <v>0</v>
      </c>
      <c r="K455" t="n">
        <v>0</v>
      </c>
      <c r="L455" t="n">
        <v>0</v>
      </c>
      <c r="M455" t="n">
        <v>0</v>
      </c>
      <c r="N455" t="n">
        <v>0</v>
      </c>
      <c r="O455" t="n">
        <v>0</v>
      </c>
      <c r="P455" t="n">
        <v>0</v>
      </c>
      <c r="Q455" t="n">
        <v>0</v>
      </c>
      <c r="R455" s="2" t="inlineStr"/>
    </row>
    <row r="456" ht="15" customHeight="1">
      <c r="A456" t="inlineStr">
        <is>
          <t>A 60189-2019</t>
        </is>
      </c>
      <c r="B456" s="1" t="n">
        <v>43780</v>
      </c>
      <c r="C456" s="1" t="n">
        <v>45807</v>
      </c>
      <c r="D456" t="inlineStr">
        <is>
          <t>VÄSTERBOTTENS LÄN</t>
        </is>
      </c>
      <c r="E456" t="inlineStr">
        <is>
          <t>SKELLEFTEÅ</t>
        </is>
      </c>
      <c r="F456" t="inlineStr">
        <is>
          <t>Holmen skog AB</t>
        </is>
      </c>
      <c r="G456" t="n">
        <v>6.3</v>
      </c>
      <c r="H456" t="n">
        <v>0</v>
      </c>
      <c r="I456" t="n">
        <v>0</v>
      </c>
      <c r="J456" t="n">
        <v>0</v>
      </c>
      <c r="K456" t="n">
        <v>0</v>
      </c>
      <c r="L456" t="n">
        <v>0</v>
      </c>
      <c r="M456" t="n">
        <v>0</v>
      </c>
      <c r="N456" t="n">
        <v>0</v>
      </c>
      <c r="O456" t="n">
        <v>0</v>
      </c>
      <c r="P456" t="n">
        <v>0</v>
      </c>
      <c r="Q456" t="n">
        <v>0</v>
      </c>
      <c r="R456" s="2" t="inlineStr"/>
    </row>
    <row r="457" ht="15" customHeight="1">
      <c r="A457" t="inlineStr">
        <is>
          <t>A 60416-2019</t>
        </is>
      </c>
      <c r="B457" s="1" t="n">
        <v>43780</v>
      </c>
      <c r="C457" s="1" t="n">
        <v>45807</v>
      </c>
      <c r="D457" t="inlineStr">
        <is>
          <t>VÄSTERBOTTENS LÄN</t>
        </is>
      </c>
      <c r="E457" t="inlineStr">
        <is>
          <t>SKELLEFTEÅ</t>
        </is>
      </c>
      <c r="G457" t="n">
        <v>5.8</v>
      </c>
      <c r="H457" t="n">
        <v>0</v>
      </c>
      <c r="I457" t="n">
        <v>0</v>
      </c>
      <c r="J457" t="n">
        <v>0</v>
      </c>
      <c r="K457" t="n">
        <v>0</v>
      </c>
      <c r="L457" t="n">
        <v>0</v>
      </c>
      <c r="M457" t="n">
        <v>0</v>
      </c>
      <c r="N457" t="n">
        <v>0</v>
      </c>
      <c r="O457" t="n">
        <v>0</v>
      </c>
      <c r="P457" t="n">
        <v>0</v>
      </c>
      <c r="Q457" t="n">
        <v>0</v>
      </c>
      <c r="R457" s="2" t="inlineStr"/>
    </row>
    <row r="458" ht="15" customHeight="1">
      <c r="A458" t="inlineStr">
        <is>
          <t>A 61929-2019</t>
        </is>
      </c>
      <c r="B458" s="1" t="n">
        <v>43781</v>
      </c>
      <c r="C458" s="1" t="n">
        <v>45807</v>
      </c>
      <c r="D458" t="inlineStr">
        <is>
          <t>VÄSTERBOTTENS LÄN</t>
        </is>
      </c>
      <c r="E458" t="inlineStr">
        <is>
          <t>SKELLEFTEÅ</t>
        </is>
      </c>
      <c r="G458" t="n">
        <v>0.3</v>
      </c>
      <c r="H458" t="n">
        <v>0</v>
      </c>
      <c r="I458" t="n">
        <v>0</v>
      </c>
      <c r="J458" t="n">
        <v>0</v>
      </c>
      <c r="K458" t="n">
        <v>0</v>
      </c>
      <c r="L458" t="n">
        <v>0</v>
      </c>
      <c r="M458" t="n">
        <v>0</v>
      </c>
      <c r="N458" t="n">
        <v>0</v>
      </c>
      <c r="O458" t="n">
        <v>0</v>
      </c>
      <c r="P458" t="n">
        <v>0</v>
      </c>
      <c r="Q458" t="n">
        <v>0</v>
      </c>
      <c r="R458" s="2" t="inlineStr"/>
    </row>
    <row r="459" ht="15" customHeight="1">
      <c r="A459" t="inlineStr">
        <is>
          <t>A 60985-2019</t>
        </is>
      </c>
      <c r="B459" s="1" t="n">
        <v>43782</v>
      </c>
      <c r="C459" s="1" t="n">
        <v>45807</v>
      </c>
      <c r="D459" t="inlineStr">
        <is>
          <t>VÄSTERBOTTENS LÄN</t>
        </is>
      </c>
      <c r="E459" t="inlineStr">
        <is>
          <t>SKELLEFTEÅ</t>
        </is>
      </c>
      <c r="G459" t="n">
        <v>4.7</v>
      </c>
      <c r="H459" t="n">
        <v>0</v>
      </c>
      <c r="I459" t="n">
        <v>0</v>
      </c>
      <c r="J459" t="n">
        <v>0</v>
      </c>
      <c r="K459" t="n">
        <v>0</v>
      </c>
      <c r="L459" t="n">
        <v>0</v>
      </c>
      <c r="M459" t="n">
        <v>0</v>
      </c>
      <c r="N459" t="n">
        <v>0</v>
      </c>
      <c r="O459" t="n">
        <v>0</v>
      </c>
      <c r="P459" t="n">
        <v>0</v>
      </c>
      <c r="Q459" t="n">
        <v>0</v>
      </c>
      <c r="R459" s="2" t="inlineStr"/>
    </row>
    <row r="460" ht="15" customHeight="1">
      <c r="A460" t="inlineStr">
        <is>
          <t>A 61295-2019</t>
        </is>
      </c>
      <c r="B460" s="1" t="n">
        <v>43783</v>
      </c>
      <c r="C460" s="1" t="n">
        <v>45807</v>
      </c>
      <c r="D460" t="inlineStr">
        <is>
          <t>VÄSTERBOTTENS LÄN</t>
        </is>
      </c>
      <c r="E460" t="inlineStr">
        <is>
          <t>SKELLEFTEÅ</t>
        </is>
      </c>
      <c r="F460" t="inlineStr">
        <is>
          <t>Holmen skog AB</t>
        </is>
      </c>
      <c r="G460" t="n">
        <v>11.2</v>
      </c>
      <c r="H460" t="n">
        <v>0</v>
      </c>
      <c r="I460" t="n">
        <v>0</v>
      </c>
      <c r="J460" t="n">
        <v>0</v>
      </c>
      <c r="K460" t="n">
        <v>0</v>
      </c>
      <c r="L460" t="n">
        <v>0</v>
      </c>
      <c r="M460" t="n">
        <v>0</v>
      </c>
      <c r="N460" t="n">
        <v>0</v>
      </c>
      <c r="O460" t="n">
        <v>0</v>
      </c>
      <c r="P460" t="n">
        <v>0</v>
      </c>
      <c r="Q460" t="n">
        <v>0</v>
      </c>
      <c r="R460" s="2" t="inlineStr"/>
    </row>
    <row r="461" ht="15" customHeight="1">
      <c r="A461" t="inlineStr">
        <is>
          <t>A 61468-2019</t>
        </is>
      </c>
      <c r="B461" s="1" t="n">
        <v>43783</v>
      </c>
      <c r="C461" s="1" t="n">
        <v>45807</v>
      </c>
      <c r="D461" t="inlineStr">
        <is>
          <t>VÄSTERBOTTENS LÄN</t>
        </is>
      </c>
      <c r="E461" t="inlineStr">
        <is>
          <t>SKELLEFTEÅ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62584-2019</t>
        </is>
      </c>
      <c r="B462" s="1" t="n">
        <v>43784</v>
      </c>
      <c r="C462" s="1" t="n">
        <v>45807</v>
      </c>
      <c r="D462" t="inlineStr">
        <is>
          <t>VÄSTERBOTTENS LÄN</t>
        </is>
      </c>
      <c r="E462" t="inlineStr">
        <is>
          <t>SKELLEFTEÅ</t>
        </is>
      </c>
      <c r="G462" t="n">
        <v>6.1</v>
      </c>
      <c r="H462" t="n">
        <v>0</v>
      </c>
      <c r="I462" t="n">
        <v>0</v>
      </c>
      <c r="J462" t="n">
        <v>0</v>
      </c>
      <c r="K462" t="n">
        <v>0</v>
      </c>
      <c r="L462" t="n">
        <v>0</v>
      </c>
      <c r="M462" t="n">
        <v>0</v>
      </c>
      <c r="N462" t="n">
        <v>0</v>
      </c>
      <c r="O462" t="n">
        <v>0</v>
      </c>
      <c r="P462" t="n">
        <v>0</v>
      </c>
      <c r="Q462" t="n">
        <v>0</v>
      </c>
      <c r="R462" s="2" t="inlineStr"/>
    </row>
    <row r="463" ht="15" customHeight="1">
      <c r="A463" t="inlineStr">
        <is>
          <t>A 62201-2019</t>
        </is>
      </c>
      <c r="B463" s="1" t="n">
        <v>43788</v>
      </c>
      <c r="C463" s="1" t="n">
        <v>45807</v>
      </c>
      <c r="D463" t="inlineStr">
        <is>
          <t>VÄSTERBOTTENS LÄN</t>
        </is>
      </c>
      <c r="E463" t="inlineStr">
        <is>
          <t>SKELLEFTEÅ</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62678-2019</t>
        </is>
      </c>
      <c r="B464" s="1" t="n">
        <v>43789</v>
      </c>
      <c r="C464" s="1" t="n">
        <v>45807</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62873-2019</t>
        </is>
      </c>
      <c r="B465" s="1" t="n">
        <v>43790</v>
      </c>
      <c r="C465" s="1" t="n">
        <v>45807</v>
      </c>
      <c r="D465" t="inlineStr">
        <is>
          <t>VÄSTERBOTTENS LÄN</t>
        </is>
      </c>
      <c r="E465" t="inlineStr">
        <is>
          <t>SKELLEFTEÅ</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62823-2019</t>
        </is>
      </c>
      <c r="B466" s="1" t="n">
        <v>43790</v>
      </c>
      <c r="C466" s="1" t="n">
        <v>45807</v>
      </c>
      <c r="D466" t="inlineStr">
        <is>
          <t>VÄSTERBOTTENS LÄN</t>
        </is>
      </c>
      <c r="E466" t="inlineStr">
        <is>
          <t>SKELLEFTEÅ</t>
        </is>
      </c>
      <c r="F466" t="inlineStr">
        <is>
          <t>Holmen skog AB</t>
        </is>
      </c>
      <c r="G466" t="n">
        <v>3.8</v>
      </c>
      <c r="H466" t="n">
        <v>0</v>
      </c>
      <c r="I466" t="n">
        <v>0</v>
      </c>
      <c r="J466" t="n">
        <v>0</v>
      </c>
      <c r="K466" t="n">
        <v>0</v>
      </c>
      <c r="L466" t="n">
        <v>0</v>
      </c>
      <c r="M466" t="n">
        <v>0</v>
      </c>
      <c r="N466" t="n">
        <v>0</v>
      </c>
      <c r="O466" t="n">
        <v>0</v>
      </c>
      <c r="P466" t="n">
        <v>0</v>
      </c>
      <c r="Q466" t="n">
        <v>0</v>
      </c>
      <c r="R466" s="2" t="inlineStr"/>
    </row>
    <row r="467" ht="15" customHeight="1">
      <c r="A467" t="inlineStr">
        <is>
          <t>A 63554-2019</t>
        </is>
      </c>
      <c r="B467" s="1" t="n">
        <v>43794</v>
      </c>
      <c r="C467" s="1" t="n">
        <v>45807</v>
      </c>
      <c r="D467" t="inlineStr">
        <is>
          <t>VÄSTERBOTTENS LÄN</t>
        </is>
      </c>
      <c r="E467" t="inlineStr">
        <is>
          <t>SKELLEFTEÅ</t>
        </is>
      </c>
      <c r="G467" t="n">
        <v>0.7</v>
      </c>
      <c r="H467" t="n">
        <v>0</v>
      </c>
      <c r="I467" t="n">
        <v>0</v>
      </c>
      <c r="J467" t="n">
        <v>0</v>
      </c>
      <c r="K467" t="n">
        <v>0</v>
      </c>
      <c r="L467" t="n">
        <v>0</v>
      </c>
      <c r="M467" t="n">
        <v>0</v>
      </c>
      <c r="N467" t="n">
        <v>0</v>
      </c>
      <c r="O467" t="n">
        <v>0</v>
      </c>
      <c r="P467" t="n">
        <v>0</v>
      </c>
      <c r="Q467" t="n">
        <v>0</v>
      </c>
      <c r="R467" s="2" t="inlineStr"/>
    </row>
    <row r="468" ht="15" customHeight="1">
      <c r="A468" t="inlineStr">
        <is>
          <t>A 63846-2019</t>
        </is>
      </c>
      <c r="B468" s="1" t="n">
        <v>43796</v>
      </c>
      <c r="C468" s="1" t="n">
        <v>45807</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63845-2019</t>
        </is>
      </c>
      <c r="B469" s="1" t="n">
        <v>43796</v>
      </c>
      <c r="C469" s="1" t="n">
        <v>45807</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64039-2019</t>
        </is>
      </c>
      <c r="B470" s="1" t="n">
        <v>43796</v>
      </c>
      <c r="C470" s="1" t="n">
        <v>45807</v>
      </c>
      <c r="D470" t="inlineStr">
        <is>
          <t>VÄSTERBOTTENS LÄN</t>
        </is>
      </c>
      <c r="E470" t="inlineStr">
        <is>
          <t>SKELLEFTEÅ</t>
        </is>
      </c>
      <c r="F470" t="inlineStr">
        <is>
          <t>Sveaskog</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64117-2019</t>
        </is>
      </c>
      <c r="B471" s="1" t="n">
        <v>43796</v>
      </c>
      <c r="C471" s="1" t="n">
        <v>45807</v>
      </c>
      <c r="D471" t="inlineStr">
        <is>
          <t>VÄSTERBOTTENS LÄN</t>
        </is>
      </c>
      <c r="E471" t="inlineStr">
        <is>
          <t>SKELLEFTEÅ</t>
        </is>
      </c>
      <c r="F471" t="inlineStr">
        <is>
          <t>Sveaskog</t>
        </is>
      </c>
      <c r="G471" t="n">
        <v>16.2</v>
      </c>
      <c r="H471" t="n">
        <v>0</v>
      </c>
      <c r="I471" t="n">
        <v>0</v>
      </c>
      <c r="J471" t="n">
        <v>0</v>
      </c>
      <c r="K471" t="n">
        <v>0</v>
      </c>
      <c r="L471" t="n">
        <v>0</v>
      </c>
      <c r="M471" t="n">
        <v>0</v>
      </c>
      <c r="N471" t="n">
        <v>0</v>
      </c>
      <c r="O471" t="n">
        <v>0</v>
      </c>
      <c r="P471" t="n">
        <v>0</v>
      </c>
      <c r="Q471" t="n">
        <v>0</v>
      </c>
      <c r="R471" s="2" t="inlineStr"/>
    </row>
    <row r="472" ht="15" customHeight="1">
      <c r="A472" t="inlineStr">
        <is>
          <t>A 64139-2019</t>
        </is>
      </c>
      <c r="B472" s="1" t="n">
        <v>43796</v>
      </c>
      <c r="C472" s="1" t="n">
        <v>45807</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64569-2019</t>
        </is>
      </c>
      <c r="B473" s="1" t="n">
        <v>43798</v>
      </c>
      <c r="C473" s="1" t="n">
        <v>45807</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64754-2019</t>
        </is>
      </c>
      <c r="B474" s="1" t="n">
        <v>43801</v>
      </c>
      <c r="C474" s="1" t="n">
        <v>45807</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65070-2019</t>
        </is>
      </c>
      <c r="B475" s="1" t="n">
        <v>43802</v>
      </c>
      <c r="C475" s="1" t="n">
        <v>45807</v>
      </c>
      <c r="D475" t="inlineStr">
        <is>
          <t>VÄSTERBOTTENS LÄN</t>
        </is>
      </c>
      <c r="E475" t="inlineStr">
        <is>
          <t>SKELLEFTEÅ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65565-2019</t>
        </is>
      </c>
      <c r="B476" s="1" t="n">
        <v>43803</v>
      </c>
      <c r="C476" s="1" t="n">
        <v>45807</v>
      </c>
      <c r="D476" t="inlineStr">
        <is>
          <t>VÄSTERBOTTENS LÄN</t>
        </is>
      </c>
      <c r="E476" t="inlineStr">
        <is>
          <t>SKELLEFTEÅ</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65721-2019</t>
        </is>
      </c>
      <c r="B477" s="1" t="n">
        <v>43804</v>
      </c>
      <c r="C477" s="1" t="n">
        <v>45807</v>
      </c>
      <c r="D477" t="inlineStr">
        <is>
          <t>VÄSTERBOTTENS LÄN</t>
        </is>
      </c>
      <c r="E477" t="inlineStr">
        <is>
          <t>SKELLEFTEÅ</t>
        </is>
      </c>
      <c r="G477" t="n">
        <v>0.6</v>
      </c>
      <c r="H477" t="n">
        <v>0</v>
      </c>
      <c r="I477" t="n">
        <v>0</v>
      </c>
      <c r="J477" t="n">
        <v>0</v>
      </c>
      <c r="K477" t="n">
        <v>0</v>
      </c>
      <c r="L477" t="n">
        <v>0</v>
      </c>
      <c r="M477" t="n">
        <v>0</v>
      </c>
      <c r="N477" t="n">
        <v>0</v>
      </c>
      <c r="O477" t="n">
        <v>0</v>
      </c>
      <c r="P477" t="n">
        <v>0</v>
      </c>
      <c r="Q477" t="n">
        <v>0</v>
      </c>
      <c r="R477" s="2" t="inlineStr"/>
    </row>
    <row r="478" ht="15" customHeight="1">
      <c r="A478" t="inlineStr">
        <is>
          <t>A 65726-2019</t>
        </is>
      </c>
      <c r="B478" s="1" t="n">
        <v>43804</v>
      </c>
      <c r="C478" s="1" t="n">
        <v>45807</v>
      </c>
      <c r="D478" t="inlineStr">
        <is>
          <t>VÄSTERBOTTENS LÄN</t>
        </is>
      </c>
      <c r="E478" t="inlineStr">
        <is>
          <t>SKELLEFTEÅ</t>
        </is>
      </c>
      <c r="G478" t="n">
        <v>0.9</v>
      </c>
      <c r="H478" t="n">
        <v>0</v>
      </c>
      <c r="I478" t="n">
        <v>0</v>
      </c>
      <c r="J478" t="n">
        <v>0</v>
      </c>
      <c r="K478" t="n">
        <v>0</v>
      </c>
      <c r="L478" t="n">
        <v>0</v>
      </c>
      <c r="M478" t="n">
        <v>0</v>
      </c>
      <c r="N478" t="n">
        <v>0</v>
      </c>
      <c r="O478" t="n">
        <v>0</v>
      </c>
      <c r="P478" t="n">
        <v>0</v>
      </c>
      <c r="Q478" t="n">
        <v>0</v>
      </c>
      <c r="R478" s="2" t="inlineStr"/>
    </row>
    <row r="479" ht="15" customHeight="1">
      <c r="A479" t="inlineStr">
        <is>
          <t>A 65992-2019</t>
        </is>
      </c>
      <c r="B479" s="1" t="n">
        <v>43805</v>
      </c>
      <c r="C479" s="1" t="n">
        <v>45807</v>
      </c>
      <c r="D479" t="inlineStr">
        <is>
          <t>VÄSTERBOTTENS LÄN</t>
        </is>
      </c>
      <c r="E479" t="inlineStr">
        <is>
          <t>SKELLEFTEÅ</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67581-2019</t>
        </is>
      </c>
      <c r="B480" s="1" t="n">
        <v>43808</v>
      </c>
      <c r="C480" s="1" t="n">
        <v>45807</v>
      </c>
      <c r="D480" t="inlineStr">
        <is>
          <t>VÄSTERBOTTENS LÄN</t>
        </is>
      </c>
      <c r="E480" t="inlineStr">
        <is>
          <t>SKELLEFTEÅ</t>
        </is>
      </c>
      <c r="G480" t="n">
        <v>2.2</v>
      </c>
      <c r="H480" t="n">
        <v>0</v>
      </c>
      <c r="I480" t="n">
        <v>0</v>
      </c>
      <c r="J480" t="n">
        <v>0</v>
      </c>
      <c r="K480" t="n">
        <v>0</v>
      </c>
      <c r="L480" t="n">
        <v>0</v>
      </c>
      <c r="M480" t="n">
        <v>0</v>
      </c>
      <c r="N480" t="n">
        <v>0</v>
      </c>
      <c r="O480" t="n">
        <v>0</v>
      </c>
      <c r="P480" t="n">
        <v>0</v>
      </c>
      <c r="Q480" t="n">
        <v>0</v>
      </c>
      <c r="R480" s="2" t="inlineStr"/>
    </row>
    <row r="481" ht="15" customHeight="1">
      <c r="A481" t="inlineStr">
        <is>
          <t>A 66505-2019</t>
        </is>
      </c>
      <c r="B481" s="1" t="n">
        <v>43809</v>
      </c>
      <c r="C481" s="1" t="n">
        <v>45807</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66478-2019</t>
        </is>
      </c>
      <c r="B482" s="1" t="n">
        <v>43809</v>
      </c>
      <c r="C482" s="1" t="n">
        <v>45807</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68008-2019</t>
        </is>
      </c>
      <c r="B483" s="1" t="n">
        <v>43811</v>
      </c>
      <c r="C483" s="1" t="n">
        <v>45807</v>
      </c>
      <c r="D483" t="inlineStr">
        <is>
          <t>VÄSTERBOTTENS LÄN</t>
        </is>
      </c>
      <c r="E483" t="inlineStr">
        <is>
          <t>SKELLEFTEÅ</t>
        </is>
      </c>
      <c r="G483" t="n">
        <v>4.3</v>
      </c>
      <c r="H483" t="n">
        <v>0</v>
      </c>
      <c r="I483" t="n">
        <v>0</v>
      </c>
      <c r="J483" t="n">
        <v>0</v>
      </c>
      <c r="K483" t="n">
        <v>0</v>
      </c>
      <c r="L483" t="n">
        <v>0</v>
      </c>
      <c r="M483" t="n">
        <v>0</v>
      </c>
      <c r="N483" t="n">
        <v>0</v>
      </c>
      <c r="O483" t="n">
        <v>0</v>
      </c>
      <c r="P483" t="n">
        <v>0</v>
      </c>
      <c r="Q483" t="n">
        <v>0</v>
      </c>
      <c r="R483" s="2" t="inlineStr"/>
    </row>
    <row r="484" ht="15" customHeight="1">
      <c r="A484" t="inlineStr">
        <is>
          <t>A 69136-2019</t>
        </is>
      </c>
      <c r="B484" s="1" t="n">
        <v>43815</v>
      </c>
      <c r="C484" s="1" t="n">
        <v>45807</v>
      </c>
      <c r="D484" t="inlineStr">
        <is>
          <t>VÄSTERBOTTENS LÄN</t>
        </is>
      </c>
      <c r="E484" t="inlineStr">
        <is>
          <t>SKELLEFTEÅ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69135-2019</t>
        </is>
      </c>
      <c r="B485" s="1" t="n">
        <v>43815</v>
      </c>
      <c r="C485" s="1" t="n">
        <v>45807</v>
      </c>
      <c r="D485" t="inlineStr">
        <is>
          <t>VÄSTERBOTTENS LÄN</t>
        </is>
      </c>
      <c r="E485" t="inlineStr">
        <is>
          <t>SKELLEFTEÅ</t>
        </is>
      </c>
      <c r="G485" t="n">
        <v>2.9</v>
      </c>
      <c r="H485" t="n">
        <v>0</v>
      </c>
      <c r="I485" t="n">
        <v>0</v>
      </c>
      <c r="J485" t="n">
        <v>0</v>
      </c>
      <c r="K485" t="n">
        <v>0</v>
      </c>
      <c r="L485" t="n">
        <v>0</v>
      </c>
      <c r="M485" t="n">
        <v>0</v>
      </c>
      <c r="N485" t="n">
        <v>0</v>
      </c>
      <c r="O485" t="n">
        <v>0</v>
      </c>
      <c r="P485" t="n">
        <v>0</v>
      </c>
      <c r="Q485" t="n">
        <v>0</v>
      </c>
      <c r="R485" s="2" t="inlineStr"/>
    </row>
    <row r="486" ht="15" customHeight="1">
      <c r="A486" t="inlineStr">
        <is>
          <t>A 69140-2019</t>
        </is>
      </c>
      <c r="B486" s="1" t="n">
        <v>43815</v>
      </c>
      <c r="C486" s="1" t="n">
        <v>45807</v>
      </c>
      <c r="D486" t="inlineStr">
        <is>
          <t>VÄSTERBOTTENS LÄN</t>
        </is>
      </c>
      <c r="E486" t="inlineStr">
        <is>
          <t>SKELLEFTEÅ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69131-2019</t>
        </is>
      </c>
      <c r="B487" s="1" t="n">
        <v>43815</v>
      </c>
      <c r="C487" s="1" t="n">
        <v>45807</v>
      </c>
      <c r="D487" t="inlineStr">
        <is>
          <t>VÄSTERBOTTENS LÄN</t>
        </is>
      </c>
      <c r="E487" t="inlineStr">
        <is>
          <t>SKELLEFTEÅ</t>
        </is>
      </c>
      <c r="G487" t="n">
        <v>5.1</v>
      </c>
      <c r="H487" t="n">
        <v>0</v>
      </c>
      <c r="I487" t="n">
        <v>0</v>
      </c>
      <c r="J487" t="n">
        <v>0</v>
      </c>
      <c r="K487" t="n">
        <v>0</v>
      </c>
      <c r="L487" t="n">
        <v>0</v>
      </c>
      <c r="M487" t="n">
        <v>0</v>
      </c>
      <c r="N487" t="n">
        <v>0</v>
      </c>
      <c r="O487" t="n">
        <v>0</v>
      </c>
      <c r="P487" t="n">
        <v>0</v>
      </c>
      <c r="Q487" t="n">
        <v>0</v>
      </c>
      <c r="R487" s="2" t="inlineStr"/>
    </row>
    <row r="488" ht="15" customHeight="1">
      <c r="A488" t="inlineStr">
        <is>
          <t>A 277-2020</t>
        </is>
      </c>
      <c r="B488" s="1" t="n">
        <v>43816</v>
      </c>
      <c r="C488" s="1" t="n">
        <v>45807</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67837-2019</t>
        </is>
      </c>
      <c r="B489" s="1" t="n">
        <v>43816</v>
      </c>
      <c r="C489" s="1" t="n">
        <v>45807</v>
      </c>
      <c r="D489" t="inlineStr">
        <is>
          <t>VÄSTERBOTTENS LÄN</t>
        </is>
      </c>
      <c r="E489" t="inlineStr">
        <is>
          <t>SKELLEFTEÅ</t>
        </is>
      </c>
      <c r="G489" t="n">
        <v>3.7</v>
      </c>
      <c r="H489" t="n">
        <v>0</v>
      </c>
      <c r="I489" t="n">
        <v>0</v>
      </c>
      <c r="J489" t="n">
        <v>0</v>
      </c>
      <c r="K489" t="n">
        <v>0</v>
      </c>
      <c r="L489" t="n">
        <v>0</v>
      </c>
      <c r="M489" t="n">
        <v>0</v>
      </c>
      <c r="N489" t="n">
        <v>0</v>
      </c>
      <c r="O489" t="n">
        <v>0</v>
      </c>
      <c r="P489" t="n">
        <v>0</v>
      </c>
      <c r="Q489" t="n">
        <v>0</v>
      </c>
      <c r="R489" s="2" t="inlineStr"/>
    </row>
    <row r="490" ht="15" customHeight="1">
      <c r="A490" t="inlineStr">
        <is>
          <t>A 398-2020</t>
        </is>
      </c>
      <c r="B490" s="1" t="n">
        <v>43816</v>
      </c>
      <c r="C490" s="1" t="n">
        <v>45807</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434-2020</t>
        </is>
      </c>
      <c r="B491" s="1" t="n">
        <v>43816</v>
      </c>
      <c r="C491" s="1" t="n">
        <v>45807</v>
      </c>
      <c r="D491" t="inlineStr">
        <is>
          <t>VÄSTERBOTTENS LÄN</t>
        </is>
      </c>
      <c r="E491" t="inlineStr">
        <is>
          <t>SKELLEFTEÅ</t>
        </is>
      </c>
      <c r="G491" t="n">
        <v>12.9</v>
      </c>
      <c r="H491" t="n">
        <v>0</v>
      </c>
      <c r="I491" t="n">
        <v>0</v>
      </c>
      <c r="J491" t="n">
        <v>0</v>
      </c>
      <c r="K491" t="n">
        <v>0</v>
      </c>
      <c r="L491" t="n">
        <v>0</v>
      </c>
      <c r="M491" t="n">
        <v>0</v>
      </c>
      <c r="N491" t="n">
        <v>0</v>
      </c>
      <c r="O491" t="n">
        <v>0</v>
      </c>
      <c r="P491" t="n">
        <v>0</v>
      </c>
      <c r="Q491" t="n">
        <v>0</v>
      </c>
      <c r="R491" s="2" t="inlineStr"/>
    </row>
    <row r="492" ht="15" customHeight="1">
      <c r="A492" t="inlineStr">
        <is>
          <t>A 820-2020</t>
        </is>
      </c>
      <c r="B492" s="1" t="n">
        <v>43818</v>
      </c>
      <c r="C492" s="1" t="n">
        <v>45807</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1102-2020</t>
        </is>
      </c>
      <c r="B493" s="1" t="n">
        <v>43819</v>
      </c>
      <c r="C493" s="1" t="n">
        <v>45807</v>
      </c>
      <c r="D493" t="inlineStr">
        <is>
          <t>VÄSTERBOTTENS LÄN</t>
        </is>
      </c>
      <c r="E493" t="inlineStr">
        <is>
          <t>SKELLEFTEÅ</t>
        </is>
      </c>
      <c r="G493" t="n">
        <v>3.3</v>
      </c>
      <c r="H493" t="n">
        <v>0</v>
      </c>
      <c r="I493" t="n">
        <v>0</v>
      </c>
      <c r="J493" t="n">
        <v>0</v>
      </c>
      <c r="K493" t="n">
        <v>0</v>
      </c>
      <c r="L493" t="n">
        <v>0</v>
      </c>
      <c r="M493" t="n">
        <v>0</v>
      </c>
      <c r="N493" t="n">
        <v>0</v>
      </c>
      <c r="O493" t="n">
        <v>0</v>
      </c>
      <c r="P493" t="n">
        <v>0</v>
      </c>
      <c r="Q493" t="n">
        <v>0</v>
      </c>
      <c r="R493" s="2" t="inlineStr"/>
    </row>
    <row r="494" ht="15" customHeight="1">
      <c r="A494" t="inlineStr">
        <is>
          <t>A 1452-2020</t>
        </is>
      </c>
      <c r="B494" s="1" t="n">
        <v>43822</v>
      </c>
      <c r="C494" s="1" t="n">
        <v>45807</v>
      </c>
      <c r="D494" t="inlineStr">
        <is>
          <t>VÄSTERBOTTENS LÄN</t>
        </is>
      </c>
      <c r="E494" t="inlineStr">
        <is>
          <t>SKELLEFTEÅ</t>
        </is>
      </c>
      <c r="G494" t="n">
        <v>0.4</v>
      </c>
      <c r="H494" t="n">
        <v>0</v>
      </c>
      <c r="I494" t="n">
        <v>0</v>
      </c>
      <c r="J494" t="n">
        <v>0</v>
      </c>
      <c r="K494" t="n">
        <v>0</v>
      </c>
      <c r="L494" t="n">
        <v>0</v>
      </c>
      <c r="M494" t="n">
        <v>0</v>
      </c>
      <c r="N494" t="n">
        <v>0</v>
      </c>
      <c r="O494" t="n">
        <v>0</v>
      </c>
      <c r="P494" t="n">
        <v>0</v>
      </c>
      <c r="Q494" t="n">
        <v>0</v>
      </c>
      <c r="R494" s="2" t="inlineStr"/>
    </row>
    <row r="495" ht="15" customHeight="1">
      <c r="A495" t="inlineStr">
        <is>
          <t>A 789-2020</t>
        </is>
      </c>
      <c r="B495" s="1" t="n">
        <v>43838</v>
      </c>
      <c r="C495" s="1" t="n">
        <v>45807</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896-2020</t>
        </is>
      </c>
      <c r="B496" s="1" t="n">
        <v>43839</v>
      </c>
      <c r="C496" s="1" t="n">
        <v>45807</v>
      </c>
      <c r="D496" t="inlineStr">
        <is>
          <t>VÄSTERBOTTENS LÄN</t>
        </is>
      </c>
      <c r="E496" t="inlineStr">
        <is>
          <t>SKELLEFTEÅ</t>
        </is>
      </c>
      <c r="F496" t="inlineStr">
        <is>
          <t>Kyrkan</t>
        </is>
      </c>
      <c r="G496" t="n">
        <v>14.9</v>
      </c>
      <c r="H496" t="n">
        <v>0</v>
      </c>
      <c r="I496" t="n">
        <v>0</v>
      </c>
      <c r="J496" t="n">
        <v>0</v>
      </c>
      <c r="K496" t="n">
        <v>0</v>
      </c>
      <c r="L496" t="n">
        <v>0</v>
      </c>
      <c r="M496" t="n">
        <v>0</v>
      </c>
      <c r="N496" t="n">
        <v>0</v>
      </c>
      <c r="O496" t="n">
        <v>0</v>
      </c>
      <c r="P496" t="n">
        <v>0</v>
      </c>
      <c r="Q496" t="n">
        <v>0</v>
      </c>
      <c r="R496" s="2" t="inlineStr"/>
    </row>
    <row r="497" ht="15" customHeight="1">
      <c r="A497" t="inlineStr">
        <is>
          <t>A 2127-2020</t>
        </is>
      </c>
      <c r="B497" s="1" t="n">
        <v>43839</v>
      </c>
      <c r="C497" s="1" t="n">
        <v>45807</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1550-2020</t>
        </is>
      </c>
      <c r="B498" s="1" t="n">
        <v>43843</v>
      </c>
      <c r="C498" s="1" t="n">
        <v>45807</v>
      </c>
      <c r="D498" t="inlineStr">
        <is>
          <t>VÄSTERBOTTENS LÄN</t>
        </is>
      </c>
      <c r="E498" t="inlineStr">
        <is>
          <t>SKELLEFTEÅ</t>
        </is>
      </c>
      <c r="G498" t="n">
        <v>3.8</v>
      </c>
      <c r="H498" t="n">
        <v>0</v>
      </c>
      <c r="I498" t="n">
        <v>0</v>
      </c>
      <c r="J498" t="n">
        <v>0</v>
      </c>
      <c r="K498" t="n">
        <v>0</v>
      </c>
      <c r="L498" t="n">
        <v>0</v>
      </c>
      <c r="M498" t="n">
        <v>0</v>
      </c>
      <c r="N498" t="n">
        <v>0</v>
      </c>
      <c r="O498" t="n">
        <v>0</v>
      </c>
      <c r="P498" t="n">
        <v>0</v>
      </c>
      <c r="Q498" t="n">
        <v>0</v>
      </c>
      <c r="R498" s="2" t="inlineStr"/>
    </row>
    <row r="499" ht="15" customHeight="1">
      <c r="A499" t="inlineStr">
        <is>
          <t>A 1612-2020</t>
        </is>
      </c>
      <c r="B499" s="1" t="n">
        <v>43844</v>
      </c>
      <c r="C499" s="1" t="n">
        <v>45807</v>
      </c>
      <c r="D499" t="inlineStr">
        <is>
          <t>VÄSTERBOTTENS LÄN</t>
        </is>
      </c>
      <c r="E499" t="inlineStr">
        <is>
          <t>SKELLEFTEÅ</t>
        </is>
      </c>
      <c r="G499" t="n">
        <v>5.4</v>
      </c>
      <c r="H499" t="n">
        <v>0</v>
      </c>
      <c r="I499" t="n">
        <v>0</v>
      </c>
      <c r="J499" t="n">
        <v>0</v>
      </c>
      <c r="K499" t="n">
        <v>0</v>
      </c>
      <c r="L499" t="n">
        <v>0</v>
      </c>
      <c r="M499" t="n">
        <v>0</v>
      </c>
      <c r="N499" t="n">
        <v>0</v>
      </c>
      <c r="O499" t="n">
        <v>0</v>
      </c>
      <c r="P499" t="n">
        <v>0</v>
      </c>
      <c r="Q499" t="n">
        <v>0</v>
      </c>
      <c r="R499" s="2" t="inlineStr"/>
    </row>
    <row r="500" ht="15" customHeight="1">
      <c r="A500" t="inlineStr">
        <is>
          <t>A 1695-2020</t>
        </is>
      </c>
      <c r="B500" s="1" t="n">
        <v>43844</v>
      </c>
      <c r="C500" s="1" t="n">
        <v>45807</v>
      </c>
      <c r="D500" t="inlineStr">
        <is>
          <t>VÄSTERBOTTENS LÄN</t>
        </is>
      </c>
      <c r="E500" t="inlineStr">
        <is>
          <t>SKELLEFTEÅ</t>
        </is>
      </c>
      <c r="F500" t="inlineStr">
        <is>
          <t>Holmen skog AB</t>
        </is>
      </c>
      <c r="G500" t="n">
        <v>13.6</v>
      </c>
      <c r="H500" t="n">
        <v>0</v>
      </c>
      <c r="I500" t="n">
        <v>0</v>
      </c>
      <c r="J500" t="n">
        <v>0</v>
      </c>
      <c r="K500" t="n">
        <v>0</v>
      </c>
      <c r="L500" t="n">
        <v>0</v>
      </c>
      <c r="M500" t="n">
        <v>0</v>
      </c>
      <c r="N500" t="n">
        <v>0</v>
      </c>
      <c r="O500" t="n">
        <v>0</v>
      </c>
      <c r="P500" t="n">
        <v>0</v>
      </c>
      <c r="Q500" t="n">
        <v>0</v>
      </c>
      <c r="R500" s="2" t="inlineStr"/>
    </row>
    <row r="501" ht="15" customHeight="1">
      <c r="A501" t="inlineStr">
        <is>
          <t>A 3123-2020</t>
        </is>
      </c>
      <c r="B501" s="1" t="n">
        <v>43844</v>
      </c>
      <c r="C501" s="1" t="n">
        <v>45807</v>
      </c>
      <c r="D501" t="inlineStr">
        <is>
          <t>VÄSTERBOTTENS LÄN</t>
        </is>
      </c>
      <c r="E501" t="inlineStr">
        <is>
          <t>SKELLEFTEÅ</t>
        </is>
      </c>
      <c r="G501" t="n">
        <v>12.5</v>
      </c>
      <c r="H501" t="n">
        <v>0</v>
      </c>
      <c r="I501" t="n">
        <v>0</v>
      </c>
      <c r="J501" t="n">
        <v>0</v>
      </c>
      <c r="K501" t="n">
        <v>0</v>
      </c>
      <c r="L501" t="n">
        <v>0</v>
      </c>
      <c r="M501" t="n">
        <v>0</v>
      </c>
      <c r="N501" t="n">
        <v>0</v>
      </c>
      <c r="O501" t="n">
        <v>0</v>
      </c>
      <c r="P501" t="n">
        <v>0</v>
      </c>
      <c r="Q501" t="n">
        <v>0</v>
      </c>
      <c r="R501" s="2" t="inlineStr"/>
    </row>
    <row r="502" ht="15" customHeight="1">
      <c r="A502" t="inlineStr">
        <is>
          <t>A 4286-2020</t>
        </is>
      </c>
      <c r="B502" s="1" t="n">
        <v>43847</v>
      </c>
      <c r="C502" s="1" t="n">
        <v>45807</v>
      </c>
      <c r="D502" t="inlineStr">
        <is>
          <t>VÄSTERBOTTENS LÄN</t>
        </is>
      </c>
      <c r="E502" t="inlineStr">
        <is>
          <t>SKELLEFTEÅ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4381-2020</t>
        </is>
      </c>
      <c r="B503" s="1" t="n">
        <v>43847</v>
      </c>
      <c r="C503" s="1" t="n">
        <v>45807</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4765-2020</t>
        </is>
      </c>
      <c r="B504" s="1" t="n">
        <v>43850</v>
      </c>
      <c r="C504" s="1" t="n">
        <v>45807</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4985-2020</t>
        </is>
      </c>
      <c r="B505" s="1" t="n">
        <v>43853</v>
      </c>
      <c r="C505" s="1" t="n">
        <v>45807</v>
      </c>
      <c r="D505" t="inlineStr">
        <is>
          <t>VÄSTERBOTTENS LÄN</t>
        </is>
      </c>
      <c r="E505" t="inlineStr">
        <is>
          <t>SKELLEFTEÅ</t>
        </is>
      </c>
      <c r="G505" t="n">
        <v>2</v>
      </c>
      <c r="H505" t="n">
        <v>0</v>
      </c>
      <c r="I505" t="n">
        <v>0</v>
      </c>
      <c r="J505" t="n">
        <v>0</v>
      </c>
      <c r="K505" t="n">
        <v>0</v>
      </c>
      <c r="L505" t="n">
        <v>0</v>
      </c>
      <c r="M505" t="n">
        <v>0</v>
      </c>
      <c r="N505" t="n">
        <v>0</v>
      </c>
      <c r="O505" t="n">
        <v>0</v>
      </c>
      <c r="P505" t="n">
        <v>0</v>
      </c>
      <c r="Q505" t="n">
        <v>0</v>
      </c>
      <c r="R505" s="2" t="inlineStr"/>
    </row>
    <row r="506" ht="15" customHeight="1">
      <c r="A506" t="inlineStr">
        <is>
          <t>A 3968-2020</t>
        </is>
      </c>
      <c r="B506" s="1" t="n">
        <v>43854</v>
      </c>
      <c r="C506" s="1" t="n">
        <v>45807</v>
      </c>
      <c r="D506" t="inlineStr">
        <is>
          <t>VÄSTERBOTTENS LÄN</t>
        </is>
      </c>
      <c r="E506" t="inlineStr">
        <is>
          <t>SKELLEFTEÅ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4006-2020</t>
        </is>
      </c>
      <c r="B507" s="1" t="n">
        <v>43857</v>
      </c>
      <c r="C507" s="1" t="n">
        <v>45807</v>
      </c>
      <c r="D507" t="inlineStr">
        <is>
          <t>VÄSTERBOTTENS LÄN</t>
        </is>
      </c>
      <c r="E507" t="inlineStr">
        <is>
          <t>SKELLEFTEÅ</t>
        </is>
      </c>
      <c r="G507" t="n">
        <v>4.5</v>
      </c>
      <c r="H507" t="n">
        <v>0</v>
      </c>
      <c r="I507" t="n">
        <v>0</v>
      </c>
      <c r="J507" t="n">
        <v>0</v>
      </c>
      <c r="K507" t="n">
        <v>0</v>
      </c>
      <c r="L507" t="n">
        <v>0</v>
      </c>
      <c r="M507" t="n">
        <v>0</v>
      </c>
      <c r="N507" t="n">
        <v>0</v>
      </c>
      <c r="O507" t="n">
        <v>0</v>
      </c>
      <c r="P507" t="n">
        <v>0</v>
      </c>
      <c r="Q507" t="n">
        <v>0</v>
      </c>
      <c r="R507" s="2" t="inlineStr"/>
    </row>
    <row r="508" ht="15" customHeight="1">
      <c r="A508" t="inlineStr">
        <is>
          <t>A 5261-2020</t>
        </is>
      </c>
      <c r="B508" s="1" t="n">
        <v>43857</v>
      </c>
      <c r="C508" s="1" t="n">
        <v>45807</v>
      </c>
      <c r="D508" t="inlineStr">
        <is>
          <t>VÄSTERBOTTENS LÄN</t>
        </is>
      </c>
      <c r="E508" t="inlineStr">
        <is>
          <t>SKELLEFTEÅ</t>
        </is>
      </c>
      <c r="G508" t="n">
        <v>3.5</v>
      </c>
      <c r="H508" t="n">
        <v>0</v>
      </c>
      <c r="I508" t="n">
        <v>0</v>
      </c>
      <c r="J508" t="n">
        <v>0</v>
      </c>
      <c r="K508" t="n">
        <v>0</v>
      </c>
      <c r="L508" t="n">
        <v>0</v>
      </c>
      <c r="M508" t="n">
        <v>0</v>
      </c>
      <c r="N508" t="n">
        <v>0</v>
      </c>
      <c r="O508" t="n">
        <v>0</v>
      </c>
      <c r="P508" t="n">
        <v>0</v>
      </c>
      <c r="Q508" t="n">
        <v>0</v>
      </c>
      <c r="R508" s="2" t="inlineStr"/>
    </row>
    <row r="509" ht="15" customHeight="1">
      <c r="A509" t="inlineStr">
        <is>
          <t>A 4731-2020</t>
        </is>
      </c>
      <c r="B509" s="1" t="n">
        <v>43859</v>
      </c>
      <c r="C509" s="1" t="n">
        <v>45807</v>
      </c>
      <c r="D509" t="inlineStr">
        <is>
          <t>VÄSTERBOTTENS LÄN</t>
        </is>
      </c>
      <c r="E509" t="inlineStr">
        <is>
          <t>SKELLEFTEÅ</t>
        </is>
      </c>
      <c r="G509" t="n">
        <v>3</v>
      </c>
      <c r="H509" t="n">
        <v>0</v>
      </c>
      <c r="I509" t="n">
        <v>0</v>
      </c>
      <c r="J509" t="n">
        <v>0</v>
      </c>
      <c r="K509" t="n">
        <v>0</v>
      </c>
      <c r="L509" t="n">
        <v>0</v>
      </c>
      <c r="M509" t="n">
        <v>0</v>
      </c>
      <c r="N509" t="n">
        <v>0</v>
      </c>
      <c r="O509" t="n">
        <v>0</v>
      </c>
      <c r="P509" t="n">
        <v>0</v>
      </c>
      <c r="Q509" t="n">
        <v>0</v>
      </c>
      <c r="R509" s="2" t="inlineStr"/>
    </row>
    <row r="510" ht="15" customHeight="1">
      <c r="A510" t="inlineStr">
        <is>
          <t>A 6511-2020</t>
        </is>
      </c>
      <c r="B510" s="1" t="n">
        <v>43865</v>
      </c>
      <c r="C510" s="1" t="n">
        <v>45807</v>
      </c>
      <c r="D510" t="inlineStr">
        <is>
          <t>VÄSTERBOTTENS LÄN</t>
        </is>
      </c>
      <c r="E510" t="inlineStr">
        <is>
          <t>SKELLEFTEÅ</t>
        </is>
      </c>
      <c r="G510" t="n">
        <v>9.9</v>
      </c>
      <c r="H510" t="n">
        <v>0</v>
      </c>
      <c r="I510" t="n">
        <v>0</v>
      </c>
      <c r="J510" t="n">
        <v>0</v>
      </c>
      <c r="K510" t="n">
        <v>0</v>
      </c>
      <c r="L510" t="n">
        <v>0</v>
      </c>
      <c r="M510" t="n">
        <v>0</v>
      </c>
      <c r="N510" t="n">
        <v>0</v>
      </c>
      <c r="O510" t="n">
        <v>0</v>
      </c>
      <c r="P510" t="n">
        <v>0</v>
      </c>
      <c r="Q510" t="n">
        <v>0</v>
      </c>
      <c r="R510" s="2" t="inlineStr"/>
    </row>
    <row r="511" ht="15" customHeight="1">
      <c r="A511" t="inlineStr">
        <is>
          <t>A 7334-2020</t>
        </is>
      </c>
      <c r="B511" s="1" t="n">
        <v>43868</v>
      </c>
      <c r="C511" s="1" t="n">
        <v>45807</v>
      </c>
      <c r="D511" t="inlineStr">
        <is>
          <t>VÄSTERBOTTENS LÄN</t>
        </is>
      </c>
      <c r="E511" t="inlineStr">
        <is>
          <t>SKELLEFTEÅ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7689-2020</t>
        </is>
      </c>
      <c r="B512" s="1" t="n">
        <v>43872</v>
      </c>
      <c r="C512" s="1" t="n">
        <v>45807</v>
      </c>
      <c r="D512" t="inlineStr">
        <is>
          <t>VÄSTERBOTTENS LÄN</t>
        </is>
      </c>
      <c r="E512" t="inlineStr">
        <is>
          <t>SKELLEFTEÅ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8060-2020</t>
        </is>
      </c>
      <c r="B513" s="1" t="n">
        <v>43874</v>
      </c>
      <c r="C513" s="1" t="n">
        <v>45807</v>
      </c>
      <c r="D513" t="inlineStr">
        <is>
          <t>VÄSTERBOTTENS LÄN</t>
        </is>
      </c>
      <c r="E513" t="inlineStr">
        <is>
          <t>SKELLEFTEÅ</t>
        </is>
      </c>
      <c r="G513" t="n">
        <v>18.7</v>
      </c>
      <c r="H513" t="n">
        <v>0</v>
      </c>
      <c r="I513" t="n">
        <v>0</v>
      </c>
      <c r="J513" t="n">
        <v>0</v>
      </c>
      <c r="K513" t="n">
        <v>0</v>
      </c>
      <c r="L513" t="n">
        <v>0</v>
      </c>
      <c r="M513" t="n">
        <v>0</v>
      </c>
      <c r="N513" t="n">
        <v>0</v>
      </c>
      <c r="O513" t="n">
        <v>0</v>
      </c>
      <c r="P513" t="n">
        <v>0</v>
      </c>
      <c r="Q513" t="n">
        <v>0</v>
      </c>
      <c r="R513" s="2" t="inlineStr"/>
    </row>
    <row r="514" ht="15" customHeight="1">
      <c r="A514" t="inlineStr">
        <is>
          <t>A 8562-2020</t>
        </is>
      </c>
      <c r="B514" s="1" t="n">
        <v>43877</v>
      </c>
      <c r="C514" s="1" t="n">
        <v>45807</v>
      </c>
      <c r="D514" t="inlineStr">
        <is>
          <t>VÄSTERBOTTENS LÄN</t>
        </is>
      </c>
      <c r="E514" t="inlineStr">
        <is>
          <t>SKELLEFTEÅ</t>
        </is>
      </c>
      <c r="G514" t="n">
        <v>1.3</v>
      </c>
      <c r="H514" t="n">
        <v>0</v>
      </c>
      <c r="I514" t="n">
        <v>0</v>
      </c>
      <c r="J514" t="n">
        <v>0</v>
      </c>
      <c r="K514" t="n">
        <v>0</v>
      </c>
      <c r="L514" t="n">
        <v>0</v>
      </c>
      <c r="M514" t="n">
        <v>0</v>
      </c>
      <c r="N514" t="n">
        <v>0</v>
      </c>
      <c r="O514" t="n">
        <v>0</v>
      </c>
      <c r="P514" t="n">
        <v>0</v>
      </c>
      <c r="Q514" t="n">
        <v>0</v>
      </c>
      <c r="R514" s="2" t="inlineStr"/>
    </row>
    <row r="515" ht="15" customHeight="1">
      <c r="A515" t="inlineStr">
        <is>
          <t>A 9180-2020</t>
        </is>
      </c>
      <c r="B515" s="1" t="n">
        <v>43879</v>
      </c>
      <c r="C515" s="1" t="n">
        <v>45807</v>
      </c>
      <c r="D515" t="inlineStr">
        <is>
          <t>VÄSTERBOTTENS LÄN</t>
        </is>
      </c>
      <c r="E515" t="inlineStr">
        <is>
          <t>SKELLEFTEÅ</t>
        </is>
      </c>
      <c r="G515" t="n">
        <v>11.4</v>
      </c>
      <c r="H515" t="n">
        <v>0</v>
      </c>
      <c r="I515" t="n">
        <v>0</v>
      </c>
      <c r="J515" t="n">
        <v>0</v>
      </c>
      <c r="K515" t="n">
        <v>0</v>
      </c>
      <c r="L515" t="n">
        <v>0</v>
      </c>
      <c r="M515" t="n">
        <v>0</v>
      </c>
      <c r="N515" t="n">
        <v>0</v>
      </c>
      <c r="O515" t="n">
        <v>0</v>
      </c>
      <c r="P515" t="n">
        <v>0</v>
      </c>
      <c r="Q515" t="n">
        <v>0</v>
      </c>
      <c r="R515" s="2" t="inlineStr"/>
    </row>
    <row r="516" ht="15" customHeight="1">
      <c r="A516" t="inlineStr">
        <is>
          <t>A 9568-2020</t>
        </is>
      </c>
      <c r="B516" s="1" t="n">
        <v>43881</v>
      </c>
      <c r="C516" s="1" t="n">
        <v>45807</v>
      </c>
      <c r="D516" t="inlineStr">
        <is>
          <t>VÄSTERBOTTENS LÄN</t>
        </is>
      </c>
      <c r="E516" t="inlineStr">
        <is>
          <t>SKELLEFTEÅ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10030-2020</t>
        </is>
      </c>
      <c r="B517" s="1" t="n">
        <v>43882</v>
      </c>
      <c r="C517" s="1" t="n">
        <v>45807</v>
      </c>
      <c r="D517" t="inlineStr">
        <is>
          <t>VÄSTERBOTTENS LÄN</t>
        </is>
      </c>
      <c r="E517" t="inlineStr">
        <is>
          <t>SKELLEFTEÅ</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10041-2020</t>
        </is>
      </c>
      <c r="B518" s="1" t="n">
        <v>43882</v>
      </c>
      <c r="C518" s="1" t="n">
        <v>45807</v>
      </c>
      <c r="D518" t="inlineStr">
        <is>
          <t>VÄSTERBOTTENS LÄN</t>
        </is>
      </c>
      <c r="E518" t="inlineStr">
        <is>
          <t>SKELLEFTEÅ</t>
        </is>
      </c>
      <c r="F518" t="inlineStr">
        <is>
          <t>Holmen skog AB</t>
        </is>
      </c>
      <c r="G518" t="n">
        <v>4.5</v>
      </c>
      <c r="H518" t="n">
        <v>0</v>
      </c>
      <c r="I518" t="n">
        <v>0</v>
      </c>
      <c r="J518" t="n">
        <v>0</v>
      </c>
      <c r="K518" t="n">
        <v>0</v>
      </c>
      <c r="L518" t="n">
        <v>0</v>
      </c>
      <c r="M518" t="n">
        <v>0</v>
      </c>
      <c r="N518" t="n">
        <v>0</v>
      </c>
      <c r="O518" t="n">
        <v>0</v>
      </c>
      <c r="P518" t="n">
        <v>0</v>
      </c>
      <c r="Q518" t="n">
        <v>0</v>
      </c>
      <c r="R518" s="2" t="inlineStr"/>
    </row>
    <row r="519" ht="15" customHeight="1">
      <c r="A519" t="inlineStr">
        <is>
          <t>A 10273-2020</t>
        </is>
      </c>
      <c r="B519" s="1" t="n">
        <v>43885</v>
      </c>
      <c r="C519" s="1" t="n">
        <v>45807</v>
      </c>
      <c r="D519" t="inlineStr">
        <is>
          <t>VÄSTERBOTTENS LÄN</t>
        </is>
      </c>
      <c r="E519" t="inlineStr">
        <is>
          <t>SKELLEFTEÅ</t>
        </is>
      </c>
      <c r="G519" t="n">
        <v>1.3</v>
      </c>
      <c r="H519" t="n">
        <v>0</v>
      </c>
      <c r="I519" t="n">
        <v>0</v>
      </c>
      <c r="J519" t="n">
        <v>0</v>
      </c>
      <c r="K519" t="n">
        <v>0</v>
      </c>
      <c r="L519" t="n">
        <v>0</v>
      </c>
      <c r="M519" t="n">
        <v>0</v>
      </c>
      <c r="N519" t="n">
        <v>0</v>
      </c>
      <c r="O519" t="n">
        <v>0</v>
      </c>
      <c r="P519" t="n">
        <v>0</v>
      </c>
      <c r="Q519" t="n">
        <v>0</v>
      </c>
      <c r="R519" s="2" t="inlineStr"/>
      <c r="U519">
        <f>HYPERLINK("https://klasma.github.io/Logging_2482/knärot/A 10273-2020 karta knärot.png", "A 10273-2020")</f>
        <v/>
      </c>
      <c r="V519">
        <f>HYPERLINK("https://klasma.github.io/Logging_2482/klagomål/A 10273-2020 FSC-klagomål.docx", "A 10273-2020")</f>
        <v/>
      </c>
      <c r="W519">
        <f>HYPERLINK("https://klasma.github.io/Logging_2482/klagomålsmail/A 10273-2020 FSC-klagomål mail.docx", "A 10273-2020")</f>
        <v/>
      </c>
      <c r="X519">
        <f>HYPERLINK("https://klasma.github.io/Logging_2482/tillsyn/A 10273-2020 tillsynsbegäran.docx", "A 10273-2020")</f>
        <v/>
      </c>
      <c r="Y519">
        <f>HYPERLINK("https://klasma.github.io/Logging_2482/tillsynsmail/A 10273-2020 tillsynsbegäran mail.docx", "A 10273-2020")</f>
        <v/>
      </c>
    </row>
    <row r="520" ht="15" customHeight="1">
      <c r="A520" t="inlineStr">
        <is>
          <t>A 10279-2020</t>
        </is>
      </c>
      <c r="B520" s="1" t="n">
        <v>43885</v>
      </c>
      <c r="C520" s="1" t="n">
        <v>45807</v>
      </c>
      <c r="D520" t="inlineStr">
        <is>
          <t>VÄSTERBOTTENS LÄN</t>
        </is>
      </c>
      <c r="E520" t="inlineStr">
        <is>
          <t>SKELLEFTEÅ</t>
        </is>
      </c>
      <c r="G520" t="n">
        <v>5.8</v>
      </c>
      <c r="H520" t="n">
        <v>0</v>
      </c>
      <c r="I520" t="n">
        <v>0</v>
      </c>
      <c r="J520" t="n">
        <v>0</v>
      </c>
      <c r="K520" t="n">
        <v>0</v>
      </c>
      <c r="L520" t="n">
        <v>0</v>
      </c>
      <c r="M520" t="n">
        <v>0</v>
      </c>
      <c r="N520" t="n">
        <v>0</v>
      </c>
      <c r="O520" t="n">
        <v>0</v>
      </c>
      <c r="P520" t="n">
        <v>0</v>
      </c>
      <c r="Q520" t="n">
        <v>0</v>
      </c>
      <c r="R520" s="2" t="inlineStr"/>
    </row>
    <row r="521" ht="15" customHeight="1">
      <c r="A521" t="inlineStr">
        <is>
          <t>A 11083-2020</t>
        </is>
      </c>
      <c r="B521" s="1" t="n">
        <v>43885</v>
      </c>
      <c r="C521" s="1" t="n">
        <v>45807</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11037-2020</t>
        </is>
      </c>
      <c r="B522" s="1" t="n">
        <v>43886</v>
      </c>
      <c r="C522" s="1" t="n">
        <v>45807</v>
      </c>
      <c r="D522" t="inlineStr">
        <is>
          <t>VÄSTERBOTTENS LÄN</t>
        </is>
      </c>
      <c r="E522" t="inlineStr">
        <is>
          <t>SKELLEFTEÅ</t>
        </is>
      </c>
      <c r="G522" t="n">
        <v>2.9</v>
      </c>
      <c r="H522" t="n">
        <v>0</v>
      </c>
      <c r="I522" t="n">
        <v>0</v>
      </c>
      <c r="J522" t="n">
        <v>0</v>
      </c>
      <c r="K522" t="n">
        <v>0</v>
      </c>
      <c r="L522" t="n">
        <v>0</v>
      </c>
      <c r="M522" t="n">
        <v>0</v>
      </c>
      <c r="N522" t="n">
        <v>0</v>
      </c>
      <c r="O522" t="n">
        <v>0</v>
      </c>
      <c r="P522" t="n">
        <v>0</v>
      </c>
      <c r="Q522" t="n">
        <v>0</v>
      </c>
      <c r="R522" s="2" t="inlineStr"/>
    </row>
    <row r="523" ht="15" customHeight="1">
      <c r="A523" t="inlineStr">
        <is>
          <t>A 11048-2020</t>
        </is>
      </c>
      <c r="B523" s="1" t="n">
        <v>43886</v>
      </c>
      <c r="C523" s="1" t="n">
        <v>45807</v>
      </c>
      <c r="D523" t="inlineStr">
        <is>
          <t>VÄSTERBOTTENS LÄN</t>
        </is>
      </c>
      <c r="E523" t="inlineStr">
        <is>
          <t>SKELLEFTEÅ</t>
        </is>
      </c>
      <c r="G523" t="n">
        <v>5.2</v>
      </c>
      <c r="H523" t="n">
        <v>0</v>
      </c>
      <c r="I523" t="n">
        <v>0</v>
      </c>
      <c r="J523" t="n">
        <v>0</v>
      </c>
      <c r="K523" t="n">
        <v>0</v>
      </c>
      <c r="L523" t="n">
        <v>0</v>
      </c>
      <c r="M523" t="n">
        <v>0</v>
      </c>
      <c r="N523" t="n">
        <v>0</v>
      </c>
      <c r="O523" t="n">
        <v>0</v>
      </c>
      <c r="P523" t="n">
        <v>0</v>
      </c>
      <c r="Q523" t="n">
        <v>0</v>
      </c>
      <c r="R523" s="2" t="inlineStr"/>
    </row>
    <row r="524" ht="15" customHeight="1">
      <c r="A524" t="inlineStr">
        <is>
          <t>A 10181-2020</t>
        </is>
      </c>
      <c r="B524" s="1" t="n">
        <v>43887</v>
      </c>
      <c r="C524" s="1" t="n">
        <v>45807</v>
      </c>
      <c r="D524" t="inlineStr">
        <is>
          <t>VÄSTERBOTTENS LÄN</t>
        </is>
      </c>
      <c r="E524" t="inlineStr">
        <is>
          <t>SKELLEFTEÅ</t>
        </is>
      </c>
      <c r="G524" t="n">
        <v>2.7</v>
      </c>
      <c r="H524" t="n">
        <v>0</v>
      </c>
      <c r="I524" t="n">
        <v>0</v>
      </c>
      <c r="J524" t="n">
        <v>0</v>
      </c>
      <c r="K524" t="n">
        <v>0</v>
      </c>
      <c r="L524" t="n">
        <v>0</v>
      </c>
      <c r="M524" t="n">
        <v>0</v>
      </c>
      <c r="N524" t="n">
        <v>0</v>
      </c>
      <c r="O524" t="n">
        <v>0</v>
      </c>
      <c r="P524" t="n">
        <v>0</v>
      </c>
      <c r="Q524" t="n">
        <v>0</v>
      </c>
      <c r="R524" s="2" t="inlineStr"/>
    </row>
    <row r="525" ht="15" customHeight="1">
      <c r="A525" t="inlineStr">
        <is>
          <t>A 10114-2020</t>
        </is>
      </c>
      <c r="B525" s="1" t="n">
        <v>43887</v>
      </c>
      <c r="C525" s="1" t="n">
        <v>45807</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12775-2020</t>
        </is>
      </c>
      <c r="B526" s="1" t="n">
        <v>43893</v>
      </c>
      <c r="C526" s="1" t="n">
        <v>45807</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12533-2020</t>
        </is>
      </c>
      <c r="B527" s="1" t="n">
        <v>43896</v>
      </c>
      <c r="C527" s="1" t="n">
        <v>45807</v>
      </c>
      <c r="D527" t="inlineStr">
        <is>
          <t>VÄSTERBOTTENS LÄN</t>
        </is>
      </c>
      <c r="E527" t="inlineStr">
        <is>
          <t>SKELLEFTEÅ</t>
        </is>
      </c>
      <c r="F527" t="inlineStr">
        <is>
          <t>SCA</t>
        </is>
      </c>
      <c r="G527" t="n">
        <v>8.1</v>
      </c>
      <c r="H527" t="n">
        <v>0</v>
      </c>
      <c r="I527" t="n">
        <v>0</v>
      </c>
      <c r="J527" t="n">
        <v>0</v>
      </c>
      <c r="K527" t="n">
        <v>0</v>
      </c>
      <c r="L527" t="n">
        <v>0</v>
      </c>
      <c r="M527" t="n">
        <v>0</v>
      </c>
      <c r="N527" t="n">
        <v>0</v>
      </c>
      <c r="O527" t="n">
        <v>0</v>
      </c>
      <c r="P527" t="n">
        <v>0</v>
      </c>
      <c r="Q527" t="n">
        <v>0</v>
      </c>
      <c r="R527" s="2" t="inlineStr"/>
    </row>
    <row r="528" ht="15" customHeight="1">
      <c r="A528" t="inlineStr">
        <is>
          <t>A 12534-2020</t>
        </is>
      </c>
      <c r="B528" s="1" t="n">
        <v>43896</v>
      </c>
      <c r="C528" s="1" t="n">
        <v>45807</v>
      </c>
      <c r="D528" t="inlineStr">
        <is>
          <t>VÄSTERBOTTENS LÄN</t>
        </is>
      </c>
      <c r="E528" t="inlineStr">
        <is>
          <t>SKELLEFTEÅ</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13415-2020</t>
        </is>
      </c>
      <c r="B529" s="1" t="n">
        <v>43899</v>
      </c>
      <c r="C529" s="1" t="n">
        <v>45807</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14147-2020</t>
        </is>
      </c>
      <c r="B530" s="1" t="n">
        <v>43900</v>
      </c>
      <c r="C530" s="1" t="n">
        <v>45807</v>
      </c>
      <c r="D530" t="inlineStr">
        <is>
          <t>VÄSTERBOTTENS LÄN</t>
        </is>
      </c>
      <c r="E530" t="inlineStr">
        <is>
          <t>SKELLEFTEÅ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12945-2020</t>
        </is>
      </c>
      <c r="B531" s="1" t="n">
        <v>43900</v>
      </c>
      <c r="C531" s="1" t="n">
        <v>45807</v>
      </c>
      <c r="D531" t="inlineStr">
        <is>
          <t>VÄSTERBOTTENS LÄN</t>
        </is>
      </c>
      <c r="E531" t="inlineStr">
        <is>
          <t>SKELLEFTEÅ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12939-2020</t>
        </is>
      </c>
      <c r="B532" s="1" t="n">
        <v>43900</v>
      </c>
      <c r="C532" s="1" t="n">
        <v>45807</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14186-2020</t>
        </is>
      </c>
      <c r="B533" s="1" t="n">
        <v>43901</v>
      </c>
      <c r="C533" s="1" t="n">
        <v>45807</v>
      </c>
      <c r="D533" t="inlineStr">
        <is>
          <t>VÄSTERBOTTENS LÄN</t>
        </is>
      </c>
      <c r="E533" t="inlineStr">
        <is>
          <t>SKELLEFTEÅ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13566-2020</t>
        </is>
      </c>
      <c r="B534" s="1" t="n">
        <v>43902</v>
      </c>
      <c r="C534" s="1" t="n">
        <v>45807</v>
      </c>
      <c r="D534" t="inlineStr">
        <is>
          <t>VÄSTERBOTTENS LÄN</t>
        </is>
      </c>
      <c r="E534" t="inlineStr">
        <is>
          <t>SKELLEFTEÅ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13568-2020</t>
        </is>
      </c>
      <c r="B535" s="1" t="n">
        <v>43902</v>
      </c>
      <c r="C535" s="1" t="n">
        <v>45807</v>
      </c>
      <c r="D535" t="inlineStr">
        <is>
          <t>VÄSTERBOTTENS LÄN</t>
        </is>
      </c>
      <c r="E535" t="inlineStr">
        <is>
          <t>SKELLEFTEÅ</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13851-2020</t>
        </is>
      </c>
      <c r="B536" s="1" t="n">
        <v>43906</v>
      </c>
      <c r="C536" s="1" t="n">
        <v>45807</v>
      </c>
      <c r="D536" t="inlineStr">
        <is>
          <t>VÄSTERBOTTENS LÄN</t>
        </is>
      </c>
      <c r="E536" t="inlineStr">
        <is>
          <t>SKELLEFTEÅ</t>
        </is>
      </c>
      <c r="G536" t="n">
        <v>0.1</v>
      </c>
      <c r="H536" t="n">
        <v>0</v>
      </c>
      <c r="I536" t="n">
        <v>0</v>
      </c>
      <c r="J536" t="n">
        <v>0</v>
      </c>
      <c r="K536" t="n">
        <v>0</v>
      </c>
      <c r="L536" t="n">
        <v>0</v>
      </c>
      <c r="M536" t="n">
        <v>0</v>
      </c>
      <c r="N536" t="n">
        <v>0</v>
      </c>
      <c r="O536" t="n">
        <v>0</v>
      </c>
      <c r="P536" t="n">
        <v>0</v>
      </c>
      <c r="Q536" t="n">
        <v>0</v>
      </c>
      <c r="R536" s="2" t="inlineStr"/>
    </row>
    <row r="537" ht="15" customHeight="1">
      <c r="A537" t="inlineStr">
        <is>
          <t>A 13933-2020</t>
        </is>
      </c>
      <c r="B537" s="1" t="n">
        <v>43906</v>
      </c>
      <c r="C537" s="1" t="n">
        <v>45807</v>
      </c>
      <c r="D537" t="inlineStr">
        <is>
          <t>VÄSTERBOTTENS LÄN</t>
        </is>
      </c>
      <c r="E537" t="inlineStr">
        <is>
          <t>SKELLEFTEÅ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13883-2020</t>
        </is>
      </c>
      <c r="B538" s="1" t="n">
        <v>43906</v>
      </c>
      <c r="C538" s="1" t="n">
        <v>45807</v>
      </c>
      <c r="D538" t="inlineStr">
        <is>
          <t>VÄSTERBOTTENS LÄN</t>
        </is>
      </c>
      <c r="E538" t="inlineStr">
        <is>
          <t>SKELLEFTEÅ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16728-2020</t>
        </is>
      </c>
      <c r="B539" s="1" t="n">
        <v>43910</v>
      </c>
      <c r="C539" s="1" t="n">
        <v>45807</v>
      </c>
      <c r="D539" t="inlineStr">
        <is>
          <t>VÄSTERBOTTENS LÄN</t>
        </is>
      </c>
      <c r="E539" t="inlineStr">
        <is>
          <t>SKELLEFTEÅ</t>
        </is>
      </c>
      <c r="G539" t="n">
        <v>1.3</v>
      </c>
      <c r="H539" t="n">
        <v>0</v>
      </c>
      <c r="I539" t="n">
        <v>0</v>
      </c>
      <c r="J539" t="n">
        <v>0</v>
      </c>
      <c r="K539" t="n">
        <v>0</v>
      </c>
      <c r="L539" t="n">
        <v>0</v>
      </c>
      <c r="M539" t="n">
        <v>0</v>
      </c>
      <c r="N539" t="n">
        <v>0</v>
      </c>
      <c r="O539" t="n">
        <v>0</v>
      </c>
      <c r="P539" t="n">
        <v>0</v>
      </c>
      <c r="Q539" t="n">
        <v>0</v>
      </c>
      <c r="R539" s="2" t="inlineStr"/>
    </row>
    <row r="540" ht="15" customHeight="1">
      <c r="A540" t="inlineStr">
        <is>
          <t>A 15320-2020</t>
        </is>
      </c>
      <c r="B540" s="1" t="n">
        <v>43913</v>
      </c>
      <c r="C540" s="1" t="n">
        <v>45807</v>
      </c>
      <c r="D540" t="inlineStr">
        <is>
          <t>VÄSTERBOTTENS LÄN</t>
        </is>
      </c>
      <c r="E540" t="inlineStr">
        <is>
          <t>SKELLEFTEÅ</t>
        </is>
      </c>
      <c r="G540" t="n">
        <v>5.8</v>
      </c>
      <c r="H540" t="n">
        <v>0</v>
      </c>
      <c r="I540" t="n">
        <v>0</v>
      </c>
      <c r="J540" t="n">
        <v>0</v>
      </c>
      <c r="K540" t="n">
        <v>0</v>
      </c>
      <c r="L540" t="n">
        <v>0</v>
      </c>
      <c r="M540" t="n">
        <v>0</v>
      </c>
      <c r="N540" t="n">
        <v>0</v>
      </c>
      <c r="O540" t="n">
        <v>0</v>
      </c>
      <c r="P540" t="n">
        <v>0</v>
      </c>
      <c r="Q540" t="n">
        <v>0</v>
      </c>
      <c r="R540" s="2" t="inlineStr"/>
    </row>
    <row r="541" ht="15" customHeight="1">
      <c r="A541" t="inlineStr">
        <is>
          <t>A 17124-2020</t>
        </is>
      </c>
      <c r="B541" s="1" t="n">
        <v>43914</v>
      </c>
      <c r="C541" s="1" t="n">
        <v>45807</v>
      </c>
      <c r="D541" t="inlineStr">
        <is>
          <t>VÄSTERBOTTENS LÄN</t>
        </is>
      </c>
      <c r="E541" t="inlineStr">
        <is>
          <t>SKELLEFTEÅ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15870-2020</t>
        </is>
      </c>
      <c r="B542" s="1" t="n">
        <v>43915</v>
      </c>
      <c r="C542" s="1" t="n">
        <v>45807</v>
      </c>
      <c r="D542" t="inlineStr">
        <is>
          <t>VÄSTERBOTTENS LÄN</t>
        </is>
      </c>
      <c r="E542" t="inlineStr">
        <is>
          <t>SKELLEFTEÅ</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15869-2020</t>
        </is>
      </c>
      <c r="B543" s="1" t="n">
        <v>43915</v>
      </c>
      <c r="C543" s="1" t="n">
        <v>45807</v>
      </c>
      <c r="D543" t="inlineStr">
        <is>
          <t>VÄSTERBOTTENS LÄN</t>
        </is>
      </c>
      <c r="E543" t="inlineStr">
        <is>
          <t>SKELLEFTEÅ</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17434-2020</t>
        </is>
      </c>
      <c r="B544" s="1" t="n">
        <v>43917</v>
      </c>
      <c r="C544" s="1" t="n">
        <v>45807</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17894-2020</t>
        </is>
      </c>
      <c r="B545" s="1" t="n">
        <v>43923</v>
      </c>
      <c r="C545" s="1" t="n">
        <v>45807</v>
      </c>
      <c r="D545" t="inlineStr">
        <is>
          <t>VÄSTERBOTTENS LÄN</t>
        </is>
      </c>
      <c r="E545" t="inlineStr">
        <is>
          <t>SKELLEFTEÅ</t>
        </is>
      </c>
      <c r="G545" t="n">
        <v>3.5</v>
      </c>
      <c r="H545" t="n">
        <v>0</v>
      </c>
      <c r="I545" t="n">
        <v>0</v>
      </c>
      <c r="J545" t="n">
        <v>0</v>
      </c>
      <c r="K545" t="n">
        <v>0</v>
      </c>
      <c r="L545" t="n">
        <v>0</v>
      </c>
      <c r="M545" t="n">
        <v>0</v>
      </c>
      <c r="N545" t="n">
        <v>0</v>
      </c>
      <c r="O545" t="n">
        <v>0</v>
      </c>
      <c r="P545" t="n">
        <v>0</v>
      </c>
      <c r="Q545" t="n">
        <v>0</v>
      </c>
      <c r="R545" s="2" t="inlineStr"/>
    </row>
    <row r="546" ht="15" customHeight="1">
      <c r="A546" t="inlineStr">
        <is>
          <t>A 18619-2020</t>
        </is>
      </c>
      <c r="B546" s="1" t="n">
        <v>43928</v>
      </c>
      <c r="C546" s="1" t="n">
        <v>45807</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18442-2020</t>
        </is>
      </c>
      <c r="B547" s="1" t="n">
        <v>43929</v>
      </c>
      <c r="C547" s="1" t="n">
        <v>45807</v>
      </c>
      <c r="D547" t="inlineStr">
        <is>
          <t>VÄSTERBOTTENS LÄN</t>
        </is>
      </c>
      <c r="E547" t="inlineStr">
        <is>
          <t>SKELLEFTEÅ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18820-2020</t>
        </is>
      </c>
      <c r="B548" s="1" t="n">
        <v>43935</v>
      </c>
      <c r="C548" s="1" t="n">
        <v>45807</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19006-2020</t>
        </is>
      </c>
      <c r="B549" s="1" t="n">
        <v>43936</v>
      </c>
      <c r="C549" s="1" t="n">
        <v>45807</v>
      </c>
      <c r="D549" t="inlineStr">
        <is>
          <t>VÄSTERBOTTENS LÄN</t>
        </is>
      </c>
      <c r="E549" t="inlineStr">
        <is>
          <t>SKELLEFTEÅ</t>
        </is>
      </c>
      <c r="G549" t="n">
        <v>2.3</v>
      </c>
      <c r="H549" t="n">
        <v>0</v>
      </c>
      <c r="I549" t="n">
        <v>0</v>
      </c>
      <c r="J549" t="n">
        <v>0</v>
      </c>
      <c r="K549" t="n">
        <v>0</v>
      </c>
      <c r="L549" t="n">
        <v>0</v>
      </c>
      <c r="M549" t="n">
        <v>0</v>
      </c>
      <c r="N549" t="n">
        <v>0</v>
      </c>
      <c r="O549" t="n">
        <v>0</v>
      </c>
      <c r="P549" t="n">
        <v>0</v>
      </c>
      <c r="Q549" t="n">
        <v>0</v>
      </c>
      <c r="R549" s="2" t="inlineStr"/>
    </row>
    <row r="550" ht="15" customHeight="1">
      <c r="A550" t="inlineStr">
        <is>
          <t>A 19961-2020</t>
        </is>
      </c>
      <c r="B550" s="1" t="n">
        <v>43943</v>
      </c>
      <c r="C550" s="1" t="n">
        <v>45807</v>
      </c>
      <c r="D550" t="inlineStr">
        <is>
          <t>VÄSTERBOTTENS LÄN</t>
        </is>
      </c>
      <c r="E550" t="inlineStr">
        <is>
          <t>SKELLEFTEÅ</t>
        </is>
      </c>
      <c r="G550" t="n">
        <v>0.6</v>
      </c>
      <c r="H550" t="n">
        <v>0</v>
      </c>
      <c r="I550" t="n">
        <v>0</v>
      </c>
      <c r="J550" t="n">
        <v>0</v>
      </c>
      <c r="K550" t="n">
        <v>0</v>
      </c>
      <c r="L550" t="n">
        <v>0</v>
      </c>
      <c r="M550" t="n">
        <v>0</v>
      </c>
      <c r="N550" t="n">
        <v>0</v>
      </c>
      <c r="O550" t="n">
        <v>0</v>
      </c>
      <c r="P550" t="n">
        <v>0</v>
      </c>
      <c r="Q550" t="n">
        <v>0</v>
      </c>
      <c r="R550" s="2" t="inlineStr"/>
    </row>
    <row r="551" ht="15" customHeight="1">
      <c r="A551" t="inlineStr">
        <is>
          <t>A 20243-2020</t>
        </is>
      </c>
      <c r="B551" s="1" t="n">
        <v>43945</v>
      </c>
      <c r="C551" s="1" t="n">
        <v>45807</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20283-2020</t>
        </is>
      </c>
      <c r="B552" s="1" t="n">
        <v>43945</v>
      </c>
      <c r="C552" s="1" t="n">
        <v>45807</v>
      </c>
      <c r="D552" t="inlineStr">
        <is>
          <t>VÄSTERBOTTENS LÄN</t>
        </is>
      </c>
      <c r="E552" t="inlineStr">
        <is>
          <t>SKELLEFTEÅ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20351-2020</t>
        </is>
      </c>
      <c r="B553" s="1" t="n">
        <v>43945</v>
      </c>
      <c r="C553" s="1" t="n">
        <v>45807</v>
      </c>
      <c r="D553" t="inlineStr">
        <is>
          <t>VÄSTERBOTTENS LÄN</t>
        </is>
      </c>
      <c r="E553" t="inlineStr">
        <is>
          <t>SKELLEFTEÅ</t>
        </is>
      </c>
      <c r="G553" t="n">
        <v>6.3</v>
      </c>
      <c r="H553" t="n">
        <v>0</v>
      </c>
      <c r="I553" t="n">
        <v>0</v>
      </c>
      <c r="J553" t="n">
        <v>0</v>
      </c>
      <c r="K553" t="n">
        <v>0</v>
      </c>
      <c r="L553" t="n">
        <v>0</v>
      </c>
      <c r="M553" t="n">
        <v>0</v>
      </c>
      <c r="N553" t="n">
        <v>0</v>
      </c>
      <c r="O553" t="n">
        <v>0</v>
      </c>
      <c r="P553" t="n">
        <v>0</v>
      </c>
      <c r="Q553" t="n">
        <v>0</v>
      </c>
      <c r="R553" s="2" t="inlineStr"/>
    </row>
    <row r="554" ht="15" customHeight="1">
      <c r="A554" t="inlineStr">
        <is>
          <t>A 20444-2020</t>
        </is>
      </c>
      <c r="B554" s="1" t="n">
        <v>43948</v>
      </c>
      <c r="C554" s="1" t="n">
        <v>45807</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20466-2020</t>
        </is>
      </c>
      <c r="B555" s="1" t="n">
        <v>43948</v>
      </c>
      <c r="C555" s="1" t="n">
        <v>45807</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22451-2020</t>
        </is>
      </c>
      <c r="B556" s="1" t="n">
        <v>43963</v>
      </c>
      <c r="C556" s="1" t="n">
        <v>45807</v>
      </c>
      <c r="D556" t="inlineStr">
        <is>
          <t>VÄSTERBOTTENS LÄN</t>
        </is>
      </c>
      <c r="E556" t="inlineStr">
        <is>
          <t>SKELLEFTEÅ</t>
        </is>
      </c>
      <c r="G556" t="n">
        <v>2.6</v>
      </c>
      <c r="H556" t="n">
        <v>0</v>
      </c>
      <c r="I556" t="n">
        <v>0</v>
      </c>
      <c r="J556" t="n">
        <v>0</v>
      </c>
      <c r="K556" t="n">
        <v>0</v>
      </c>
      <c r="L556" t="n">
        <v>0</v>
      </c>
      <c r="M556" t="n">
        <v>0</v>
      </c>
      <c r="N556" t="n">
        <v>0</v>
      </c>
      <c r="O556" t="n">
        <v>0</v>
      </c>
      <c r="P556" t="n">
        <v>0</v>
      </c>
      <c r="Q556" t="n">
        <v>0</v>
      </c>
      <c r="R556" s="2" t="inlineStr"/>
    </row>
    <row r="557" ht="15" customHeight="1">
      <c r="A557" t="inlineStr">
        <is>
          <t>A 22752-2020</t>
        </is>
      </c>
      <c r="B557" s="1" t="n">
        <v>43963</v>
      </c>
      <c r="C557" s="1" t="n">
        <v>45807</v>
      </c>
      <c r="D557" t="inlineStr">
        <is>
          <t>VÄSTERBOTTENS LÄN</t>
        </is>
      </c>
      <c r="E557" t="inlineStr">
        <is>
          <t>SKELLEFTEÅ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23006-2020</t>
        </is>
      </c>
      <c r="B558" s="1" t="n">
        <v>43965</v>
      </c>
      <c r="C558" s="1" t="n">
        <v>45807</v>
      </c>
      <c r="D558" t="inlineStr">
        <is>
          <t>VÄSTERBOTTENS LÄN</t>
        </is>
      </c>
      <c r="E558" t="inlineStr">
        <is>
          <t>SKELLEFTEÅ</t>
        </is>
      </c>
      <c r="G558" t="n">
        <v>1.1</v>
      </c>
      <c r="H558" t="n">
        <v>0</v>
      </c>
      <c r="I558" t="n">
        <v>0</v>
      </c>
      <c r="J558" t="n">
        <v>0</v>
      </c>
      <c r="K558" t="n">
        <v>0</v>
      </c>
      <c r="L558" t="n">
        <v>0</v>
      </c>
      <c r="M558" t="n">
        <v>0</v>
      </c>
      <c r="N558" t="n">
        <v>0</v>
      </c>
      <c r="O558" t="n">
        <v>0</v>
      </c>
      <c r="P558" t="n">
        <v>0</v>
      </c>
      <c r="Q558" t="n">
        <v>0</v>
      </c>
      <c r="R558" s="2" t="inlineStr"/>
    </row>
    <row r="559" ht="15" customHeight="1">
      <c r="A559" t="inlineStr">
        <is>
          <t>A 23181-2020</t>
        </is>
      </c>
      <c r="B559" s="1" t="n">
        <v>43965</v>
      </c>
      <c r="C559" s="1" t="n">
        <v>45807</v>
      </c>
      <c r="D559" t="inlineStr">
        <is>
          <t>VÄSTERBOTTENS LÄN</t>
        </is>
      </c>
      <c r="E559" t="inlineStr">
        <is>
          <t>SKELLEFTEÅ</t>
        </is>
      </c>
      <c r="G559" t="n">
        <v>8.1</v>
      </c>
      <c r="H559" t="n">
        <v>0</v>
      </c>
      <c r="I559" t="n">
        <v>0</v>
      </c>
      <c r="J559" t="n">
        <v>0</v>
      </c>
      <c r="K559" t="n">
        <v>0</v>
      </c>
      <c r="L559" t="n">
        <v>0</v>
      </c>
      <c r="M559" t="n">
        <v>0</v>
      </c>
      <c r="N559" t="n">
        <v>0</v>
      </c>
      <c r="O559" t="n">
        <v>0</v>
      </c>
      <c r="P559" t="n">
        <v>0</v>
      </c>
      <c r="Q559" t="n">
        <v>0</v>
      </c>
      <c r="R559" s="2" t="inlineStr"/>
    </row>
    <row r="560" ht="15" customHeight="1">
      <c r="A560" t="inlineStr">
        <is>
          <t>A 23522-2020</t>
        </is>
      </c>
      <c r="B560" s="1" t="n">
        <v>43969</v>
      </c>
      <c r="C560" s="1" t="n">
        <v>45807</v>
      </c>
      <c r="D560" t="inlineStr">
        <is>
          <t>VÄSTERBOTTENS LÄN</t>
        </is>
      </c>
      <c r="E560" t="inlineStr">
        <is>
          <t>SKELLEFTEÅ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23672-2020</t>
        </is>
      </c>
      <c r="B561" s="1" t="n">
        <v>43970</v>
      </c>
      <c r="C561" s="1" t="n">
        <v>45807</v>
      </c>
      <c r="D561" t="inlineStr">
        <is>
          <t>VÄSTERBOTTENS LÄN</t>
        </is>
      </c>
      <c r="E561" t="inlineStr">
        <is>
          <t>SKELLEFTEÅ</t>
        </is>
      </c>
      <c r="G561" t="n">
        <v>1</v>
      </c>
      <c r="H561" t="n">
        <v>0</v>
      </c>
      <c r="I561" t="n">
        <v>0</v>
      </c>
      <c r="J561" t="n">
        <v>0</v>
      </c>
      <c r="K561" t="n">
        <v>0</v>
      </c>
      <c r="L561" t="n">
        <v>0</v>
      </c>
      <c r="M561" t="n">
        <v>0</v>
      </c>
      <c r="N561" t="n">
        <v>0</v>
      </c>
      <c r="O561" t="n">
        <v>0</v>
      </c>
      <c r="P561" t="n">
        <v>0</v>
      </c>
      <c r="Q561" t="n">
        <v>0</v>
      </c>
      <c r="R561" s="2" t="inlineStr"/>
    </row>
    <row r="562" ht="15" customHeight="1">
      <c r="A562" t="inlineStr">
        <is>
          <t>A 24280-2020</t>
        </is>
      </c>
      <c r="B562" s="1" t="n">
        <v>43970</v>
      </c>
      <c r="C562" s="1" t="n">
        <v>45807</v>
      </c>
      <c r="D562" t="inlineStr">
        <is>
          <t>VÄSTERBOTTENS LÄN</t>
        </is>
      </c>
      <c r="E562" t="inlineStr">
        <is>
          <t>SKELLEFTEÅ</t>
        </is>
      </c>
      <c r="G562" t="n">
        <v>0.5</v>
      </c>
      <c r="H562" t="n">
        <v>0</v>
      </c>
      <c r="I562" t="n">
        <v>0</v>
      </c>
      <c r="J562" t="n">
        <v>0</v>
      </c>
      <c r="K562" t="n">
        <v>0</v>
      </c>
      <c r="L562" t="n">
        <v>0</v>
      </c>
      <c r="M562" t="n">
        <v>0</v>
      </c>
      <c r="N562" t="n">
        <v>0</v>
      </c>
      <c r="O562" t="n">
        <v>0</v>
      </c>
      <c r="P562" t="n">
        <v>0</v>
      </c>
      <c r="Q562" t="n">
        <v>0</v>
      </c>
      <c r="R562" s="2" t="inlineStr"/>
    </row>
    <row r="563" ht="15" customHeight="1">
      <c r="A563" t="inlineStr">
        <is>
          <t>A 24276-2020</t>
        </is>
      </c>
      <c r="B563" s="1" t="n">
        <v>43970</v>
      </c>
      <c r="C563" s="1" t="n">
        <v>45807</v>
      </c>
      <c r="D563" t="inlineStr">
        <is>
          <t>VÄSTERBOTTENS LÄN</t>
        </is>
      </c>
      <c r="E563" t="inlineStr">
        <is>
          <t>SKELLEFTEÅ</t>
        </is>
      </c>
      <c r="G563" t="n">
        <v>0.7</v>
      </c>
      <c r="H563" t="n">
        <v>0</v>
      </c>
      <c r="I563" t="n">
        <v>0</v>
      </c>
      <c r="J563" t="n">
        <v>0</v>
      </c>
      <c r="K563" t="n">
        <v>0</v>
      </c>
      <c r="L563" t="n">
        <v>0</v>
      </c>
      <c r="M563" t="n">
        <v>0</v>
      </c>
      <c r="N563" t="n">
        <v>0</v>
      </c>
      <c r="O563" t="n">
        <v>0</v>
      </c>
      <c r="P563" t="n">
        <v>0</v>
      </c>
      <c r="Q563" t="n">
        <v>0</v>
      </c>
      <c r="R563" s="2" t="inlineStr"/>
    </row>
    <row r="564" ht="15" customHeight="1">
      <c r="A564" t="inlineStr">
        <is>
          <t>A 24274-2020</t>
        </is>
      </c>
      <c r="B564" s="1" t="n">
        <v>43970</v>
      </c>
      <c r="C564" s="1" t="n">
        <v>45807</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23908-2020</t>
        </is>
      </c>
      <c r="B565" s="1" t="n">
        <v>43970</v>
      </c>
      <c r="C565" s="1" t="n">
        <v>45807</v>
      </c>
      <c r="D565" t="inlineStr">
        <is>
          <t>VÄSTERBOTTENS LÄN</t>
        </is>
      </c>
      <c r="E565" t="inlineStr">
        <is>
          <t>SKELLEFTEÅ</t>
        </is>
      </c>
      <c r="G565" t="n">
        <v>0.7</v>
      </c>
      <c r="H565" t="n">
        <v>0</v>
      </c>
      <c r="I565" t="n">
        <v>0</v>
      </c>
      <c r="J565" t="n">
        <v>0</v>
      </c>
      <c r="K565" t="n">
        <v>0</v>
      </c>
      <c r="L565" t="n">
        <v>0</v>
      </c>
      <c r="M565" t="n">
        <v>0</v>
      </c>
      <c r="N565" t="n">
        <v>0</v>
      </c>
      <c r="O565" t="n">
        <v>0</v>
      </c>
      <c r="P565" t="n">
        <v>0</v>
      </c>
      <c r="Q565" t="n">
        <v>0</v>
      </c>
      <c r="R565" s="2" t="inlineStr"/>
    </row>
    <row r="566" ht="15" customHeight="1">
      <c r="A566" t="inlineStr">
        <is>
          <t>A 23907-2020</t>
        </is>
      </c>
      <c r="B566" s="1" t="n">
        <v>43970</v>
      </c>
      <c r="C566" s="1" t="n">
        <v>45807</v>
      </c>
      <c r="D566" t="inlineStr">
        <is>
          <t>VÄSTERBOTTENS LÄN</t>
        </is>
      </c>
      <c r="E566" t="inlineStr">
        <is>
          <t>SKELLEFTEÅ</t>
        </is>
      </c>
      <c r="G566" t="n">
        <v>2</v>
      </c>
      <c r="H566" t="n">
        <v>0</v>
      </c>
      <c r="I566" t="n">
        <v>0</v>
      </c>
      <c r="J566" t="n">
        <v>0</v>
      </c>
      <c r="K566" t="n">
        <v>0</v>
      </c>
      <c r="L566" t="n">
        <v>0</v>
      </c>
      <c r="M566" t="n">
        <v>0</v>
      </c>
      <c r="N566" t="n">
        <v>0</v>
      </c>
      <c r="O566" t="n">
        <v>0</v>
      </c>
      <c r="P566" t="n">
        <v>0</v>
      </c>
      <c r="Q566" t="n">
        <v>0</v>
      </c>
      <c r="R566" s="2" t="inlineStr"/>
    </row>
    <row r="567" ht="15" customHeight="1">
      <c r="A567" t="inlineStr">
        <is>
          <t>A 24264-2020</t>
        </is>
      </c>
      <c r="B567" s="1" t="n">
        <v>43970</v>
      </c>
      <c r="C567" s="1" t="n">
        <v>45807</v>
      </c>
      <c r="D567" t="inlineStr">
        <is>
          <t>VÄSTERBOTTENS LÄN</t>
        </is>
      </c>
      <c r="E567" t="inlineStr">
        <is>
          <t>SKELLEFTEÅ</t>
        </is>
      </c>
      <c r="G567" t="n">
        <v>2.7</v>
      </c>
      <c r="H567" t="n">
        <v>0</v>
      </c>
      <c r="I567" t="n">
        <v>0</v>
      </c>
      <c r="J567" t="n">
        <v>0</v>
      </c>
      <c r="K567" t="n">
        <v>0</v>
      </c>
      <c r="L567" t="n">
        <v>0</v>
      </c>
      <c r="M567" t="n">
        <v>0</v>
      </c>
      <c r="N567" t="n">
        <v>0</v>
      </c>
      <c r="O567" t="n">
        <v>0</v>
      </c>
      <c r="P567" t="n">
        <v>0</v>
      </c>
      <c r="Q567" t="n">
        <v>0</v>
      </c>
      <c r="R567" s="2" t="inlineStr"/>
    </row>
    <row r="568" ht="15" customHeight="1">
      <c r="A568" t="inlineStr">
        <is>
          <t>A 24543-2020</t>
        </is>
      </c>
      <c r="B568" s="1" t="n">
        <v>43977</v>
      </c>
      <c r="C568" s="1" t="n">
        <v>45807</v>
      </c>
      <c r="D568" t="inlineStr">
        <is>
          <t>VÄSTERBOTTENS LÄN</t>
        </is>
      </c>
      <c r="E568" t="inlineStr">
        <is>
          <t>SKELLEFTEÅ</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25142-2020</t>
        </is>
      </c>
      <c r="B569" s="1" t="n">
        <v>43978</v>
      </c>
      <c r="C569" s="1" t="n">
        <v>45807</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25161-2020</t>
        </is>
      </c>
      <c r="B570" s="1" t="n">
        <v>43978</v>
      </c>
      <c r="C570" s="1" t="n">
        <v>45807</v>
      </c>
      <c r="D570" t="inlineStr">
        <is>
          <t>VÄSTERBOTTENS LÄN</t>
        </is>
      </c>
      <c r="E570" t="inlineStr">
        <is>
          <t>SKELLEFTEÅ</t>
        </is>
      </c>
      <c r="G570" t="n">
        <v>6.6</v>
      </c>
      <c r="H570" t="n">
        <v>0</v>
      </c>
      <c r="I570" t="n">
        <v>0</v>
      </c>
      <c r="J570" t="n">
        <v>0</v>
      </c>
      <c r="K570" t="n">
        <v>0</v>
      </c>
      <c r="L570" t="n">
        <v>0</v>
      </c>
      <c r="M570" t="n">
        <v>0</v>
      </c>
      <c r="N570" t="n">
        <v>0</v>
      </c>
      <c r="O570" t="n">
        <v>0</v>
      </c>
      <c r="P570" t="n">
        <v>0</v>
      </c>
      <c r="Q570" t="n">
        <v>0</v>
      </c>
      <c r="R570" s="2" t="inlineStr"/>
    </row>
    <row r="571" ht="15" customHeight="1">
      <c r="A571" t="inlineStr">
        <is>
          <t>A 25051-2020</t>
        </is>
      </c>
      <c r="B571" s="1" t="n">
        <v>43979</v>
      </c>
      <c r="C571" s="1" t="n">
        <v>45807</v>
      </c>
      <c r="D571" t="inlineStr">
        <is>
          <t>VÄSTERBOTTENS LÄN</t>
        </is>
      </c>
      <c r="E571" t="inlineStr">
        <is>
          <t>SKELLEFTEÅ</t>
        </is>
      </c>
      <c r="F571" t="inlineStr">
        <is>
          <t>Holmen skog AB</t>
        </is>
      </c>
      <c r="G571" t="n">
        <v>1</v>
      </c>
      <c r="H571" t="n">
        <v>0</v>
      </c>
      <c r="I571" t="n">
        <v>0</v>
      </c>
      <c r="J571" t="n">
        <v>0</v>
      </c>
      <c r="K571" t="n">
        <v>0</v>
      </c>
      <c r="L571" t="n">
        <v>0</v>
      </c>
      <c r="M571" t="n">
        <v>0</v>
      </c>
      <c r="N571" t="n">
        <v>0</v>
      </c>
      <c r="O571" t="n">
        <v>0</v>
      </c>
      <c r="P571" t="n">
        <v>0</v>
      </c>
      <c r="Q571" t="n">
        <v>0</v>
      </c>
      <c r="R571" s="2" t="inlineStr"/>
    </row>
    <row r="572" ht="15" customHeight="1">
      <c r="A572" t="inlineStr">
        <is>
          <t>A 25202-2020</t>
        </is>
      </c>
      <c r="B572" s="1" t="n">
        <v>43980</v>
      </c>
      <c r="C572" s="1" t="n">
        <v>45807</v>
      </c>
      <c r="D572" t="inlineStr">
        <is>
          <t>VÄSTERBOTTENS LÄN</t>
        </is>
      </c>
      <c r="E572" t="inlineStr">
        <is>
          <t>SKELLEFTEÅ</t>
        </is>
      </c>
      <c r="F572" t="inlineStr">
        <is>
          <t>Holmen skog AB</t>
        </is>
      </c>
      <c r="G572" t="n">
        <v>1.4</v>
      </c>
      <c r="H572" t="n">
        <v>0</v>
      </c>
      <c r="I572" t="n">
        <v>0</v>
      </c>
      <c r="J572" t="n">
        <v>0</v>
      </c>
      <c r="K572" t="n">
        <v>0</v>
      </c>
      <c r="L572" t="n">
        <v>0</v>
      </c>
      <c r="M572" t="n">
        <v>0</v>
      </c>
      <c r="N572" t="n">
        <v>0</v>
      </c>
      <c r="O572" t="n">
        <v>0</v>
      </c>
      <c r="P572" t="n">
        <v>0</v>
      </c>
      <c r="Q572" t="n">
        <v>0</v>
      </c>
      <c r="R572" s="2" t="inlineStr"/>
    </row>
    <row r="573" ht="15" customHeight="1">
      <c r="A573" t="inlineStr">
        <is>
          <t>A 25473-2020</t>
        </is>
      </c>
      <c r="B573" s="1" t="n">
        <v>43983</v>
      </c>
      <c r="C573" s="1" t="n">
        <v>45807</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25682-2020</t>
        </is>
      </c>
      <c r="B574" s="1" t="n">
        <v>43983</v>
      </c>
      <c r="C574" s="1" t="n">
        <v>45807</v>
      </c>
      <c r="D574" t="inlineStr">
        <is>
          <t>VÄSTERBOTTENS LÄN</t>
        </is>
      </c>
      <c r="E574" t="inlineStr">
        <is>
          <t>SKELLEFTEÅ</t>
        </is>
      </c>
      <c r="G574" t="n">
        <v>2.8</v>
      </c>
      <c r="H574" t="n">
        <v>0</v>
      </c>
      <c r="I574" t="n">
        <v>0</v>
      </c>
      <c r="J574" t="n">
        <v>0</v>
      </c>
      <c r="K574" t="n">
        <v>0</v>
      </c>
      <c r="L574" t="n">
        <v>0</v>
      </c>
      <c r="M574" t="n">
        <v>0</v>
      </c>
      <c r="N574" t="n">
        <v>0</v>
      </c>
      <c r="O574" t="n">
        <v>0</v>
      </c>
      <c r="P574" t="n">
        <v>0</v>
      </c>
      <c r="Q574" t="n">
        <v>0</v>
      </c>
      <c r="R574" s="2" t="inlineStr"/>
    </row>
    <row r="575" ht="15" customHeight="1">
      <c r="A575" t="inlineStr">
        <is>
          <t>A 25858-2020</t>
        </is>
      </c>
      <c r="B575" s="1" t="n">
        <v>43984</v>
      </c>
      <c r="C575" s="1" t="n">
        <v>45807</v>
      </c>
      <c r="D575" t="inlineStr">
        <is>
          <t>VÄSTERBOTTENS LÄN</t>
        </is>
      </c>
      <c r="E575" t="inlineStr">
        <is>
          <t>SKELLEFTEÅ</t>
        </is>
      </c>
      <c r="F575" t="inlineStr">
        <is>
          <t>Sveaskog</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26089-2020</t>
        </is>
      </c>
      <c r="B576" s="1" t="n">
        <v>43984</v>
      </c>
      <c r="C576" s="1" t="n">
        <v>45807</v>
      </c>
      <c r="D576" t="inlineStr">
        <is>
          <t>VÄSTERBOTTENS LÄN</t>
        </is>
      </c>
      <c r="E576" t="inlineStr">
        <is>
          <t>SKELLEFTEÅ</t>
        </is>
      </c>
      <c r="G576" t="n">
        <v>0.8</v>
      </c>
      <c r="H576" t="n">
        <v>0</v>
      </c>
      <c r="I576" t="n">
        <v>0</v>
      </c>
      <c r="J576" t="n">
        <v>0</v>
      </c>
      <c r="K576" t="n">
        <v>0</v>
      </c>
      <c r="L576" t="n">
        <v>0</v>
      </c>
      <c r="M576" t="n">
        <v>0</v>
      </c>
      <c r="N576" t="n">
        <v>0</v>
      </c>
      <c r="O576" t="n">
        <v>0</v>
      </c>
      <c r="P576" t="n">
        <v>0</v>
      </c>
      <c r="Q576" t="n">
        <v>0</v>
      </c>
      <c r="R576" s="2" t="inlineStr"/>
    </row>
    <row r="577" ht="15" customHeight="1">
      <c r="A577" t="inlineStr">
        <is>
          <t>A 25695-2020</t>
        </is>
      </c>
      <c r="B577" s="1" t="n">
        <v>43984</v>
      </c>
      <c r="C577" s="1" t="n">
        <v>45807</v>
      </c>
      <c r="D577" t="inlineStr">
        <is>
          <t>VÄSTERBOTTENS LÄN</t>
        </is>
      </c>
      <c r="E577" t="inlineStr">
        <is>
          <t>SKELLEFTEÅ</t>
        </is>
      </c>
      <c r="G577" t="n">
        <v>15.3</v>
      </c>
      <c r="H577" t="n">
        <v>0</v>
      </c>
      <c r="I577" t="n">
        <v>0</v>
      </c>
      <c r="J577" t="n">
        <v>0</v>
      </c>
      <c r="K577" t="n">
        <v>0</v>
      </c>
      <c r="L577" t="n">
        <v>0</v>
      </c>
      <c r="M577" t="n">
        <v>0</v>
      </c>
      <c r="N577" t="n">
        <v>0</v>
      </c>
      <c r="O577" t="n">
        <v>0</v>
      </c>
      <c r="P577" t="n">
        <v>0</v>
      </c>
      <c r="Q577" t="n">
        <v>0</v>
      </c>
      <c r="R577" s="2" t="inlineStr"/>
    </row>
    <row r="578" ht="15" customHeight="1">
      <c r="A578" t="inlineStr">
        <is>
          <t>A 25968-2020</t>
        </is>
      </c>
      <c r="B578" s="1" t="n">
        <v>43985</v>
      </c>
      <c r="C578" s="1" t="n">
        <v>45807</v>
      </c>
      <c r="D578" t="inlineStr">
        <is>
          <t>VÄSTERBOTTENS LÄN</t>
        </is>
      </c>
      <c r="E578" t="inlineStr">
        <is>
          <t>SKELLEFTEÅ</t>
        </is>
      </c>
      <c r="G578" t="n">
        <v>2.3</v>
      </c>
      <c r="H578" t="n">
        <v>0</v>
      </c>
      <c r="I578" t="n">
        <v>0</v>
      </c>
      <c r="J578" t="n">
        <v>0</v>
      </c>
      <c r="K578" t="n">
        <v>0</v>
      </c>
      <c r="L578" t="n">
        <v>0</v>
      </c>
      <c r="M578" t="n">
        <v>0</v>
      </c>
      <c r="N578" t="n">
        <v>0</v>
      </c>
      <c r="O578" t="n">
        <v>0</v>
      </c>
      <c r="P578" t="n">
        <v>0</v>
      </c>
      <c r="Q578" t="n">
        <v>0</v>
      </c>
      <c r="R578" s="2" t="inlineStr"/>
    </row>
    <row r="579" ht="15" customHeight="1">
      <c r="A579" t="inlineStr">
        <is>
          <t>A 26422-2020</t>
        </is>
      </c>
      <c r="B579" s="1" t="n">
        <v>43986</v>
      </c>
      <c r="C579" s="1" t="n">
        <v>45807</v>
      </c>
      <c r="D579" t="inlineStr">
        <is>
          <t>VÄSTERBOTTENS LÄN</t>
        </is>
      </c>
      <c r="E579" t="inlineStr">
        <is>
          <t>SKELLEFTEÅ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26413-2020</t>
        </is>
      </c>
      <c r="B580" s="1" t="n">
        <v>43987</v>
      </c>
      <c r="C580" s="1" t="n">
        <v>45807</v>
      </c>
      <c r="D580" t="inlineStr">
        <is>
          <t>VÄSTERBOTTENS LÄN</t>
        </is>
      </c>
      <c r="E580" t="inlineStr">
        <is>
          <t>SKELLEFTEÅ</t>
        </is>
      </c>
      <c r="F580" t="inlineStr">
        <is>
          <t>Holmen skog AB</t>
        </is>
      </c>
      <c r="G580" t="n">
        <v>7.9</v>
      </c>
      <c r="H580" t="n">
        <v>0</v>
      </c>
      <c r="I580" t="n">
        <v>0</v>
      </c>
      <c r="J580" t="n">
        <v>0</v>
      </c>
      <c r="K580" t="n">
        <v>0</v>
      </c>
      <c r="L580" t="n">
        <v>0</v>
      </c>
      <c r="M580" t="n">
        <v>0</v>
      </c>
      <c r="N580" t="n">
        <v>0</v>
      </c>
      <c r="O580" t="n">
        <v>0</v>
      </c>
      <c r="P580" t="n">
        <v>0</v>
      </c>
      <c r="Q580" t="n">
        <v>0</v>
      </c>
      <c r="R580" s="2" t="inlineStr"/>
    </row>
    <row r="581" ht="15" customHeight="1">
      <c r="A581" t="inlineStr">
        <is>
          <t>A 26396-2020</t>
        </is>
      </c>
      <c r="B581" s="1" t="n">
        <v>43987</v>
      </c>
      <c r="C581" s="1" t="n">
        <v>45807</v>
      </c>
      <c r="D581" t="inlineStr">
        <is>
          <t>VÄSTERBOTTENS LÄN</t>
        </is>
      </c>
      <c r="E581" t="inlineStr">
        <is>
          <t>SKELLEFTEÅ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27218-2020</t>
        </is>
      </c>
      <c r="B582" s="1" t="n">
        <v>43992</v>
      </c>
      <c r="C582" s="1" t="n">
        <v>45807</v>
      </c>
      <c r="D582" t="inlineStr">
        <is>
          <t>VÄSTERBOTTENS LÄN</t>
        </is>
      </c>
      <c r="E582" t="inlineStr">
        <is>
          <t>SKELLEFTEÅ</t>
        </is>
      </c>
      <c r="G582" t="n">
        <v>0.8</v>
      </c>
      <c r="H582" t="n">
        <v>0</v>
      </c>
      <c r="I582" t="n">
        <v>0</v>
      </c>
      <c r="J582" t="n">
        <v>0</v>
      </c>
      <c r="K582" t="n">
        <v>0</v>
      </c>
      <c r="L582" t="n">
        <v>0</v>
      </c>
      <c r="M582" t="n">
        <v>0</v>
      </c>
      <c r="N582" t="n">
        <v>0</v>
      </c>
      <c r="O582" t="n">
        <v>0</v>
      </c>
      <c r="P582" t="n">
        <v>0</v>
      </c>
      <c r="Q582" t="n">
        <v>0</v>
      </c>
      <c r="R582" s="2" t="inlineStr"/>
    </row>
    <row r="583" ht="15" customHeight="1">
      <c r="A583" t="inlineStr">
        <is>
          <t>A 27684-2020</t>
        </is>
      </c>
      <c r="B583" s="1" t="n">
        <v>43994</v>
      </c>
      <c r="C583" s="1" t="n">
        <v>45807</v>
      </c>
      <c r="D583" t="inlineStr">
        <is>
          <t>VÄSTERBOTTENS LÄN</t>
        </is>
      </c>
      <c r="E583" t="inlineStr">
        <is>
          <t>SKELLEFTEÅ</t>
        </is>
      </c>
      <c r="G583" t="n">
        <v>1.2</v>
      </c>
      <c r="H583" t="n">
        <v>0</v>
      </c>
      <c r="I583" t="n">
        <v>0</v>
      </c>
      <c r="J583" t="n">
        <v>0</v>
      </c>
      <c r="K583" t="n">
        <v>0</v>
      </c>
      <c r="L583" t="n">
        <v>0</v>
      </c>
      <c r="M583" t="n">
        <v>0</v>
      </c>
      <c r="N583" t="n">
        <v>0</v>
      </c>
      <c r="O583" t="n">
        <v>0</v>
      </c>
      <c r="P583" t="n">
        <v>0</v>
      </c>
      <c r="Q583" t="n">
        <v>0</v>
      </c>
      <c r="R583" s="2" t="inlineStr"/>
    </row>
    <row r="584" ht="15" customHeight="1">
      <c r="A584" t="inlineStr">
        <is>
          <t>A 28449-2020</t>
        </is>
      </c>
      <c r="B584" s="1" t="n">
        <v>43998</v>
      </c>
      <c r="C584" s="1" t="n">
        <v>45807</v>
      </c>
      <c r="D584" t="inlineStr">
        <is>
          <t>VÄSTERBOTTENS LÄN</t>
        </is>
      </c>
      <c r="E584" t="inlineStr">
        <is>
          <t>SKELLEFTEÅ</t>
        </is>
      </c>
      <c r="F584" t="inlineStr">
        <is>
          <t>Sveaskog</t>
        </is>
      </c>
      <c r="G584" t="n">
        <v>20.9</v>
      </c>
      <c r="H584" t="n">
        <v>0</v>
      </c>
      <c r="I584" t="n">
        <v>0</v>
      </c>
      <c r="J584" t="n">
        <v>0</v>
      </c>
      <c r="K584" t="n">
        <v>0</v>
      </c>
      <c r="L584" t="n">
        <v>0</v>
      </c>
      <c r="M584" t="n">
        <v>0</v>
      </c>
      <c r="N584" t="n">
        <v>0</v>
      </c>
      <c r="O584" t="n">
        <v>0</v>
      </c>
      <c r="P584" t="n">
        <v>0</v>
      </c>
      <c r="Q584" t="n">
        <v>0</v>
      </c>
      <c r="R584" s="2" t="inlineStr"/>
    </row>
    <row r="585" ht="15" customHeight="1">
      <c r="A585" t="inlineStr">
        <is>
          <t>A 28503-2020</t>
        </is>
      </c>
      <c r="B585" s="1" t="n">
        <v>43999</v>
      </c>
      <c r="C585" s="1" t="n">
        <v>45807</v>
      </c>
      <c r="D585" t="inlineStr">
        <is>
          <t>VÄSTERBOTTENS LÄN</t>
        </is>
      </c>
      <c r="E585" t="inlineStr">
        <is>
          <t>SKELLEFTEÅ</t>
        </is>
      </c>
      <c r="G585" t="n">
        <v>1.5</v>
      </c>
      <c r="H585" t="n">
        <v>0</v>
      </c>
      <c r="I585" t="n">
        <v>0</v>
      </c>
      <c r="J585" t="n">
        <v>0</v>
      </c>
      <c r="K585" t="n">
        <v>0</v>
      </c>
      <c r="L585" t="n">
        <v>0</v>
      </c>
      <c r="M585" t="n">
        <v>0</v>
      </c>
      <c r="N585" t="n">
        <v>0</v>
      </c>
      <c r="O585" t="n">
        <v>0</v>
      </c>
      <c r="P585" t="n">
        <v>0</v>
      </c>
      <c r="Q585" t="n">
        <v>0</v>
      </c>
      <c r="R585" s="2" t="inlineStr"/>
    </row>
    <row r="586" ht="15" customHeight="1">
      <c r="A586" t="inlineStr">
        <is>
          <t>A 28501-2020</t>
        </is>
      </c>
      <c r="B586" s="1" t="n">
        <v>43999</v>
      </c>
      <c r="C586" s="1" t="n">
        <v>45807</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28505-2020</t>
        </is>
      </c>
      <c r="B587" s="1" t="n">
        <v>43999</v>
      </c>
      <c r="C587" s="1" t="n">
        <v>45807</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28574-2020</t>
        </is>
      </c>
      <c r="B588" s="1" t="n">
        <v>43999</v>
      </c>
      <c r="C588" s="1" t="n">
        <v>45807</v>
      </c>
      <c r="D588" t="inlineStr">
        <is>
          <t>VÄSTERBOTTENS LÄN</t>
        </is>
      </c>
      <c r="E588" t="inlineStr">
        <is>
          <t>SKELLEFTEÅ</t>
        </is>
      </c>
      <c r="F588" t="inlineStr">
        <is>
          <t>Holmen skog AB</t>
        </is>
      </c>
      <c r="G588" t="n">
        <v>19.4</v>
      </c>
      <c r="H588" t="n">
        <v>0</v>
      </c>
      <c r="I588" t="n">
        <v>0</v>
      </c>
      <c r="J588" t="n">
        <v>0</v>
      </c>
      <c r="K588" t="n">
        <v>0</v>
      </c>
      <c r="L588" t="n">
        <v>0</v>
      </c>
      <c r="M588" t="n">
        <v>0</v>
      </c>
      <c r="N588" t="n">
        <v>0</v>
      </c>
      <c r="O588" t="n">
        <v>0</v>
      </c>
      <c r="P588" t="n">
        <v>0</v>
      </c>
      <c r="Q588" t="n">
        <v>0</v>
      </c>
      <c r="R588" s="2" t="inlineStr"/>
    </row>
    <row r="589" ht="15" customHeight="1">
      <c r="A589" t="inlineStr">
        <is>
          <t>A 28986-2020</t>
        </is>
      </c>
      <c r="B589" s="1" t="n">
        <v>44000</v>
      </c>
      <c r="C589" s="1" t="n">
        <v>45807</v>
      </c>
      <c r="D589" t="inlineStr">
        <is>
          <t>VÄSTERBOTTENS LÄN</t>
        </is>
      </c>
      <c r="E589" t="inlineStr">
        <is>
          <t>SKELLEFTEÅ</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28985-2020</t>
        </is>
      </c>
      <c r="B590" s="1" t="n">
        <v>44000</v>
      </c>
      <c r="C590" s="1" t="n">
        <v>45807</v>
      </c>
      <c r="D590" t="inlineStr">
        <is>
          <t>VÄSTERBOTTENS LÄN</t>
        </is>
      </c>
      <c r="E590" t="inlineStr">
        <is>
          <t>SKELLEFTEÅ</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29134-2020</t>
        </is>
      </c>
      <c r="B591" s="1" t="n">
        <v>44004</v>
      </c>
      <c r="C591" s="1" t="n">
        <v>45807</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29595-2020</t>
        </is>
      </c>
      <c r="B592" s="1" t="n">
        <v>44004</v>
      </c>
      <c r="C592" s="1" t="n">
        <v>45807</v>
      </c>
      <c r="D592" t="inlineStr">
        <is>
          <t>VÄSTERBOTTENS LÄN</t>
        </is>
      </c>
      <c r="E592" t="inlineStr">
        <is>
          <t>SKELLEFTEÅ</t>
        </is>
      </c>
      <c r="G592" t="n">
        <v>4.3</v>
      </c>
      <c r="H592" t="n">
        <v>0</v>
      </c>
      <c r="I592" t="n">
        <v>0</v>
      </c>
      <c r="J592" t="n">
        <v>0</v>
      </c>
      <c r="K592" t="n">
        <v>0</v>
      </c>
      <c r="L592" t="n">
        <v>0</v>
      </c>
      <c r="M592" t="n">
        <v>0</v>
      </c>
      <c r="N592" t="n">
        <v>0</v>
      </c>
      <c r="O592" t="n">
        <v>0</v>
      </c>
      <c r="P592" t="n">
        <v>0</v>
      </c>
      <c r="Q592" t="n">
        <v>0</v>
      </c>
      <c r="R592" s="2" t="inlineStr"/>
    </row>
    <row r="593" ht="15" customHeight="1">
      <c r="A593" t="inlineStr">
        <is>
          <t>A 29542-2020</t>
        </is>
      </c>
      <c r="B593" s="1" t="n">
        <v>44005</v>
      </c>
      <c r="C593" s="1" t="n">
        <v>45807</v>
      </c>
      <c r="D593" t="inlineStr">
        <is>
          <t>VÄSTERBOTTENS LÄN</t>
        </is>
      </c>
      <c r="E593" t="inlineStr">
        <is>
          <t>SKELLEFTEÅ</t>
        </is>
      </c>
      <c r="G593" t="n">
        <v>2.7</v>
      </c>
      <c r="H593" t="n">
        <v>0</v>
      </c>
      <c r="I593" t="n">
        <v>0</v>
      </c>
      <c r="J593" t="n">
        <v>0</v>
      </c>
      <c r="K593" t="n">
        <v>0</v>
      </c>
      <c r="L593" t="n">
        <v>0</v>
      </c>
      <c r="M593" t="n">
        <v>0</v>
      </c>
      <c r="N593" t="n">
        <v>0</v>
      </c>
      <c r="O593" t="n">
        <v>0</v>
      </c>
      <c r="P593" t="n">
        <v>0</v>
      </c>
      <c r="Q593" t="n">
        <v>0</v>
      </c>
      <c r="R593" s="2" t="inlineStr"/>
    </row>
    <row r="594" ht="15" customHeight="1">
      <c r="A594" t="inlineStr">
        <is>
          <t>A 29832-2020</t>
        </is>
      </c>
      <c r="B594" s="1" t="n">
        <v>44005</v>
      </c>
      <c r="C594" s="1" t="n">
        <v>45807</v>
      </c>
      <c r="D594" t="inlineStr">
        <is>
          <t>VÄSTERBOTTENS LÄN</t>
        </is>
      </c>
      <c r="E594" t="inlineStr">
        <is>
          <t>SKELLEFTEÅ</t>
        </is>
      </c>
      <c r="G594" t="n">
        <v>6.3</v>
      </c>
      <c r="H594" t="n">
        <v>0</v>
      </c>
      <c r="I594" t="n">
        <v>0</v>
      </c>
      <c r="J594" t="n">
        <v>0</v>
      </c>
      <c r="K594" t="n">
        <v>0</v>
      </c>
      <c r="L594" t="n">
        <v>0</v>
      </c>
      <c r="M594" t="n">
        <v>0</v>
      </c>
      <c r="N594" t="n">
        <v>0</v>
      </c>
      <c r="O594" t="n">
        <v>0</v>
      </c>
      <c r="P594" t="n">
        <v>0</v>
      </c>
      <c r="Q594" t="n">
        <v>0</v>
      </c>
      <c r="R594" s="2" t="inlineStr"/>
    </row>
    <row r="595" ht="15" customHeight="1">
      <c r="A595" t="inlineStr">
        <is>
          <t>A 29850-2020</t>
        </is>
      </c>
      <c r="B595" s="1" t="n">
        <v>44005</v>
      </c>
      <c r="C595" s="1" t="n">
        <v>45807</v>
      </c>
      <c r="D595" t="inlineStr">
        <is>
          <t>VÄSTERBOTTENS LÄN</t>
        </is>
      </c>
      <c r="E595" t="inlineStr">
        <is>
          <t>SKELLEFTEÅ</t>
        </is>
      </c>
      <c r="G595" t="n">
        <v>2.8</v>
      </c>
      <c r="H595" t="n">
        <v>0</v>
      </c>
      <c r="I595" t="n">
        <v>0</v>
      </c>
      <c r="J595" t="n">
        <v>0</v>
      </c>
      <c r="K595" t="n">
        <v>0</v>
      </c>
      <c r="L595" t="n">
        <v>0</v>
      </c>
      <c r="M595" t="n">
        <v>0</v>
      </c>
      <c r="N595" t="n">
        <v>0</v>
      </c>
      <c r="O595" t="n">
        <v>0</v>
      </c>
      <c r="P595" t="n">
        <v>0</v>
      </c>
      <c r="Q595" t="n">
        <v>0</v>
      </c>
      <c r="R595" s="2" t="inlineStr"/>
    </row>
    <row r="596" ht="15" customHeight="1">
      <c r="A596" t="inlineStr">
        <is>
          <t>A 29842-2020</t>
        </is>
      </c>
      <c r="B596" s="1" t="n">
        <v>44005</v>
      </c>
      <c r="C596" s="1" t="n">
        <v>45807</v>
      </c>
      <c r="D596" t="inlineStr">
        <is>
          <t>VÄSTERBOTTENS LÄN</t>
        </is>
      </c>
      <c r="E596" t="inlineStr">
        <is>
          <t>SKELLEFTEÅ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29982-2020</t>
        </is>
      </c>
      <c r="B597" s="1" t="n">
        <v>44006</v>
      </c>
      <c r="C597" s="1" t="n">
        <v>45807</v>
      </c>
      <c r="D597" t="inlineStr">
        <is>
          <t>VÄSTERBOTTENS LÄN</t>
        </is>
      </c>
      <c r="E597" t="inlineStr">
        <is>
          <t>SKELLEFTEÅ</t>
        </is>
      </c>
      <c r="G597" t="n">
        <v>1</v>
      </c>
      <c r="H597" t="n">
        <v>0</v>
      </c>
      <c r="I597" t="n">
        <v>0</v>
      </c>
      <c r="J597" t="n">
        <v>0</v>
      </c>
      <c r="K597" t="n">
        <v>0</v>
      </c>
      <c r="L597" t="n">
        <v>0</v>
      </c>
      <c r="M597" t="n">
        <v>0</v>
      </c>
      <c r="N597" t="n">
        <v>0</v>
      </c>
      <c r="O597" t="n">
        <v>0</v>
      </c>
      <c r="P597" t="n">
        <v>0</v>
      </c>
      <c r="Q597" t="n">
        <v>0</v>
      </c>
      <c r="R597" s="2" t="inlineStr"/>
    </row>
    <row r="598" ht="15" customHeight="1">
      <c r="A598" t="inlineStr">
        <is>
          <t>A 30075-2020</t>
        </is>
      </c>
      <c r="B598" s="1" t="n">
        <v>44006</v>
      </c>
      <c r="C598" s="1" t="n">
        <v>45807</v>
      </c>
      <c r="D598" t="inlineStr">
        <is>
          <t>VÄSTERBOTTENS LÄN</t>
        </is>
      </c>
      <c r="E598" t="inlineStr">
        <is>
          <t>SKELLEFTEÅ</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30074-2020</t>
        </is>
      </c>
      <c r="B599" s="1" t="n">
        <v>44006</v>
      </c>
      <c r="C599" s="1" t="n">
        <v>45807</v>
      </c>
      <c r="D599" t="inlineStr">
        <is>
          <t>VÄSTERBOTTENS LÄN</t>
        </is>
      </c>
      <c r="E599" t="inlineStr">
        <is>
          <t>SKELLEFTEÅ</t>
        </is>
      </c>
      <c r="F599" t="inlineStr">
        <is>
          <t>Holmen skog AB</t>
        </is>
      </c>
      <c r="G599" t="n">
        <v>5.5</v>
      </c>
      <c r="H599" t="n">
        <v>0</v>
      </c>
      <c r="I599" t="n">
        <v>0</v>
      </c>
      <c r="J599" t="n">
        <v>0</v>
      </c>
      <c r="K599" t="n">
        <v>0</v>
      </c>
      <c r="L599" t="n">
        <v>0</v>
      </c>
      <c r="M599" t="n">
        <v>0</v>
      </c>
      <c r="N599" t="n">
        <v>0</v>
      </c>
      <c r="O599" t="n">
        <v>0</v>
      </c>
      <c r="P599" t="n">
        <v>0</v>
      </c>
      <c r="Q599" t="n">
        <v>0</v>
      </c>
      <c r="R599" s="2" t="inlineStr"/>
    </row>
    <row r="600" ht="15" customHeight="1">
      <c r="A600" t="inlineStr">
        <is>
          <t>A 30408-2020</t>
        </is>
      </c>
      <c r="B600" s="1" t="n">
        <v>44007</v>
      </c>
      <c r="C600" s="1" t="n">
        <v>45807</v>
      </c>
      <c r="D600" t="inlineStr">
        <is>
          <t>VÄSTERBOTTENS LÄN</t>
        </is>
      </c>
      <c r="E600" t="inlineStr">
        <is>
          <t>SKELLEFTEÅ</t>
        </is>
      </c>
      <c r="G600" t="n">
        <v>24.3</v>
      </c>
      <c r="H600" t="n">
        <v>0</v>
      </c>
      <c r="I600" t="n">
        <v>0</v>
      </c>
      <c r="J600" t="n">
        <v>0</v>
      </c>
      <c r="K600" t="n">
        <v>0</v>
      </c>
      <c r="L600" t="n">
        <v>0</v>
      </c>
      <c r="M600" t="n">
        <v>0</v>
      </c>
      <c r="N600" t="n">
        <v>0</v>
      </c>
      <c r="O600" t="n">
        <v>0</v>
      </c>
      <c r="P600" t="n">
        <v>0</v>
      </c>
      <c r="Q600" t="n">
        <v>0</v>
      </c>
      <c r="R600" s="2" t="inlineStr"/>
    </row>
    <row r="601" ht="15" customHeight="1">
      <c r="A601" t="inlineStr">
        <is>
          <t>A 30712-2020</t>
        </is>
      </c>
      <c r="B601" s="1" t="n">
        <v>44008</v>
      </c>
      <c r="C601" s="1" t="n">
        <v>45807</v>
      </c>
      <c r="D601" t="inlineStr">
        <is>
          <t>VÄSTERBOTTENS LÄN</t>
        </is>
      </c>
      <c r="E601" t="inlineStr">
        <is>
          <t>SKELLEFTEÅ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30653-2020</t>
        </is>
      </c>
      <c r="B602" s="1" t="n">
        <v>44008</v>
      </c>
      <c r="C602" s="1" t="n">
        <v>45807</v>
      </c>
      <c r="D602" t="inlineStr">
        <is>
          <t>VÄSTERBOTTENS LÄN</t>
        </is>
      </c>
      <c r="E602" t="inlineStr">
        <is>
          <t>SKELLEFTEÅ</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30709-2020</t>
        </is>
      </c>
      <c r="B603" s="1" t="n">
        <v>44008</v>
      </c>
      <c r="C603" s="1" t="n">
        <v>45807</v>
      </c>
      <c r="D603" t="inlineStr">
        <is>
          <t>VÄSTERBOTTENS LÄN</t>
        </is>
      </c>
      <c r="E603" t="inlineStr">
        <is>
          <t>SKELLEFTEÅ</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30728-2020</t>
        </is>
      </c>
      <c r="B604" s="1" t="n">
        <v>44008</v>
      </c>
      <c r="C604" s="1" t="n">
        <v>45807</v>
      </c>
      <c r="D604" t="inlineStr">
        <is>
          <t>VÄSTERBOTTENS LÄN</t>
        </is>
      </c>
      <c r="E604" t="inlineStr">
        <is>
          <t>SKELLEFTEÅ</t>
        </is>
      </c>
      <c r="F604" t="inlineStr">
        <is>
          <t>Holmen skog AB</t>
        </is>
      </c>
      <c r="G604" t="n">
        <v>10.7</v>
      </c>
      <c r="H604" t="n">
        <v>0</v>
      </c>
      <c r="I604" t="n">
        <v>0</v>
      </c>
      <c r="J604" t="n">
        <v>0</v>
      </c>
      <c r="K604" t="n">
        <v>0</v>
      </c>
      <c r="L604" t="n">
        <v>0</v>
      </c>
      <c r="M604" t="n">
        <v>0</v>
      </c>
      <c r="N604" t="n">
        <v>0</v>
      </c>
      <c r="O604" t="n">
        <v>0</v>
      </c>
      <c r="P604" t="n">
        <v>0</v>
      </c>
      <c r="Q604" t="n">
        <v>0</v>
      </c>
      <c r="R604" s="2" t="inlineStr"/>
    </row>
    <row r="605" ht="15" customHeight="1">
      <c r="A605" t="inlineStr">
        <is>
          <t>A 30841-2020</t>
        </is>
      </c>
      <c r="B605" s="1" t="n">
        <v>44008</v>
      </c>
      <c r="C605" s="1" t="n">
        <v>45807</v>
      </c>
      <c r="D605" t="inlineStr">
        <is>
          <t>VÄSTERBOTTENS LÄN</t>
        </is>
      </c>
      <c r="E605" t="inlineStr">
        <is>
          <t>SKELLEFTEÅ</t>
        </is>
      </c>
      <c r="G605" t="n">
        <v>2.3</v>
      </c>
      <c r="H605" t="n">
        <v>0</v>
      </c>
      <c r="I605" t="n">
        <v>0</v>
      </c>
      <c r="J605" t="n">
        <v>0</v>
      </c>
      <c r="K605" t="n">
        <v>0</v>
      </c>
      <c r="L605" t="n">
        <v>0</v>
      </c>
      <c r="M605" t="n">
        <v>0</v>
      </c>
      <c r="N605" t="n">
        <v>0</v>
      </c>
      <c r="O605" t="n">
        <v>0</v>
      </c>
      <c r="P605" t="n">
        <v>0</v>
      </c>
      <c r="Q605" t="n">
        <v>0</v>
      </c>
      <c r="R605" s="2" t="inlineStr"/>
    </row>
    <row r="606" ht="15" customHeight="1">
      <c r="A606" t="inlineStr">
        <is>
          <t>A 30877-2020</t>
        </is>
      </c>
      <c r="B606" s="1" t="n">
        <v>44011</v>
      </c>
      <c r="C606" s="1" t="n">
        <v>45807</v>
      </c>
      <c r="D606" t="inlineStr">
        <is>
          <t>VÄSTERBOTTENS LÄN</t>
        </is>
      </c>
      <c r="E606" t="inlineStr">
        <is>
          <t>SKELLEFTEÅ</t>
        </is>
      </c>
      <c r="F606" t="inlineStr">
        <is>
          <t>Kyrkan</t>
        </is>
      </c>
      <c r="G606" t="n">
        <v>13.7</v>
      </c>
      <c r="H606" t="n">
        <v>0</v>
      </c>
      <c r="I606" t="n">
        <v>0</v>
      </c>
      <c r="J606" t="n">
        <v>0</v>
      </c>
      <c r="K606" t="n">
        <v>0</v>
      </c>
      <c r="L606" t="n">
        <v>0</v>
      </c>
      <c r="M606" t="n">
        <v>0</v>
      </c>
      <c r="N606" t="n">
        <v>0</v>
      </c>
      <c r="O606" t="n">
        <v>0</v>
      </c>
      <c r="P606" t="n">
        <v>0</v>
      </c>
      <c r="Q606" t="n">
        <v>0</v>
      </c>
      <c r="R606" s="2" t="inlineStr"/>
    </row>
    <row r="607" ht="15" customHeight="1">
      <c r="A607" t="inlineStr">
        <is>
          <t>A 30949-2020</t>
        </is>
      </c>
      <c r="B607" s="1" t="n">
        <v>44011</v>
      </c>
      <c r="C607" s="1" t="n">
        <v>45807</v>
      </c>
      <c r="D607" t="inlineStr">
        <is>
          <t>VÄSTERBOTTENS LÄN</t>
        </is>
      </c>
      <c r="E607" t="inlineStr">
        <is>
          <t>SKELLEFTEÅ</t>
        </is>
      </c>
      <c r="F607" t="inlineStr">
        <is>
          <t>Kommuner</t>
        </is>
      </c>
      <c r="G607" t="n">
        <v>4.1</v>
      </c>
      <c r="H607" t="n">
        <v>0</v>
      </c>
      <c r="I607" t="n">
        <v>0</v>
      </c>
      <c r="J607" t="n">
        <v>0</v>
      </c>
      <c r="K607" t="n">
        <v>0</v>
      </c>
      <c r="L607" t="n">
        <v>0</v>
      </c>
      <c r="M607" t="n">
        <v>0</v>
      </c>
      <c r="N607" t="n">
        <v>0</v>
      </c>
      <c r="O607" t="n">
        <v>0</v>
      </c>
      <c r="P607" t="n">
        <v>0</v>
      </c>
      <c r="Q607" t="n">
        <v>0</v>
      </c>
      <c r="R607" s="2" t="inlineStr"/>
    </row>
    <row r="608" ht="15" customHeight="1">
      <c r="A608" t="inlineStr">
        <is>
          <t>A 31060-2020</t>
        </is>
      </c>
      <c r="B608" s="1" t="n">
        <v>44012</v>
      </c>
      <c r="C608" s="1" t="n">
        <v>45807</v>
      </c>
      <c r="D608" t="inlineStr">
        <is>
          <t>VÄSTERBOTTENS LÄN</t>
        </is>
      </c>
      <c r="E608" t="inlineStr">
        <is>
          <t>SKELLEFTEÅ</t>
        </is>
      </c>
      <c r="G608" t="n">
        <v>3.3</v>
      </c>
      <c r="H608" t="n">
        <v>0</v>
      </c>
      <c r="I608" t="n">
        <v>0</v>
      </c>
      <c r="J608" t="n">
        <v>0</v>
      </c>
      <c r="K608" t="n">
        <v>0</v>
      </c>
      <c r="L608" t="n">
        <v>0</v>
      </c>
      <c r="M608" t="n">
        <v>0</v>
      </c>
      <c r="N608" t="n">
        <v>0</v>
      </c>
      <c r="O608" t="n">
        <v>0</v>
      </c>
      <c r="P608" t="n">
        <v>0</v>
      </c>
      <c r="Q608" t="n">
        <v>0</v>
      </c>
      <c r="R608" s="2" t="inlineStr"/>
    </row>
    <row r="609" ht="15" customHeight="1">
      <c r="A609" t="inlineStr">
        <is>
          <t>A 31434-2020</t>
        </is>
      </c>
      <c r="B609" s="1" t="n">
        <v>44012</v>
      </c>
      <c r="C609" s="1" t="n">
        <v>45807</v>
      </c>
      <c r="D609" t="inlineStr">
        <is>
          <t>VÄSTERBOTTENS LÄN</t>
        </is>
      </c>
      <c r="E609" t="inlineStr">
        <is>
          <t>SKELLEFTEÅ</t>
        </is>
      </c>
      <c r="G609" t="n">
        <v>2.6</v>
      </c>
      <c r="H609" t="n">
        <v>0</v>
      </c>
      <c r="I609" t="n">
        <v>0</v>
      </c>
      <c r="J609" t="n">
        <v>0</v>
      </c>
      <c r="K609" t="n">
        <v>0</v>
      </c>
      <c r="L609" t="n">
        <v>0</v>
      </c>
      <c r="M609" t="n">
        <v>0</v>
      </c>
      <c r="N609" t="n">
        <v>0</v>
      </c>
      <c r="O609" t="n">
        <v>0</v>
      </c>
      <c r="P609" t="n">
        <v>0</v>
      </c>
      <c r="Q609" t="n">
        <v>0</v>
      </c>
      <c r="R609" s="2" t="inlineStr"/>
    </row>
    <row r="610" ht="15" customHeight="1">
      <c r="A610" t="inlineStr">
        <is>
          <t>A 31331-2020</t>
        </is>
      </c>
      <c r="B610" s="1" t="n">
        <v>44012</v>
      </c>
      <c r="C610" s="1" t="n">
        <v>45807</v>
      </c>
      <c r="D610" t="inlineStr">
        <is>
          <t>VÄSTERBOTTENS LÄN</t>
        </is>
      </c>
      <c r="E610" t="inlineStr">
        <is>
          <t>SKELLEFTEÅ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31490-2020</t>
        </is>
      </c>
      <c r="B611" s="1" t="n">
        <v>44013</v>
      </c>
      <c r="C611" s="1" t="n">
        <v>45807</v>
      </c>
      <c r="D611" t="inlineStr">
        <is>
          <t>VÄSTERBOTTENS LÄN</t>
        </is>
      </c>
      <c r="E611" t="inlineStr">
        <is>
          <t>SKELLEFTEÅ</t>
        </is>
      </c>
      <c r="F611" t="inlineStr">
        <is>
          <t>Kommuner</t>
        </is>
      </c>
      <c r="G611" t="n">
        <v>12</v>
      </c>
      <c r="H611" t="n">
        <v>0</v>
      </c>
      <c r="I611" t="n">
        <v>0</v>
      </c>
      <c r="J611" t="n">
        <v>0</v>
      </c>
      <c r="K611" t="n">
        <v>0</v>
      </c>
      <c r="L611" t="n">
        <v>0</v>
      </c>
      <c r="M611" t="n">
        <v>0</v>
      </c>
      <c r="N611" t="n">
        <v>0</v>
      </c>
      <c r="O611" t="n">
        <v>0</v>
      </c>
      <c r="P611" t="n">
        <v>0</v>
      </c>
      <c r="Q611" t="n">
        <v>0</v>
      </c>
      <c r="R611" s="2" t="inlineStr"/>
    </row>
    <row r="612" ht="15" customHeight="1">
      <c r="A612" t="inlineStr">
        <is>
          <t>A 31515-2020</t>
        </is>
      </c>
      <c r="B612" s="1" t="n">
        <v>44013</v>
      </c>
      <c r="C612" s="1" t="n">
        <v>45807</v>
      </c>
      <c r="D612" t="inlineStr">
        <is>
          <t>VÄSTERBOTTENS LÄN</t>
        </is>
      </c>
      <c r="E612" t="inlineStr">
        <is>
          <t>SKELLEFTEÅ</t>
        </is>
      </c>
      <c r="F612" t="inlineStr">
        <is>
          <t>Holmen skog AB</t>
        </is>
      </c>
      <c r="G612" t="n">
        <v>0.8</v>
      </c>
      <c r="H612" t="n">
        <v>0</v>
      </c>
      <c r="I612" t="n">
        <v>0</v>
      </c>
      <c r="J612" t="n">
        <v>0</v>
      </c>
      <c r="K612" t="n">
        <v>0</v>
      </c>
      <c r="L612" t="n">
        <v>0</v>
      </c>
      <c r="M612" t="n">
        <v>0</v>
      </c>
      <c r="N612" t="n">
        <v>0</v>
      </c>
      <c r="O612" t="n">
        <v>0</v>
      </c>
      <c r="P612" t="n">
        <v>0</v>
      </c>
      <c r="Q612" t="n">
        <v>0</v>
      </c>
      <c r="R612" s="2" t="inlineStr"/>
    </row>
    <row r="613" ht="15" customHeight="1">
      <c r="A613" t="inlineStr">
        <is>
          <t>A 31519-2020</t>
        </is>
      </c>
      <c r="B613" s="1" t="n">
        <v>44013</v>
      </c>
      <c r="C613" s="1" t="n">
        <v>45807</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31501-2020</t>
        </is>
      </c>
      <c r="B614" s="1" t="n">
        <v>44013</v>
      </c>
      <c r="C614" s="1" t="n">
        <v>45807</v>
      </c>
      <c r="D614" t="inlineStr">
        <is>
          <t>VÄSTERBOTTENS LÄN</t>
        </is>
      </c>
      <c r="E614" t="inlineStr">
        <is>
          <t>SKELLEFTEÅ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31736-2020</t>
        </is>
      </c>
      <c r="B615" s="1" t="n">
        <v>44013</v>
      </c>
      <c r="C615" s="1" t="n">
        <v>45807</v>
      </c>
      <c r="D615" t="inlineStr">
        <is>
          <t>VÄSTERBOTTENS LÄN</t>
        </is>
      </c>
      <c r="E615" t="inlineStr">
        <is>
          <t>SKELLEFTEÅ</t>
        </is>
      </c>
      <c r="G615" t="n">
        <v>4</v>
      </c>
      <c r="H615" t="n">
        <v>0</v>
      </c>
      <c r="I615" t="n">
        <v>0</v>
      </c>
      <c r="J615" t="n">
        <v>0</v>
      </c>
      <c r="K615" t="n">
        <v>0</v>
      </c>
      <c r="L615" t="n">
        <v>0</v>
      </c>
      <c r="M615" t="n">
        <v>0</v>
      </c>
      <c r="N615" t="n">
        <v>0</v>
      </c>
      <c r="O615" t="n">
        <v>0</v>
      </c>
      <c r="P615" t="n">
        <v>0</v>
      </c>
      <c r="Q615" t="n">
        <v>0</v>
      </c>
      <c r="R615" s="2" t="inlineStr"/>
    </row>
    <row r="616" ht="15" customHeight="1">
      <c r="A616" t="inlineStr">
        <is>
          <t>A 31734-2020</t>
        </is>
      </c>
      <c r="B616" s="1" t="n">
        <v>44013</v>
      </c>
      <c r="C616" s="1" t="n">
        <v>45807</v>
      </c>
      <c r="D616" t="inlineStr">
        <is>
          <t>VÄSTERBOTTENS LÄN</t>
        </is>
      </c>
      <c r="E616" t="inlineStr">
        <is>
          <t>SKELLEFTEÅ</t>
        </is>
      </c>
      <c r="G616" t="n">
        <v>1.1</v>
      </c>
      <c r="H616" t="n">
        <v>0</v>
      </c>
      <c r="I616" t="n">
        <v>0</v>
      </c>
      <c r="J616" t="n">
        <v>0</v>
      </c>
      <c r="K616" t="n">
        <v>0</v>
      </c>
      <c r="L616" t="n">
        <v>0</v>
      </c>
      <c r="M616" t="n">
        <v>0</v>
      </c>
      <c r="N616" t="n">
        <v>0</v>
      </c>
      <c r="O616" t="n">
        <v>0</v>
      </c>
      <c r="P616" t="n">
        <v>0</v>
      </c>
      <c r="Q616" t="n">
        <v>0</v>
      </c>
      <c r="R616" s="2" t="inlineStr"/>
    </row>
    <row r="617" ht="15" customHeight="1">
      <c r="A617" t="inlineStr">
        <is>
          <t>A 32173-2020</t>
        </is>
      </c>
      <c r="B617" s="1" t="n">
        <v>44015</v>
      </c>
      <c r="C617" s="1" t="n">
        <v>45807</v>
      </c>
      <c r="D617" t="inlineStr">
        <is>
          <t>VÄSTERBOTTENS LÄN</t>
        </is>
      </c>
      <c r="E617" t="inlineStr">
        <is>
          <t>SKELLEFTEÅ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32511-2020</t>
        </is>
      </c>
      <c r="B618" s="1" t="n">
        <v>44017</v>
      </c>
      <c r="C618" s="1" t="n">
        <v>45807</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32549-2020</t>
        </is>
      </c>
      <c r="B619" s="1" t="n">
        <v>44017</v>
      </c>
      <c r="C619" s="1" t="n">
        <v>45807</v>
      </c>
      <c r="D619" t="inlineStr">
        <is>
          <t>VÄSTERBOTTENS LÄN</t>
        </is>
      </c>
      <c r="E619" t="inlineStr">
        <is>
          <t>SKELLEFTEÅ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32526-2020</t>
        </is>
      </c>
      <c r="B620" s="1" t="n">
        <v>44017</v>
      </c>
      <c r="C620" s="1" t="n">
        <v>45807</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32530-2020</t>
        </is>
      </c>
      <c r="B621" s="1" t="n">
        <v>44017</v>
      </c>
      <c r="C621" s="1" t="n">
        <v>45807</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32885-2020</t>
        </is>
      </c>
      <c r="B622" s="1" t="n">
        <v>44020</v>
      </c>
      <c r="C622" s="1" t="n">
        <v>45807</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32864-2020</t>
        </is>
      </c>
      <c r="B623" s="1" t="n">
        <v>44020</v>
      </c>
      <c r="C623" s="1" t="n">
        <v>45807</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33086-2020</t>
        </is>
      </c>
      <c r="B624" s="1" t="n">
        <v>44021</v>
      </c>
      <c r="C624" s="1" t="n">
        <v>45807</v>
      </c>
      <c r="D624" t="inlineStr">
        <is>
          <t>VÄSTERBOTTENS LÄN</t>
        </is>
      </c>
      <c r="E624" t="inlineStr">
        <is>
          <t>SKELLEFTEÅ</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33327-2020</t>
        </is>
      </c>
      <c r="B625" s="1" t="n">
        <v>44022</v>
      </c>
      <c r="C625" s="1" t="n">
        <v>45807</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33322-2020</t>
        </is>
      </c>
      <c r="B626" s="1" t="n">
        <v>44022</v>
      </c>
      <c r="C626" s="1" t="n">
        <v>45807</v>
      </c>
      <c r="D626" t="inlineStr">
        <is>
          <t>VÄSTERBOTTENS LÄN</t>
        </is>
      </c>
      <c r="E626" t="inlineStr">
        <is>
          <t>SKELLEFTEÅ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33424-2020</t>
        </is>
      </c>
      <c r="B627" s="1" t="n">
        <v>44022</v>
      </c>
      <c r="C627" s="1" t="n">
        <v>45807</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33791-2020</t>
        </is>
      </c>
      <c r="B628" s="1" t="n">
        <v>44026</v>
      </c>
      <c r="C628" s="1" t="n">
        <v>45807</v>
      </c>
      <c r="D628" t="inlineStr">
        <is>
          <t>VÄSTERBOTTENS LÄN</t>
        </is>
      </c>
      <c r="E628" t="inlineStr">
        <is>
          <t>SKELLEFTEÅ</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34235-2020</t>
        </is>
      </c>
      <c r="B629" s="1" t="n">
        <v>44027</v>
      </c>
      <c r="C629" s="1" t="n">
        <v>45807</v>
      </c>
      <c r="D629" t="inlineStr">
        <is>
          <t>VÄSTERBOTTENS LÄN</t>
        </is>
      </c>
      <c r="E629" t="inlineStr">
        <is>
          <t>SKELLEFTEÅ</t>
        </is>
      </c>
      <c r="G629" t="n">
        <v>3.3</v>
      </c>
      <c r="H629" t="n">
        <v>0</v>
      </c>
      <c r="I629" t="n">
        <v>0</v>
      </c>
      <c r="J629" t="n">
        <v>0</v>
      </c>
      <c r="K629" t="n">
        <v>0</v>
      </c>
      <c r="L629" t="n">
        <v>0</v>
      </c>
      <c r="M629" t="n">
        <v>0</v>
      </c>
      <c r="N629" t="n">
        <v>0</v>
      </c>
      <c r="O629" t="n">
        <v>0</v>
      </c>
      <c r="P629" t="n">
        <v>0</v>
      </c>
      <c r="Q629" t="n">
        <v>0</v>
      </c>
      <c r="R629" s="2" t="inlineStr"/>
    </row>
    <row r="630" ht="15" customHeight="1">
      <c r="A630" t="inlineStr">
        <is>
          <t>A 34173-2020</t>
        </is>
      </c>
      <c r="B630" s="1" t="n">
        <v>44029</v>
      </c>
      <c r="C630" s="1" t="n">
        <v>45807</v>
      </c>
      <c r="D630" t="inlineStr">
        <is>
          <t>VÄSTERBOTTENS LÄN</t>
        </is>
      </c>
      <c r="E630" t="inlineStr">
        <is>
          <t>SKELLEFTEÅ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34155-2020</t>
        </is>
      </c>
      <c r="B631" s="1" t="n">
        <v>44029</v>
      </c>
      <c r="C631" s="1" t="n">
        <v>45807</v>
      </c>
      <c r="D631" t="inlineStr">
        <is>
          <t>VÄSTERBOTTENS LÄN</t>
        </is>
      </c>
      <c r="E631" t="inlineStr">
        <is>
          <t>SKELLEFTEÅ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34169-2020</t>
        </is>
      </c>
      <c r="B632" s="1" t="n">
        <v>44029</v>
      </c>
      <c r="C632" s="1" t="n">
        <v>45807</v>
      </c>
      <c r="D632" t="inlineStr">
        <is>
          <t>VÄSTERBOTTENS LÄN</t>
        </is>
      </c>
      <c r="E632" t="inlineStr">
        <is>
          <t>SKELLEFTEÅ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34177-2020</t>
        </is>
      </c>
      <c r="B633" s="1" t="n">
        <v>44029</v>
      </c>
      <c r="C633" s="1" t="n">
        <v>45807</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34142-2020</t>
        </is>
      </c>
      <c r="B634" s="1" t="n">
        <v>44029</v>
      </c>
      <c r="C634" s="1" t="n">
        <v>45807</v>
      </c>
      <c r="D634" t="inlineStr">
        <is>
          <t>VÄSTERBOTTENS LÄN</t>
        </is>
      </c>
      <c r="E634" t="inlineStr">
        <is>
          <t>SKELLEFTEÅ</t>
        </is>
      </c>
      <c r="G634" t="n">
        <v>1.1</v>
      </c>
      <c r="H634" t="n">
        <v>0</v>
      </c>
      <c r="I634" t="n">
        <v>0</v>
      </c>
      <c r="J634" t="n">
        <v>0</v>
      </c>
      <c r="K634" t="n">
        <v>0</v>
      </c>
      <c r="L634" t="n">
        <v>0</v>
      </c>
      <c r="M634" t="n">
        <v>0</v>
      </c>
      <c r="N634" t="n">
        <v>0</v>
      </c>
      <c r="O634" t="n">
        <v>0</v>
      </c>
      <c r="P634" t="n">
        <v>0</v>
      </c>
      <c r="Q634" t="n">
        <v>0</v>
      </c>
      <c r="R634" s="2" t="inlineStr"/>
    </row>
    <row r="635" ht="15" customHeight="1">
      <c r="A635" t="inlineStr">
        <is>
          <t>A 34351-2020</t>
        </is>
      </c>
      <c r="B635" s="1" t="n">
        <v>44032</v>
      </c>
      <c r="C635" s="1" t="n">
        <v>45807</v>
      </c>
      <c r="D635" t="inlineStr">
        <is>
          <t>VÄSTERBOTTENS LÄN</t>
        </is>
      </c>
      <c r="E635" t="inlineStr">
        <is>
          <t>SKELLEFTEÅ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34517-2020</t>
        </is>
      </c>
      <c r="B636" s="1" t="n">
        <v>44033</v>
      </c>
      <c r="C636" s="1" t="n">
        <v>45807</v>
      </c>
      <c r="D636" t="inlineStr">
        <is>
          <t>VÄSTERBOTTENS LÄN</t>
        </is>
      </c>
      <c r="E636" t="inlineStr">
        <is>
          <t>SKELLEFTEÅ</t>
        </is>
      </c>
      <c r="F636" t="inlineStr">
        <is>
          <t>Holmen skog AB</t>
        </is>
      </c>
      <c r="G636" t="n">
        <v>4.7</v>
      </c>
      <c r="H636" t="n">
        <v>0</v>
      </c>
      <c r="I636" t="n">
        <v>0</v>
      </c>
      <c r="J636" t="n">
        <v>0</v>
      </c>
      <c r="K636" t="n">
        <v>0</v>
      </c>
      <c r="L636" t="n">
        <v>0</v>
      </c>
      <c r="M636" t="n">
        <v>0</v>
      </c>
      <c r="N636" t="n">
        <v>0</v>
      </c>
      <c r="O636" t="n">
        <v>0</v>
      </c>
      <c r="P636" t="n">
        <v>0</v>
      </c>
      <c r="Q636" t="n">
        <v>0</v>
      </c>
      <c r="R636" s="2" t="inlineStr"/>
    </row>
    <row r="637" ht="15" customHeight="1">
      <c r="A637" t="inlineStr">
        <is>
          <t>A 35173-2020</t>
        </is>
      </c>
      <c r="B637" s="1" t="n">
        <v>44040</v>
      </c>
      <c r="C637" s="1" t="n">
        <v>45807</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35285-2020</t>
        </is>
      </c>
      <c r="B638" s="1" t="n">
        <v>44041</v>
      </c>
      <c r="C638" s="1" t="n">
        <v>45807</v>
      </c>
      <c r="D638" t="inlineStr">
        <is>
          <t>VÄSTERBOTTENS LÄN</t>
        </is>
      </c>
      <c r="E638" t="inlineStr">
        <is>
          <t>SKELLEFTEÅ</t>
        </is>
      </c>
      <c r="F638" t="inlineStr">
        <is>
          <t>Holmen skog AB</t>
        </is>
      </c>
      <c r="G638" t="n">
        <v>4.2</v>
      </c>
      <c r="H638" t="n">
        <v>0</v>
      </c>
      <c r="I638" t="n">
        <v>0</v>
      </c>
      <c r="J638" t="n">
        <v>0</v>
      </c>
      <c r="K638" t="n">
        <v>0</v>
      </c>
      <c r="L638" t="n">
        <v>0</v>
      </c>
      <c r="M638" t="n">
        <v>0</v>
      </c>
      <c r="N638" t="n">
        <v>0</v>
      </c>
      <c r="O638" t="n">
        <v>0</v>
      </c>
      <c r="P638" t="n">
        <v>0</v>
      </c>
      <c r="Q638" t="n">
        <v>0</v>
      </c>
      <c r="R638" s="2" t="inlineStr"/>
    </row>
    <row r="639" ht="15" customHeight="1">
      <c r="A639" t="inlineStr">
        <is>
          <t>A 35806-2020</t>
        </is>
      </c>
      <c r="B639" s="1" t="n">
        <v>44046</v>
      </c>
      <c r="C639" s="1" t="n">
        <v>45807</v>
      </c>
      <c r="D639" t="inlineStr">
        <is>
          <t>VÄSTERBOTTENS LÄN</t>
        </is>
      </c>
      <c r="E639" t="inlineStr">
        <is>
          <t>SKELLEFTEÅ</t>
        </is>
      </c>
      <c r="F639" t="inlineStr">
        <is>
          <t>SCA</t>
        </is>
      </c>
      <c r="G639" t="n">
        <v>13.5</v>
      </c>
      <c r="H639" t="n">
        <v>0</v>
      </c>
      <c r="I639" t="n">
        <v>0</v>
      </c>
      <c r="J639" t="n">
        <v>0</v>
      </c>
      <c r="K639" t="n">
        <v>0</v>
      </c>
      <c r="L639" t="n">
        <v>0</v>
      </c>
      <c r="M639" t="n">
        <v>0</v>
      </c>
      <c r="N639" t="n">
        <v>0</v>
      </c>
      <c r="O639" t="n">
        <v>0</v>
      </c>
      <c r="P639" t="n">
        <v>0</v>
      </c>
      <c r="Q639" t="n">
        <v>0</v>
      </c>
      <c r="R639" s="2" t="inlineStr"/>
    </row>
    <row r="640" ht="15" customHeight="1">
      <c r="A640" t="inlineStr">
        <is>
          <t>A 35807-2020</t>
        </is>
      </c>
      <c r="B640" s="1" t="n">
        <v>44046</v>
      </c>
      <c r="C640" s="1" t="n">
        <v>45807</v>
      </c>
      <c r="D640" t="inlineStr">
        <is>
          <t>VÄSTERBOTTENS LÄN</t>
        </is>
      </c>
      <c r="E640" t="inlineStr">
        <is>
          <t>SKELLEFTEÅ</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36401-2020</t>
        </is>
      </c>
      <c r="B641" s="1" t="n">
        <v>44049</v>
      </c>
      <c r="C641" s="1" t="n">
        <v>45807</v>
      </c>
      <c r="D641" t="inlineStr">
        <is>
          <t>VÄSTERBOTTENS LÄN</t>
        </is>
      </c>
      <c r="E641" t="inlineStr">
        <is>
          <t>SKELLEFTEÅ</t>
        </is>
      </c>
      <c r="F641" t="inlineStr">
        <is>
          <t>Holmen skog AB</t>
        </is>
      </c>
      <c r="G641" t="n">
        <v>11.1</v>
      </c>
      <c r="H641" t="n">
        <v>0</v>
      </c>
      <c r="I641" t="n">
        <v>0</v>
      </c>
      <c r="J641" t="n">
        <v>0</v>
      </c>
      <c r="K641" t="n">
        <v>0</v>
      </c>
      <c r="L641" t="n">
        <v>0</v>
      </c>
      <c r="M641" t="n">
        <v>0</v>
      </c>
      <c r="N641" t="n">
        <v>0</v>
      </c>
      <c r="O641" t="n">
        <v>0</v>
      </c>
      <c r="P641" t="n">
        <v>0</v>
      </c>
      <c r="Q641" t="n">
        <v>0</v>
      </c>
      <c r="R641" s="2" t="inlineStr"/>
    </row>
    <row r="642" ht="15" customHeight="1">
      <c r="A642" t="inlineStr">
        <is>
          <t>A 38217-2020</t>
        </is>
      </c>
      <c r="B642" s="1" t="n">
        <v>44050</v>
      </c>
      <c r="C642" s="1" t="n">
        <v>45807</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37384-2020</t>
        </is>
      </c>
      <c r="B643" s="1" t="n">
        <v>44055</v>
      </c>
      <c r="C643" s="1" t="n">
        <v>45807</v>
      </c>
      <c r="D643" t="inlineStr">
        <is>
          <t>VÄSTERBOTTENS LÄN</t>
        </is>
      </c>
      <c r="E643" t="inlineStr">
        <is>
          <t>SKELLEFTEÅ</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37393-2020</t>
        </is>
      </c>
      <c r="B644" s="1" t="n">
        <v>44055</v>
      </c>
      <c r="C644" s="1" t="n">
        <v>45807</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37268-2020</t>
        </is>
      </c>
      <c r="B645" s="1" t="n">
        <v>44055</v>
      </c>
      <c r="C645" s="1" t="n">
        <v>45807</v>
      </c>
      <c r="D645" t="inlineStr">
        <is>
          <t>VÄSTERBOTTENS LÄN</t>
        </is>
      </c>
      <c r="E645" t="inlineStr">
        <is>
          <t>SKELLEFTEÅ</t>
        </is>
      </c>
      <c r="G645" t="n">
        <v>2.2</v>
      </c>
      <c r="H645" t="n">
        <v>0</v>
      </c>
      <c r="I645" t="n">
        <v>0</v>
      </c>
      <c r="J645" t="n">
        <v>0</v>
      </c>
      <c r="K645" t="n">
        <v>0</v>
      </c>
      <c r="L645" t="n">
        <v>0</v>
      </c>
      <c r="M645" t="n">
        <v>0</v>
      </c>
      <c r="N645" t="n">
        <v>0</v>
      </c>
      <c r="O645" t="n">
        <v>0</v>
      </c>
      <c r="P645" t="n">
        <v>0</v>
      </c>
      <c r="Q645" t="n">
        <v>0</v>
      </c>
      <c r="R645" s="2" t="inlineStr"/>
    </row>
    <row r="646" ht="15" customHeight="1">
      <c r="A646" t="inlineStr">
        <is>
          <t>A 37860-2020</t>
        </is>
      </c>
      <c r="B646" s="1" t="n">
        <v>44057</v>
      </c>
      <c r="C646" s="1" t="n">
        <v>45807</v>
      </c>
      <c r="D646" t="inlineStr">
        <is>
          <t>VÄSTERBOTTENS LÄN</t>
        </is>
      </c>
      <c r="E646" t="inlineStr">
        <is>
          <t>SKELLEFTEÅ</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37858-2020</t>
        </is>
      </c>
      <c r="B647" s="1" t="n">
        <v>44057</v>
      </c>
      <c r="C647" s="1" t="n">
        <v>45807</v>
      </c>
      <c r="D647" t="inlineStr">
        <is>
          <t>VÄSTERBOTTENS LÄN</t>
        </is>
      </c>
      <c r="E647" t="inlineStr">
        <is>
          <t>SKELLEFTEÅ</t>
        </is>
      </c>
      <c r="G647" t="n">
        <v>2</v>
      </c>
      <c r="H647" t="n">
        <v>0</v>
      </c>
      <c r="I647" t="n">
        <v>0</v>
      </c>
      <c r="J647" t="n">
        <v>0</v>
      </c>
      <c r="K647" t="n">
        <v>0</v>
      </c>
      <c r="L647" t="n">
        <v>0</v>
      </c>
      <c r="M647" t="n">
        <v>0</v>
      </c>
      <c r="N647" t="n">
        <v>0</v>
      </c>
      <c r="O647" t="n">
        <v>0</v>
      </c>
      <c r="P647" t="n">
        <v>0</v>
      </c>
      <c r="Q647" t="n">
        <v>0</v>
      </c>
      <c r="R647" s="2" t="inlineStr"/>
    </row>
    <row r="648" ht="15" customHeight="1">
      <c r="A648" t="inlineStr">
        <is>
          <t>A 37869-2020</t>
        </is>
      </c>
      <c r="B648" s="1" t="n">
        <v>44057</v>
      </c>
      <c r="C648" s="1" t="n">
        <v>45807</v>
      </c>
      <c r="D648" t="inlineStr">
        <is>
          <t>VÄSTERBOTTENS LÄN</t>
        </is>
      </c>
      <c r="E648" t="inlineStr">
        <is>
          <t>SKELLEFTEÅ</t>
        </is>
      </c>
      <c r="G648" t="n">
        <v>11.5</v>
      </c>
      <c r="H648" t="n">
        <v>0</v>
      </c>
      <c r="I648" t="n">
        <v>0</v>
      </c>
      <c r="J648" t="n">
        <v>0</v>
      </c>
      <c r="K648" t="n">
        <v>0</v>
      </c>
      <c r="L648" t="n">
        <v>0</v>
      </c>
      <c r="M648" t="n">
        <v>0</v>
      </c>
      <c r="N648" t="n">
        <v>0</v>
      </c>
      <c r="O648" t="n">
        <v>0</v>
      </c>
      <c r="P648" t="n">
        <v>0</v>
      </c>
      <c r="Q648" t="n">
        <v>0</v>
      </c>
      <c r="R648" s="2" t="inlineStr"/>
    </row>
    <row r="649" ht="15" customHeight="1">
      <c r="A649" t="inlineStr">
        <is>
          <t>A 37862-2020</t>
        </is>
      </c>
      <c r="B649" s="1" t="n">
        <v>44057</v>
      </c>
      <c r="C649" s="1" t="n">
        <v>45807</v>
      </c>
      <c r="D649" t="inlineStr">
        <is>
          <t>VÄSTERBOTTENS LÄN</t>
        </is>
      </c>
      <c r="E649" t="inlineStr">
        <is>
          <t>SKELLEFTEÅ</t>
        </is>
      </c>
      <c r="G649" t="n">
        <v>0.2</v>
      </c>
      <c r="H649" t="n">
        <v>0</v>
      </c>
      <c r="I649" t="n">
        <v>0</v>
      </c>
      <c r="J649" t="n">
        <v>0</v>
      </c>
      <c r="K649" t="n">
        <v>0</v>
      </c>
      <c r="L649" t="n">
        <v>0</v>
      </c>
      <c r="M649" t="n">
        <v>0</v>
      </c>
      <c r="N649" t="n">
        <v>0</v>
      </c>
      <c r="O649" t="n">
        <v>0</v>
      </c>
      <c r="P649" t="n">
        <v>0</v>
      </c>
      <c r="Q649" t="n">
        <v>0</v>
      </c>
      <c r="R649" s="2" t="inlineStr"/>
    </row>
    <row r="650" ht="15" customHeight="1">
      <c r="A650" t="inlineStr">
        <is>
          <t>A 38174-2020</t>
        </is>
      </c>
      <c r="B650" s="1" t="n">
        <v>44057</v>
      </c>
      <c r="C650" s="1" t="n">
        <v>45807</v>
      </c>
      <c r="D650" t="inlineStr">
        <is>
          <t>VÄSTERBOTTENS LÄN</t>
        </is>
      </c>
      <c r="E650" t="inlineStr">
        <is>
          <t>SKELLEFTEÅ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38181-2020</t>
        </is>
      </c>
      <c r="B651" s="1" t="n">
        <v>44057</v>
      </c>
      <c r="C651" s="1" t="n">
        <v>45807</v>
      </c>
      <c r="D651" t="inlineStr">
        <is>
          <t>VÄSTERBOTTENS LÄN</t>
        </is>
      </c>
      <c r="E651" t="inlineStr">
        <is>
          <t>SKELLEFTEÅ</t>
        </is>
      </c>
      <c r="G651" t="n">
        <v>1.6</v>
      </c>
      <c r="H651" t="n">
        <v>0</v>
      </c>
      <c r="I651" t="n">
        <v>0</v>
      </c>
      <c r="J651" t="n">
        <v>0</v>
      </c>
      <c r="K651" t="n">
        <v>0</v>
      </c>
      <c r="L651" t="n">
        <v>0</v>
      </c>
      <c r="M651" t="n">
        <v>0</v>
      </c>
      <c r="N651" t="n">
        <v>0</v>
      </c>
      <c r="O651" t="n">
        <v>0</v>
      </c>
      <c r="P651" t="n">
        <v>0</v>
      </c>
      <c r="Q651" t="n">
        <v>0</v>
      </c>
      <c r="R651" s="2" t="inlineStr"/>
    </row>
    <row r="652" ht="15" customHeight="1">
      <c r="A652" t="inlineStr">
        <is>
          <t>A 38120-2020</t>
        </is>
      </c>
      <c r="B652" s="1" t="n">
        <v>44059</v>
      </c>
      <c r="C652" s="1" t="n">
        <v>45807</v>
      </c>
      <c r="D652" t="inlineStr">
        <is>
          <t>VÄSTERBOTTENS LÄN</t>
        </is>
      </c>
      <c r="E652" t="inlineStr">
        <is>
          <t>SKELLEFTEÅ</t>
        </is>
      </c>
      <c r="G652" t="n">
        <v>3.4</v>
      </c>
      <c r="H652" t="n">
        <v>0</v>
      </c>
      <c r="I652" t="n">
        <v>0</v>
      </c>
      <c r="J652" t="n">
        <v>0</v>
      </c>
      <c r="K652" t="n">
        <v>0</v>
      </c>
      <c r="L652" t="n">
        <v>0</v>
      </c>
      <c r="M652" t="n">
        <v>0</v>
      </c>
      <c r="N652" t="n">
        <v>0</v>
      </c>
      <c r="O652" t="n">
        <v>0</v>
      </c>
      <c r="P652" t="n">
        <v>0</v>
      </c>
      <c r="Q652" t="n">
        <v>0</v>
      </c>
      <c r="R652" s="2" t="inlineStr"/>
    </row>
    <row r="653" ht="15" customHeight="1">
      <c r="A653" t="inlineStr">
        <is>
          <t>A 38132-2020</t>
        </is>
      </c>
      <c r="B653" s="1" t="n">
        <v>44059</v>
      </c>
      <c r="C653" s="1" t="n">
        <v>45807</v>
      </c>
      <c r="D653" t="inlineStr">
        <is>
          <t>VÄSTERBOTTENS LÄN</t>
        </is>
      </c>
      <c r="E653" t="inlineStr">
        <is>
          <t>SKELLEFTEÅ</t>
        </is>
      </c>
      <c r="F653" t="inlineStr">
        <is>
          <t>Holmen skog AB</t>
        </is>
      </c>
      <c r="G653" t="n">
        <v>0.9</v>
      </c>
      <c r="H653" t="n">
        <v>0</v>
      </c>
      <c r="I653" t="n">
        <v>0</v>
      </c>
      <c r="J653" t="n">
        <v>0</v>
      </c>
      <c r="K653" t="n">
        <v>0</v>
      </c>
      <c r="L653" t="n">
        <v>0</v>
      </c>
      <c r="M653" t="n">
        <v>0</v>
      </c>
      <c r="N653" t="n">
        <v>0</v>
      </c>
      <c r="O653" t="n">
        <v>0</v>
      </c>
      <c r="P653" t="n">
        <v>0</v>
      </c>
      <c r="Q653" t="n">
        <v>0</v>
      </c>
      <c r="R653" s="2" t="inlineStr"/>
    </row>
    <row r="654" ht="15" customHeight="1">
      <c r="A654" t="inlineStr">
        <is>
          <t>A 38119-2020</t>
        </is>
      </c>
      <c r="B654" s="1" t="n">
        <v>44059</v>
      </c>
      <c r="C654" s="1" t="n">
        <v>45807</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38187-2020</t>
        </is>
      </c>
      <c r="B655" s="1" t="n">
        <v>44060</v>
      </c>
      <c r="C655" s="1" t="n">
        <v>45807</v>
      </c>
      <c r="D655" t="inlineStr">
        <is>
          <t>VÄSTERBOTTENS LÄN</t>
        </is>
      </c>
      <c r="E655" t="inlineStr">
        <is>
          <t>SKELLEFTEÅ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38192-2020</t>
        </is>
      </c>
      <c r="B656" s="1" t="n">
        <v>44060</v>
      </c>
      <c r="C656" s="1" t="n">
        <v>45807</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39268-2020</t>
        </is>
      </c>
      <c r="B657" s="1" t="n">
        <v>44063</v>
      </c>
      <c r="C657" s="1" t="n">
        <v>45807</v>
      </c>
      <c r="D657" t="inlineStr">
        <is>
          <t>VÄSTERBOTTENS LÄN</t>
        </is>
      </c>
      <c r="E657" t="inlineStr">
        <is>
          <t>SKELLEFTEÅ</t>
        </is>
      </c>
      <c r="F657" t="inlineStr">
        <is>
          <t>Holmen skog AB</t>
        </is>
      </c>
      <c r="G657" t="n">
        <v>10.2</v>
      </c>
      <c r="H657" t="n">
        <v>0</v>
      </c>
      <c r="I657" t="n">
        <v>0</v>
      </c>
      <c r="J657" t="n">
        <v>0</v>
      </c>
      <c r="K657" t="n">
        <v>0</v>
      </c>
      <c r="L657" t="n">
        <v>0</v>
      </c>
      <c r="M657" t="n">
        <v>0</v>
      </c>
      <c r="N657" t="n">
        <v>0</v>
      </c>
      <c r="O657" t="n">
        <v>0</v>
      </c>
      <c r="P657" t="n">
        <v>0</v>
      </c>
      <c r="Q657" t="n">
        <v>0</v>
      </c>
      <c r="R657" s="2" t="inlineStr"/>
    </row>
    <row r="658" ht="15" customHeight="1">
      <c r="A658" t="inlineStr">
        <is>
          <t>A 39992-2020</t>
        </is>
      </c>
      <c r="B658" s="1" t="n">
        <v>44067</v>
      </c>
      <c r="C658" s="1" t="n">
        <v>45807</v>
      </c>
      <c r="D658" t="inlineStr">
        <is>
          <t>VÄSTERBOTTENS LÄN</t>
        </is>
      </c>
      <c r="E658" t="inlineStr">
        <is>
          <t>SKELLEFTEÅ</t>
        </is>
      </c>
      <c r="G658" t="n">
        <v>1.2</v>
      </c>
      <c r="H658" t="n">
        <v>0</v>
      </c>
      <c r="I658" t="n">
        <v>0</v>
      </c>
      <c r="J658" t="n">
        <v>0</v>
      </c>
      <c r="K658" t="n">
        <v>0</v>
      </c>
      <c r="L658" t="n">
        <v>0</v>
      </c>
      <c r="M658" t="n">
        <v>0</v>
      </c>
      <c r="N658" t="n">
        <v>0</v>
      </c>
      <c r="O658" t="n">
        <v>0</v>
      </c>
      <c r="P658" t="n">
        <v>0</v>
      </c>
      <c r="Q658" t="n">
        <v>0</v>
      </c>
      <c r="R658" s="2" t="inlineStr"/>
    </row>
    <row r="659" ht="15" customHeight="1">
      <c r="A659" t="inlineStr">
        <is>
          <t>A 40196-2020</t>
        </is>
      </c>
      <c r="B659" s="1" t="n">
        <v>44068</v>
      </c>
      <c r="C659" s="1" t="n">
        <v>45807</v>
      </c>
      <c r="D659" t="inlineStr">
        <is>
          <t>VÄSTERBOTTENS LÄN</t>
        </is>
      </c>
      <c r="E659" t="inlineStr">
        <is>
          <t>SKELLEFTEÅ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40277-2020</t>
        </is>
      </c>
      <c r="B660" s="1" t="n">
        <v>44068</v>
      </c>
      <c r="C660" s="1" t="n">
        <v>45807</v>
      </c>
      <c r="D660" t="inlineStr">
        <is>
          <t>VÄSTERBOTTENS LÄN</t>
        </is>
      </c>
      <c r="E660" t="inlineStr">
        <is>
          <t>SKELLEFTEÅ</t>
        </is>
      </c>
      <c r="F660" t="inlineStr">
        <is>
          <t>Holmen skog AB</t>
        </is>
      </c>
      <c r="G660" t="n">
        <v>4.4</v>
      </c>
      <c r="H660" t="n">
        <v>0</v>
      </c>
      <c r="I660" t="n">
        <v>0</v>
      </c>
      <c r="J660" t="n">
        <v>0</v>
      </c>
      <c r="K660" t="n">
        <v>0</v>
      </c>
      <c r="L660" t="n">
        <v>0</v>
      </c>
      <c r="M660" t="n">
        <v>0</v>
      </c>
      <c r="N660" t="n">
        <v>0</v>
      </c>
      <c r="O660" t="n">
        <v>0</v>
      </c>
      <c r="P660" t="n">
        <v>0</v>
      </c>
      <c r="Q660" t="n">
        <v>0</v>
      </c>
      <c r="R660" s="2" t="inlineStr"/>
    </row>
    <row r="661" ht="15" customHeight="1">
      <c r="A661" t="inlineStr">
        <is>
          <t>A 40860-2020</t>
        </is>
      </c>
      <c r="B661" s="1" t="n">
        <v>44068</v>
      </c>
      <c r="C661" s="1" t="n">
        <v>45807</v>
      </c>
      <c r="D661" t="inlineStr">
        <is>
          <t>VÄSTERBOTTENS LÄN</t>
        </is>
      </c>
      <c r="E661" t="inlineStr">
        <is>
          <t>SKELLEFTEÅ</t>
        </is>
      </c>
      <c r="G661" t="n">
        <v>8.9</v>
      </c>
      <c r="H661" t="n">
        <v>0</v>
      </c>
      <c r="I661" t="n">
        <v>0</v>
      </c>
      <c r="J661" t="n">
        <v>0</v>
      </c>
      <c r="K661" t="n">
        <v>0</v>
      </c>
      <c r="L661" t="n">
        <v>0</v>
      </c>
      <c r="M661" t="n">
        <v>0</v>
      </c>
      <c r="N661" t="n">
        <v>0</v>
      </c>
      <c r="O661" t="n">
        <v>0</v>
      </c>
      <c r="P661" t="n">
        <v>0</v>
      </c>
      <c r="Q661" t="n">
        <v>0</v>
      </c>
      <c r="R661" s="2" t="inlineStr"/>
    </row>
    <row r="662" ht="15" customHeight="1">
      <c r="A662" t="inlineStr">
        <is>
          <t>A 41005-2020</t>
        </is>
      </c>
      <c r="B662" s="1" t="n">
        <v>44068</v>
      </c>
      <c r="C662" s="1" t="n">
        <v>45807</v>
      </c>
      <c r="D662" t="inlineStr">
        <is>
          <t>VÄSTERBOTTENS LÄN</t>
        </is>
      </c>
      <c r="E662" t="inlineStr">
        <is>
          <t>SKELLEFTEÅ</t>
        </is>
      </c>
      <c r="G662" t="n">
        <v>0.5</v>
      </c>
      <c r="H662" t="n">
        <v>0</v>
      </c>
      <c r="I662" t="n">
        <v>0</v>
      </c>
      <c r="J662" t="n">
        <v>0</v>
      </c>
      <c r="K662" t="n">
        <v>0</v>
      </c>
      <c r="L662" t="n">
        <v>0</v>
      </c>
      <c r="M662" t="n">
        <v>0</v>
      </c>
      <c r="N662" t="n">
        <v>0</v>
      </c>
      <c r="O662" t="n">
        <v>0</v>
      </c>
      <c r="P662" t="n">
        <v>0</v>
      </c>
      <c r="Q662" t="n">
        <v>0</v>
      </c>
      <c r="R662" s="2" t="inlineStr"/>
    </row>
    <row r="663" ht="15" customHeight="1">
      <c r="A663" t="inlineStr">
        <is>
          <t>A 40469-2020</t>
        </is>
      </c>
      <c r="B663" s="1" t="n">
        <v>44069</v>
      </c>
      <c r="C663" s="1" t="n">
        <v>45807</v>
      </c>
      <c r="D663" t="inlineStr">
        <is>
          <t>VÄSTERBOTTENS LÄN</t>
        </is>
      </c>
      <c r="E663" t="inlineStr">
        <is>
          <t>SKELLEFTEÅ</t>
        </is>
      </c>
      <c r="G663" t="n">
        <v>4.4</v>
      </c>
      <c r="H663" t="n">
        <v>0</v>
      </c>
      <c r="I663" t="n">
        <v>0</v>
      </c>
      <c r="J663" t="n">
        <v>0</v>
      </c>
      <c r="K663" t="n">
        <v>0</v>
      </c>
      <c r="L663" t="n">
        <v>0</v>
      </c>
      <c r="M663" t="n">
        <v>0</v>
      </c>
      <c r="N663" t="n">
        <v>0</v>
      </c>
      <c r="O663" t="n">
        <v>0</v>
      </c>
      <c r="P663" t="n">
        <v>0</v>
      </c>
      <c r="Q663" t="n">
        <v>0</v>
      </c>
      <c r="R663" s="2" t="inlineStr"/>
    </row>
    <row r="664" ht="15" customHeight="1">
      <c r="A664" t="inlineStr">
        <is>
          <t>A 40566-2020</t>
        </is>
      </c>
      <c r="B664" s="1" t="n">
        <v>44069</v>
      </c>
      <c r="C664" s="1" t="n">
        <v>45807</v>
      </c>
      <c r="D664" t="inlineStr">
        <is>
          <t>VÄSTERBOTTENS LÄN</t>
        </is>
      </c>
      <c r="E664" t="inlineStr">
        <is>
          <t>SKELLEFTEÅ</t>
        </is>
      </c>
      <c r="F664" t="inlineStr">
        <is>
          <t>Holmen skog AB</t>
        </is>
      </c>
      <c r="G664" t="n">
        <v>7.1</v>
      </c>
      <c r="H664" t="n">
        <v>0</v>
      </c>
      <c r="I664" t="n">
        <v>0</v>
      </c>
      <c r="J664" t="n">
        <v>0</v>
      </c>
      <c r="K664" t="n">
        <v>0</v>
      </c>
      <c r="L664" t="n">
        <v>0</v>
      </c>
      <c r="M664" t="n">
        <v>0</v>
      </c>
      <c r="N664" t="n">
        <v>0</v>
      </c>
      <c r="O664" t="n">
        <v>0</v>
      </c>
      <c r="P664" t="n">
        <v>0</v>
      </c>
      <c r="Q664" t="n">
        <v>0</v>
      </c>
      <c r="R664" s="2" t="inlineStr"/>
    </row>
    <row r="665" ht="15" customHeight="1">
      <c r="A665" t="inlineStr">
        <is>
          <t>A 40756-2020</t>
        </is>
      </c>
      <c r="B665" s="1" t="n">
        <v>44069</v>
      </c>
      <c r="C665" s="1" t="n">
        <v>45807</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40828-2020</t>
        </is>
      </c>
      <c r="B666" s="1" t="n">
        <v>44070</v>
      </c>
      <c r="C666" s="1" t="n">
        <v>45807</v>
      </c>
      <c r="D666" t="inlineStr">
        <is>
          <t>VÄSTERBOTTENS LÄN</t>
        </is>
      </c>
      <c r="E666" t="inlineStr">
        <is>
          <t>SKELLEFTEÅ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41372-2020</t>
        </is>
      </c>
      <c r="B667" s="1" t="n">
        <v>44071</v>
      </c>
      <c r="C667" s="1" t="n">
        <v>45807</v>
      </c>
      <c r="D667" t="inlineStr">
        <is>
          <t>VÄSTERBOTTENS LÄN</t>
        </is>
      </c>
      <c r="E667" t="inlineStr">
        <is>
          <t>SKELLEFTEÅ</t>
        </is>
      </c>
      <c r="G667" t="n">
        <v>3.5</v>
      </c>
      <c r="H667" t="n">
        <v>0</v>
      </c>
      <c r="I667" t="n">
        <v>0</v>
      </c>
      <c r="J667" t="n">
        <v>0</v>
      </c>
      <c r="K667" t="n">
        <v>0</v>
      </c>
      <c r="L667" t="n">
        <v>0</v>
      </c>
      <c r="M667" t="n">
        <v>0</v>
      </c>
      <c r="N667" t="n">
        <v>0</v>
      </c>
      <c r="O667" t="n">
        <v>0</v>
      </c>
      <c r="P667" t="n">
        <v>0</v>
      </c>
      <c r="Q667" t="n">
        <v>0</v>
      </c>
      <c r="R667" s="2" t="inlineStr"/>
    </row>
    <row r="668" ht="15" customHeight="1">
      <c r="A668" t="inlineStr">
        <is>
          <t>A 42123-2020</t>
        </is>
      </c>
      <c r="B668" s="1" t="n">
        <v>44071</v>
      </c>
      <c r="C668" s="1" t="n">
        <v>45807</v>
      </c>
      <c r="D668" t="inlineStr">
        <is>
          <t>VÄSTERBOTTENS LÄN</t>
        </is>
      </c>
      <c r="E668" t="inlineStr">
        <is>
          <t>SKELLEFTEÅ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41428-2020</t>
        </is>
      </c>
      <c r="B669" s="1" t="n">
        <v>44073</v>
      </c>
      <c r="C669" s="1" t="n">
        <v>45807</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41841-2020</t>
        </is>
      </c>
      <c r="B670" s="1" t="n">
        <v>44074</v>
      </c>
      <c r="C670" s="1" t="n">
        <v>45807</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42049-2020</t>
        </is>
      </c>
      <c r="B671" s="1" t="n">
        <v>44074</v>
      </c>
      <c r="C671" s="1" t="n">
        <v>45807</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41989-2020</t>
        </is>
      </c>
      <c r="B672" s="1" t="n">
        <v>44075</v>
      </c>
      <c r="C672" s="1" t="n">
        <v>45807</v>
      </c>
      <c r="D672" t="inlineStr">
        <is>
          <t>VÄSTERBOTTENS LÄN</t>
        </is>
      </c>
      <c r="E672" t="inlineStr">
        <is>
          <t>SKELLEFTEÅ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42685-2020</t>
        </is>
      </c>
      <c r="B673" s="1" t="n">
        <v>44075</v>
      </c>
      <c r="C673" s="1" t="n">
        <v>45807</v>
      </c>
      <c r="D673" t="inlineStr">
        <is>
          <t>VÄSTERBOTTENS LÄN</t>
        </is>
      </c>
      <c r="E673" t="inlineStr">
        <is>
          <t>SKELLEFTEÅ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42679-2020</t>
        </is>
      </c>
      <c r="B674" s="1" t="n">
        <v>44075</v>
      </c>
      <c r="C674" s="1" t="n">
        <v>45807</v>
      </c>
      <c r="D674" t="inlineStr">
        <is>
          <t>VÄSTERBOTTENS LÄN</t>
        </is>
      </c>
      <c r="E674" t="inlineStr">
        <is>
          <t>SKELLEFTEÅ</t>
        </is>
      </c>
      <c r="G674" t="n">
        <v>1.2</v>
      </c>
      <c r="H674" t="n">
        <v>0</v>
      </c>
      <c r="I674" t="n">
        <v>0</v>
      </c>
      <c r="J674" t="n">
        <v>0</v>
      </c>
      <c r="K674" t="n">
        <v>0</v>
      </c>
      <c r="L674" t="n">
        <v>0</v>
      </c>
      <c r="M674" t="n">
        <v>0</v>
      </c>
      <c r="N674" t="n">
        <v>0</v>
      </c>
      <c r="O674" t="n">
        <v>0</v>
      </c>
      <c r="P674" t="n">
        <v>0</v>
      </c>
      <c r="Q674" t="n">
        <v>0</v>
      </c>
      <c r="R674" s="2" t="inlineStr"/>
    </row>
    <row r="675" ht="15" customHeight="1">
      <c r="A675" t="inlineStr">
        <is>
          <t>A 43331-2020</t>
        </is>
      </c>
      <c r="B675" s="1" t="n">
        <v>44076</v>
      </c>
      <c r="C675" s="1" t="n">
        <v>45807</v>
      </c>
      <c r="D675" t="inlineStr">
        <is>
          <t>VÄSTERBOTTENS LÄN</t>
        </is>
      </c>
      <c r="E675" t="inlineStr">
        <is>
          <t>SKELLEFTEÅ</t>
        </is>
      </c>
      <c r="G675" t="n">
        <v>3.8</v>
      </c>
      <c r="H675" t="n">
        <v>0</v>
      </c>
      <c r="I675" t="n">
        <v>0</v>
      </c>
      <c r="J675" t="n">
        <v>0</v>
      </c>
      <c r="K675" t="n">
        <v>0</v>
      </c>
      <c r="L675" t="n">
        <v>0</v>
      </c>
      <c r="M675" t="n">
        <v>0</v>
      </c>
      <c r="N675" t="n">
        <v>0</v>
      </c>
      <c r="O675" t="n">
        <v>0</v>
      </c>
      <c r="P675" t="n">
        <v>0</v>
      </c>
      <c r="Q675" t="n">
        <v>0</v>
      </c>
      <c r="R675" s="2" t="inlineStr"/>
    </row>
    <row r="676" ht="15" customHeight="1">
      <c r="A676" t="inlineStr">
        <is>
          <t>A 42648-2020</t>
        </is>
      </c>
      <c r="B676" s="1" t="n">
        <v>44077</v>
      </c>
      <c r="C676" s="1" t="n">
        <v>45807</v>
      </c>
      <c r="D676" t="inlineStr">
        <is>
          <t>VÄSTERBOTTENS LÄN</t>
        </is>
      </c>
      <c r="E676" t="inlineStr">
        <is>
          <t>SKELLEFTEÅ</t>
        </is>
      </c>
      <c r="F676" t="inlineStr">
        <is>
          <t>Holmen skog AB</t>
        </is>
      </c>
      <c r="G676" t="n">
        <v>2.3</v>
      </c>
      <c r="H676" t="n">
        <v>0</v>
      </c>
      <c r="I676" t="n">
        <v>0</v>
      </c>
      <c r="J676" t="n">
        <v>0</v>
      </c>
      <c r="K676" t="n">
        <v>0</v>
      </c>
      <c r="L676" t="n">
        <v>0</v>
      </c>
      <c r="M676" t="n">
        <v>0</v>
      </c>
      <c r="N676" t="n">
        <v>0</v>
      </c>
      <c r="O676" t="n">
        <v>0</v>
      </c>
      <c r="P676" t="n">
        <v>0</v>
      </c>
      <c r="Q676" t="n">
        <v>0</v>
      </c>
      <c r="R676" s="2" t="inlineStr"/>
    </row>
    <row r="677" ht="15" customHeight="1">
      <c r="A677" t="inlineStr">
        <is>
          <t>A 42808-2020</t>
        </is>
      </c>
      <c r="B677" s="1" t="n">
        <v>44078</v>
      </c>
      <c r="C677" s="1" t="n">
        <v>45807</v>
      </c>
      <c r="D677" t="inlineStr">
        <is>
          <t>VÄSTERBOTTENS LÄN</t>
        </is>
      </c>
      <c r="E677" t="inlineStr">
        <is>
          <t>SKELLEFTEÅ</t>
        </is>
      </c>
      <c r="F677" t="inlineStr">
        <is>
          <t>Kommuner</t>
        </is>
      </c>
      <c r="G677" t="n">
        <v>6.5</v>
      </c>
      <c r="H677" t="n">
        <v>0</v>
      </c>
      <c r="I677" t="n">
        <v>0</v>
      </c>
      <c r="J677" t="n">
        <v>0</v>
      </c>
      <c r="K677" t="n">
        <v>0</v>
      </c>
      <c r="L677" t="n">
        <v>0</v>
      </c>
      <c r="M677" t="n">
        <v>0</v>
      </c>
      <c r="N677" t="n">
        <v>0</v>
      </c>
      <c r="O677" t="n">
        <v>0</v>
      </c>
      <c r="P677" t="n">
        <v>0</v>
      </c>
      <c r="Q677" t="n">
        <v>0</v>
      </c>
      <c r="R677" s="2" t="inlineStr"/>
    </row>
    <row r="678" ht="15" customHeight="1">
      <c r="A678" t="inlineStr">
        <is>
          <t>A 43054-2020</t>
        </is>
      </c>
      <c r="B678" s="1" t="n">
        <v>44078</v>
      </c>
      <c r="C678" s="1" t="n">
        <v>45807</v>
      </c>
      <c r="D678" t="inlineStr">
        <is>
          <t>VÄSTERBOTTENS LÄN</t>
        </is>
      </c>
      <c r="E678" t="inlineStr">
        <is>
          <t>SKELLEFTEÅ</t>
        </is>
      </c>
      <c r="G678" t="n">
        <v>1.3</v>
      </c>
      <c r="H678" t="n">
        <v>0</v>
      </c>
      <c r="I678" t="n">
        <v>0</v>
      </c>
      <c r="J678" t="n">
        <v>0</v>
      </c>
      <c r="K678" t="n">
        <v>0</v>
      </c>
      <c r="L678" t="n">
        <v>0</v>
      </c>
      <c r="M678" t="n">
        <v>0</v>
      </c>
      <c r="N678" t="n">
        <v>0</v>
      </c>
      <c r="O678" t="n">
        <v>0</v>
      </c>
      <c r="P678" t="n">
        <v>0</v>
      </c>
      <c r="Q678" t="n">
        <v>0</v>
      </c>
      <c r="R678" s="2" t="inlineStr"/>
    </row>
    <row r="679" ht="15" customHeight="1">
      <c r="A679" t="inlineStr">
        <is>
          <t>A 43222-2020</t>
        </is>
      </c>
      <c r="B679" s="1" t="n">
        <v>44081</v>
      </c>
      <c r="C679" s="1" t="n">
        <v>45807</v>
      </c>
      <c r="D679" t="inlineStr">
        <is>
          <t>VÄSTERBOTTENS LÄN</t>
        </is>
      </c>
      <c r="E679" t="inlineStr">
        <is>
          <t>SKELLEFTEÅ</t>
        </is>
      </c>
      <c r="F679" t="inlineStr">
        <is>
          <t>Sveaskog</t>
        </is>
      </c>
      <c r="G679" t="n">
        <v>4.3</v>
      </c>
      <c r="H679" t="n">
        <v>0</v>
      </c>
      <c r="I679" t="n">
        <v>0</v>
      </c>
      <c r="J679" t="n">
        <v>0</v>
      </c>
      <c r="K679" t="n">
        <v>0</v>
      </c>
      <c r="L679" t="n">
        <v>0</v>
      </c>
      <c r="M679" t="n">
        <v>0</v>
      </c>
      <c r="N679" t="n">
        <v>0</v>
      </c>
      <c r="O679" t="n">
        <v>0</v>
      </c>
      <c r="P679" t="n">
        <v>0</v>
      </c>
      <c r="Q679" t="n">
        <v>0</v>
      </c>
      <c r="R679" s="2" t="inlineStr"/>
    </row>
    <row r="680" ht="15" customHeight="1">
      <c r="A680" t="inlineStr">
        <is>
          <t>A 43292-2020</t>
        </is>
      </c>
      <c r="B680" s="1" t="n">
        <v>44081</v>
      </c>
      <c r="C680" s="1" t="n">
        <v>45807</v>
      </c>
      <c r="D680" t="inlineStr">
        <is>
          <t>VÄSTERBOTTENS LÄN</t>
        </is>
      </c>
      <c r="E680" t="inlineStr">
        <is>
          <t>SKELLEFTEÅ</t>
        </is>
      </c>
      <c r="F680" t="inlineStr">
        <is>
          <t>Sveaskog</t>
        </is>
      </c>
      <c r="G680" t="n">
        <v>10.1</v>
      </c>
      <c r="H680" t="n">
        <v>0</v>
      </c>
      <c r="I680" t="n">
        <v>0</v>
      </c>
      <c r="J680" t="n">
        <v>0</v>
      </c>
      <c r="K680" t="n">
        <v>0</v>
      </c>
      <c r="L680" t="n">
        <v>0</v>
      </c>
      <c r="M680" t="n">
        <v>0</v>
      </c>
      <c r="N680" t="n">
        <v>0</v>
      </c>
      <c r="O680" t="n">
        <v>0</v>
      </c>
      <c r="P680" t="n">
        <v>0</v>
      </c>
      <c r="Q680" t="n">
        <v>0</v>
      </c>
      <c r="R680" s="2" t="inlineStr"/>
    </row>
    <row r="681" ht="15" customHeight="1">
      <c r="A681" t="inlineStr">
        <is>
          <t>A 43344-2020</t>
        </is>
      </c>
      <c r="B681" s="1" t="n">
        <v>44081</v>
      </c>
      <c r="C681" s="1" t="n">
        <v>45807</v>
      </c>
      <c r="D681" t="inlineStr">
        <is>
          <t>VÄSTERBOTTENS LÄN</t>
        </is>
      </c>
      <c r="E681" t="inlineStr">
        <is>
          <t>SKELLEFTEÅ</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43327-2020</t>
        </is>
      </c>
      <c r="B682" s="1" t="n">
        <v>44081</v>
      </c>
      <c r="C682" s="1" t="n">
        <v>45807</v>
      </c>
      <c r="D682" t="inlineStr">
        <is>
          <t>VÄSTERBOTTENS LÄN</t>
        </is>
      </c>
      <c r="E682" t="inlineStr">
        <is>
          <t>SKELLEFTEÅ</t>
        </is>
      </c>
      <c r="F682" t="inlineStr">
        <is>
          <t>Sveaskog</t>
        </is>
      </c>
      <c r="G682" t="n">
        <v>23.3</v>
      </c>
      <c r="H682" t="n">
        <v>0</v>
      </c>
      <c r="I682" t="n">
        <v>0</v>
      </c>
      <c r="J682" t="n">
        <v>0</v>
      </c>
      <c r="K682" t="n">
        <v>0</v>
      </c>
      <c r="L682" t="n">
        <v>0</v>
      </c>
      <c r="M682" t="n">
        <v>0</v>
      </c>
      <c r="N682" t="n">
        <v>0</v>
      </c>
      <c r="O682" t="n">
        <v>0</v>
      </c>
      <c r="P682" t="n">
        <v>0</v>
      </c>
      <c r="Q682" t="n">
        <v>0</v>
      </c>
      <c r="R682" s="2" t="inlineStr"/>
    </row>
    <row r="683" ht="15" customHeight="1">
      <c r="A683" t="inlineStr">
        <is>
          <t>A 43505-2020</t>
        </is>
      </c>
      <c r="B683" s="1" t="n">
        <v>44082</v>
      </c>
      <c r="C683" s="1" t="n">
        <v>45807</v>
      </c>
      <c r="D683" t="inlineStr">
        <is>
          <t>VÄSTERBOTTENS LÄN</t>
        </is>
      </c>
      <c r="E683" t="inlineStr">
        <is>
          <t>SKELLEFTEÅ</t>
        </is>
      </c>
      <c r="G683" t="n">
        <v>3.4</v>
      </c>
      <c r="H683" t="n">
        <v>0</v>
      </c>
      <c r="I683" t="n">
        <v>0</v>
      </c>
      <c r="J683" t="n">
        <v>0</v>
      </c>
      <c r="K683" t="n">
        <v>0</v>
      </c>
      <c r="L683" t="n">
        <v>0</v>
      </c>
      <c r="M683" t="n">
        <v>0</v>
      </c>
      <c r="N683" t="n">
        <v>0</v>
      </c>
      <c r="O683" t="n">
        <v>0</v>
      </c>
      <c r="P683" t="n">
        <v>0</v>
      </c>
      <c r="Q683" t="n">
        <v>0</v>
      </c>
      <c r="R683" s="2" t="inlineStr"/>
    </row>
    <row r="684" ht="15" customHeight="1">
      <c r="A684" t="inlineStr">
        <is>
          <t>A 44564-2020</t>
        </is>
      </c>
      <c r="B684" s="1" t="n">
        <v>44082</v>
      </c>
      <c r="C684" s="1" t="n">
        <v>45807</v>
      </c>
      <c r="D684" t="inlineStr">
        <is>
          <t>VÄSTERBOTTENS LÄN</t>
        </is>
      </c>
      <c r="E684" t="inlineStr">
        <is>
          <t>SKELLEFTEÅ</t>
        </is>
      </c>
      <c r="G684" t="n">
        <v>1.3</v>
      </c>
      <c r="H684" t="n">
        <v>0</v>
      </c>
      <c r="I684" t="n">
        <v>0</v>
      </c>
      <c r="J684" t="n">
        <v>0</v>
      </c>
      <c r="K684" t="n">
        <v>0</v>
      </c>
      <c r="L684" t="n">
        <v>0</v>
      </c>
      <c r="M684" t="n">
        <v>0</v>
      </c>
      <c r="N684" t="n">
        <v>0</v>
      </c>
      <c r="O684" t="n">
        <v>0</v>
      </c>
      <c r="P684" t="n">
        <v>0</v>
      </c>
      <c r="Q684" t="n">
        <v>0</v>
      </c>
      <c r="R684" s="2" t="inlineStr"/>
    </row>
    <row r="685" ht="15" customHeight="1">
      <c r="A685" t="inlineStr">
        <is>
          <t>A 44721-2020</t>
        </is>
      </c>
      <c r="B685" s="1" t="n">
        <v>44082</v>
      </c>
      <c r="C685" s="1" t="n">
        <v>45807</v>
      </c>
      <c r="D685" t="inlineStr">
        <is>
          <t>VÄSTERBOTTENS LÄN</t>
        </is>
      </c>
      <c r="E685" t="inlineStr">
        <is>
          <t>SKELLEFTEÅ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43928-2020</t>
        </is>
      </c>
      <c r="B686" s="1" t="n">
        <v>44083</v>
      </c>
      <c r="C686" s="1" t="n">
        <v>45807</v>
      </c>
      <c r="D686" t="inlineStr">
        <is>
          <t>VÄSTERBOTTENS LÄN</t>
        </is>
      </c>
      <c r="E686" t="inlineStr">
        <is>
          <t>SKELLEFTEÅ</t>
        </is>
      </c>
      <c r="F686" t="inlineStr">
        <is>
          <t>Sveaskog</t>
        </is>
      </c>
      <c r="G686" t="n">
        <v>5.8</v>
      </c>
      <c r="H686" t="n">
        <v>0</v>
      </c>
      <c r="I686" t="n">
        <v>0</v>
      </c>
      <c r="J686" t="n">
        <v>0</v>
      </c>
      <c r="K686" t="n">
        <v>0</v>
      </c>
      <c r="L686" t="n">
        <v>0</v>
      </c>
      <c r="M686" t="n">
        <v>0</v>
      </c>
      <c r="N686" t="n">
        <v>0</v>
      </c>
      <c r="O686" t="n">
        <v>0</v>
      </c>
      <c r="P686" t="n">
        <v>0</v>
      </c>
      <c r="Q686" t="n">
        <v>0</v>
      </c>
      <c r="R686" s="2" t="inlineStr"/>
    </row>
    <row r="687" ht="15" customHeight="1">
      <c r="A687" t="inlineStr">
        <is>
          <t>A 43923-2020</t>
        </is>
      </c>
      <c r="B687" s="1" t="n">
        <v>44083</v>
      </c>
      <c r="C687" s="1" t="n">
        <v>45807</v>
      </c>
      <c r="D687" t="inlineStr">
        <is>
          <t>VÄSTERBOTTENS LÄN</t>
        </is>
      </c>
      <c r="E687" t="inlineStr">
        <is>
          <t>SKELLEFTEÅ</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43933-2020</t>
        </is>
      </c>
      <c r="B688" s="1" t="n">
        <v>44083</v>
      </c>
      <c r="C688" s="1" t="n">
        <v>45807</v>
      </c>
      <c r="D688" t="inlineStr">
        <is>
          <t>VÄSTERBOTTENS LÄN</t>
        </is>
      </c>
      <c r="E688" t="inlineStr">
        <is>
          <t>SKELLEFTEÅ</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44068-2020</t>
        </is>
      </c>
      <c r="B689" s="1" t="n">
        <v>44083</v>
      </c>
      <c r="C689" s="1" t="n">
        <v>45807</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43930-2020</t>
        </is>
      </c>
      <c r="B690" s="1" t="n">
        <v>44083</v>
      </c>
      <c r="C690" s="1" t="n">
        <v>45807</v>
      </c>
      <c r="D690" t="inlineStr">
        <is>
          <t>VÄSTERBOTTENS LÄN</t>
        </is>
      </c>
      <c r="E690" t="inlineStr">
        <is>
          <t>SKELLEFTEÅ</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43993-2020</t>
        </is>
      </c>
      <c r="B691" s="1" t="n">
        <v>44083</v>
      </c>
      <c r="C691" s="1" t="n">
        <v>45807</v>
      </c>
      <c r="D691" t="inlineStr">
        <is>
          <t>VÄSTERBOTTENS LÄN</t>
        </is>
      </c>
      <c r="E691" t="inlineStr">
        <is>
          <t>SKELLEFTEÅ</t>
        </is>
      </c>
      <c r="G691" t="n">
        <v>0.3</v>
      </c>
      <c r="H691" t="n">
        <v>0</v>
      </c>
      <c r="I691" t="n">
        <v>0</v>
      </c>
      <c r="J691" t="n">
        <v>0</v>
      </c>
      <c r="K691" t="n">
        <v>0</v>
      </c>
      <c r="L691" t="n">
        <v>0</v>
      </c>
      <c r="M691" t="n">
        <v>0</v>
      </c>
      <c r="N691" t="n">
        <v>0</v>
      </c>
      <c r="O691" t="n">
        <v>0</v>
      </c>
      <c r="P691" t="n">
        <v>0</v>
      </c>
      <c r="Q691" t="n">
        <v>0</v>
      </c>
      <c r="R691" s="2" t="inlineStr"/>
    </row>
    <row r="692" ht="15" customHeight="1">
      <c r="A692" t="inlineStr">
        <is>
          <t>A 18255-2021</t>
        </is>
      </c>
      <c r="B692" s="1" t="n">
        <v>44083</v>
      </c>
      <c r="C692" s="1" t="n">
        <v>45807</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18263-2021</t>
        </is>
      </c>
      <c r="B693" s="1" t="n">
        <v>44083</v>
      </c>
      <c r="C693" s="1" t="n">
        <v>45807</v>
      </c>
      <c r="D693" t="inlineStr">
        <is>
          <t>VÄSTERBOTTENS LÄN</t>
        </is>
      </c>
      <c r="E693" t="inlineStr">
        <is>
          <t>SKELLEFTEÅ</t>
        </is>
      </c>
      <c r="G693" t="n">
        <v>2.4</v>
      </c>
      <c r="H693" t="n">
        <v>0</v>
      </c>
      <c r="I693" t="n">
        <v>0</v>
      </c>
      <c r="J693" t="n">
        <v>0</v>
      </c>
      <c r="K693" t="n">
        <v>0</v>
      </c>
      <c r="L693" t="n">
        <v>0</v>
      </c>
      <c r="M693" t="n">
        <v>0</v>
      </c>
      <c r="N693" t="n">
        <v>0</v>
      </c>
      <c r="O693" t="n">
        <v>0</v>
      </c>
      <c r="P693" t="n">
        <v>0</v>
      </c>
      <c r="Q693" t="n">
        <v>0</v>
      </c>
      <c r="R693" s="2" t="inlineStr"/>
    </row>
    <row r="694" ht="15" customHeight="1">
      <c r="A694" t="inlineStr">
        <is>
          <t>A 44436-2020</t>
        </is>
      </c>
      <c r="B694" s="1" t="n">
        <v>44084</v>
      </c>
      <c r="C694" s="1" t="n">
        <v>45807</v>
      </c>
      <c r="D694" t="inlineStr">
        <is>
          <t>VÄSTERBOTTENS LÄN</t>
        </is>
      </c>
      <c r="E694" t="inlineStr">
        <is>
          <t>SKELLEFTEÅ</t>
        </is>
      </c>
      <c r="G694" t="n">
        <v>1.8</v>
      </c>
      <c r="H694" t="n">
        <v>0</v>
      </c>
      <c r="I694" t="n">
        <v>0</v>
      </c>
      <c r="J694" t="n">
        <v>0</v>
      </c>
      <c r="K694" t="n">
        <v>0</v>
      </c>
      <c r="L694" t="n">
        <v>0</v>
      </c>
      <c r="M694" t="n">
        <v>0</v>
      </c>
      <c r="N694" t="n">
        <v>0</v>
      </c>
      <c r="O694" t="n">
        <v>0</v>
      </c>
      <c r="P694" t="n">
        <v>0</v>
      </c>
      <c r="Q694" t="n">
        <v>0</v>
      </c>
      <c r="R694" s="2" t="inlineStr"/>
    </row>
    <row r="695" ht="15" customHeight="1">
      <c r="A695" t="inlineStr">
        <is>
          <t>A 44587-2020</t>
        </is>
      </c>
      <c r="B695" s="1" t="n">
        <v>44085</v>
      </c>
      <c r="C695" s="1" t="n">
        <v>45807</v>
      </c>
      <c r="D695" t="inlineStr">
        <is>
          <t>VÄSTERBOTTENS LÄN</t>
        </is>
      </c>
      <c r="E695" t="inlineStr">
        <is>
          <t>SKELLEFTEÅ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44572-2020</t>
        </is>
      </c>
      <c r="B696" s="1" t="n">
        <v>44085</v>
      </c>
      <c r="C696" s="1" t="n">
        <v>45807</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44592-2020</t>
        </is>
      </c>
      <c r="B697" s="1" t="n">
        <v>44085</v>
      </c>
      <c r="C697" s="1" t="n">
        <v>45807</v>
      </c>
      <c r="D697" t="inlineStr">
        <is>
          <t>VÄSTERBOTTENS LÄN</t>
        </is>
      </c>
      <c r="E697" t="inlineStr">
        <is>
          <t>SKELLEFTEÅ</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44667-2020</t>
        </is>
      </c>
      <c r="B698" s="1" t="n">
        <v>44085</v>
      </c>
      <c r="C698" s="1" t="n">
        <v>45807</v>
      </c>
      <c r="D698" t="inlineStr">
        <is>
          <t>VÄSTERBOTTENS LÄN</t>
        </is>
      </c>
      <c r="E698" t="inlineStr">
        <is>
          <t>SKELLEFTEÅ</t>
        </is>
      </c>
      <c r="F698" t="inlineStr">
        <is>
          <t>Sveaskog</t>
        </is>
      </c>
      <c r="G698" t="n">
        <v>15.6</v>
      </c>
      <c r="H698" t="n">
        <v>0</v>
      </c>
      <c r="I698" t="n">
        <v>0</v>
      </c>
      <c r="J698" t="n">
        <v>0</v>
      </c>
      <c r="K698" t="n">
        <v>0</v>
      </c>
      <c r="L698" t="n">
        <v>0</v>
      </c>
      <c r="M698" t="n">
        <v>0</v>
      </c>
      <c r="N698" t="n">
        <v>0</v>
      </c>
      <c r="O698" t="n">
        <v>0</v>
      </c>
      <c r="P698" t="n">
        <v>0</v>
      </c>
      <c r="Q698" t="n">
        <v>0</v>
      </c>
      <c r="R698" s="2" t="inlineStr"/>
    </row>
    <row r="699" ht="15" customHeight="1">
      <c r="A699" t="inlineStr">
        <is>
          <t>A 45181-2020</t>
        </is>
      </c>
      <c r="B699" s="1" t="n">
        <v>44088</v>
      </c>
      <c r="C699" s="1" t="n">
        <v>45807</v>
      </c>
      <c r="D699" t="inlineStr">
        <is>
          <t>VÄSTERBOTTENS LÄN</t>
        </is>
      </c>
      <c r="E699" t="inlineStr">
        <is>
          <t>SKELLEFTEÅ</t>
        </is>
      </c>
      <c r="G699" t="n">
        <v>2.7</v>
      </c>
      <c r="H699" t="n">
        <v>0</v>
      </c>
      <c r="I699" t="n">
        <v>0</v>
      </c>
      <c r="J699" t="n">
        <v>0</v>
      </c>
      <c r="K699" t="n">
        <v>0</v>
      </c>
      <c r="L699" t="n">
        <v>0</v>
      </c>
      <c r="M699" t="n">
        <v>0</v>
      </c>
      <c r="N699" t="n">
        <v>0</v>
      </c>
      <c r="O699" t="n">
        <v>0</v>
      </c>
      <c r="P699" t="n">
        <v>0</v>
      </c>
      <c r="Q699" t="n">
        <v>0</v>
      </c>
      <c r="R699" s="2" t="inlineStr"/>
    </row>
    <row r="700" ht="15" customHeight="1">
      <c r="A700" t="inlineStr">
        <is>
          <t>A 45514-2020</t>
        </is>
      </c>
      <c r="B700" s="1" t="n">
        <v>44089</v>
      </c>
      <c r="C700" s="1" t="n">
        <v>45807</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46686-2020</t>
        </is>
      </c>
      <c r="B701" s="1" t="n">
        <v>44089</v>
      </c>
      <c r="C701" s="1" t="n">
        <v>45807</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45690-2020</t>
        </is>
      </c>
      <c r="B702" s="1" t="n">
        <v>44090</v>
      </c>
      <c r="C702" s="1" t="n">
        <v>45807</v>
      </c>
      <c r="D702" t="inlineStr">
        <is>
          <t>VÄSTERBOTTENS LÄN</t>
        </is>
      </c>
      <c r="E702" t="inlineStr">
        <is>
          <t>SKELLEFTEÅ</t>
        </is>
      </c>
      <c r="G702" t="n">
        <v>9.6</v>
      </c>
      <c r="H702" t="n">
        <v>0</v>
      </c>
      <c r="I702" t="n">
        <v>0</v>
      </c>
      <c r="J702" t="n">
        <v>0</v>
      </c>
      <c r="K702" t="n">
        <v>0</v>
      </c>
      <c r="L702" t="n">
        <v>0</v>
      </c>
      <c r="M702" t="n">
        <v>0</v>
      </c>
      <c r="N702" t="n">
        <v>0</v>
      </c>
      <c r="O702" t="n">
        <v>0</v>
      </c>
      <c r="P702" t="n">
        <v>0</v>
      </c>
      <c r="Q702" t="n">
        <v>0</v>
      </c>
      <c r="R702" s="2" t="inlineStr"/>
    </row>
    <row r="703" ht="15" customHeight="1">
      <c r="A703" t="inlineStr">
        <is>
          <t>A 46821-2020</t>
        </is>
      </c>
      <c r="B703" s="1" t="n">
        <v>44090</v>
      </c>
      <c r="C703" s="1" t="n">
        <v>45807</v>
      </c>
      <c r="D703" t="inlineStr">
        <is>
          <t>VÄSTERBOTTENS LÄN</t>
        </is>
      </c>
      <c r="E703" t="inlineStr">
        <is>
          <t>SKELLEFTEÅ</t>
        </is>
      </c>
      <c r="G703" t="n">
        <v>3.5</v>
      </c>
      <c r="H703" t="n">
        <v>0</v>
      </c>
      <c r="I703" t="n">
        <v>0</v>
      </c>
      <c r="J703" t="n">
        <v>0</v>
      </c>
      <c r="K703" t="n">
        <v>0</v>
      </c>
      <c r="L703" t="n">
        <v>0</v>
      </c>
      <c r="M703" t="n">
        <v>0</v>
      </c>
      <c r="N703" t="n">
        <v>0</v>
      </c>
      <c r="O703" t="n">
        <v>0</v>
      </c>
      <c r="P703" t="n">
        <v>0</v>
      </c>
      <c r="Q703" t="n">
        <v>0</v>
      </c>
      <c r="R703" s="2" t="inlineStr"/>
    </row>
    <row r="704" ht="15" customHeight="1">
      <c r="A704" t="inlineStr">
        <is>
          <t>A 46205-2020</t>
        </is>
      </c>
      <c r="B704" s="1" t="n">
        <v>44092</v>
      </c>
      <c r="C704" s="1" t="n">
        <v>45807</v>
      </c>
      <c r="D704" t="inlineStr">
        <is>
          <t>VÄSTERBOTTENS LÄN</t>
        </is>
      </c>
      <c r="E704" t="inlineStr">
        <is>
          <t>SKELLEFTEÅ</t>
        </is>
      </c>
      <c r="F704" t="inlineStr">
        <is>
          <t>Holmen skog AB</t>
        </is>
      </c>
      <c r="G704" t="n">
        <v>5.1</v>
      </c>
      <c r="H704" t="n">
        <v>0</v>
      </c>
      <c r="I704" t="n">
        <v>0</v>
      </c>
      <c r="J704" t="n">
        <v>0</v>
      </c>
      <c r="K704" t="n">
        <v>0</v>
      </c>
      <c r="L704" t="n">
        <v>0</v>
      </c>
      <c r="M704" t="n">
        <v>0</v>
      </c>
      <c r="N704" t="n">
        <v>0</v>
      </c>
      <c r="O704" t="n">
        <v>0</v>
      </c>
      <c r="P704" t="n">
        <v>0</v>
      </c>
      <c r="Q704" t="n">
        <v>0</v>
      </c>
      <c r="R704" s="2" t="inlineStr"/>
    </row>
    <row r="705" ht="15" customHeight="1">
      <c r="A705" t="inlineStr">
        <is>
          <t>A 46638-2020</t>
        </is>
      </c>
      <c r="B705" s="1" t="n">
        <v>44095</v>
      </c>
      <c r="C705" s="1" t="n">
        <v>45807</v>
      </c>
      <c r="D705" t="inlineStr">
        <is>
          <t>VÄSTERBOTTENS LÄN</t>
        </is>
      </c>
      <c r="E705" t="inlineStr">
        <is>
          <t>SKELLEFTEÅ</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47405-2020</t>
        </is>
      </c>
      <c r="B706" s="1" t="n">
        <v>44095</v>
      </c>
      <c r="C706" s="1" t="n">
        <v>45807</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46819-2020</t>
        </is>
      </c>
      <c r="B707" s="1" t="n">
        <v>44096</v>
      </c>
      <c r="C707" s="1" t="n">
        <v>45807</v>
      </c>
      <c r="D707" t="inlineStr">
        <is>
          <t>VÄSTERBOTTENS LÄN</t>
        </is>
      </c>
      <c r="E707" t="inlineStr">
        <is>
          <t>SKELLEFTEÅ</t>
        </is>
      </c>
      <c r="F707" t="inlineStr">
        <is>
          <t>Holmen skog AB</t>
        </is>
      </c>
      <c r="G707" t="n">
        <v>1.5</v>
      </c>
      <c r="H707" t="n">
        <v>0</v>
      </c>
      <c r="I707" t="n">
        <v>0</v>
      </c>
      <c r="J707" t="n">
        <v>0</v>
      </c>
      <c r="K707" t="n">
        <v>0</v>
      </c>
      <c r="L707" t="n">
        <v>0</v>
      </c>
      <c r="M707" t="n">
        <v>0</v>
      </c>
      <c r="N707" t="n">
        <v>0</v>
      </c>
      <c r="O707" t="n">
        <v>0</v>
      </c>
      <c r="P707" t="n">
        <v>0</v>
      </c>
      <c r="Q707" t="n">
        <v>0</v>
      </c>
      <c r="R707" s="2" t="inlineStr"/>
    </row>
    <row r="708" ht="15" customHeight="1">
      <c r="A708" t="inlineStr">
        <is>
          <t>A 46842-2020</t>
        </is>
      </c>
      <c r="B708" s="1" t="n">
        <v>44096</v>
      </c>
      <c r="C708" s="1" t="n">
        <v>45807</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46857-2020</t>
        </is>
      </c>
      <c r="B709" s="1" t="n">
        <v>44096</v>
      </c>
      <c r="C709" s="1" t="n">
        <v>45807</v>
      </c>
      <c r="D709" t="inlineStr">
        <is>
          <t>VÄSTERBOTTENS LÄN</t>
        </is>
      </c>
      <c r="E709" t="inlineStr">
        <is>
          <t>SKELLEFTEÅ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48584-2020</t>
        </is>
      </c>
      <c r="B710" s="1" t="n">
        <v>44098</v>
      </c>
      <c r="C710" s="1" t="n">
        <v>45807</v>
      </c>
      <c r="D710" t="inlineStr">
        <is>
          <t>VÄSTERBOTTENS LÄN</t>
        </is>
      </c>
      <c r="E710" t="inlineStr">
        <is>
          <t>SKELLEFTEÅ</t>
        </is>
      </c>
      <c r="G710" t="n">
        <v>2.9</v>
      </c>
      <c r="H710" t="n">
        <v>0</v>
      </c>
      <c r="I710" t="n">
        <v>0</v>
      </c>
      <c r="J710" t="n">
        <v>0</v>
      </c>
      <c r="K710" t="n">
        <v>0</v>
      </c>
      <c r="L710" t="n">
        <v>0</v>
      </c>
      <c r="M710" t="n">
        <v>0</v>
      </c>
      <c r="N710" t="n">
        <v>0</v>
      </c>
      <c r="O710" t="n">
        <v>0</v>
      </c>
      <c r="P710" t="n">
        <v>0</v>
      </c>
      <c r="Q710" t="n">
        <v>0</v>
      </c>
      <c r="R710" s="2" t="inlineStr"/>
    </row>
    <row r="711" ht="15" customHeight="1">
      <c r="A711" t="inlineStr">
        <is>
          <t>A 49241-2020</t>
        </is>
      </c>
      <c r="B711" s="1" t="n">
        <v>44102</v>
      </c>
      <c r="C711" s="1" t="n">
        <v>45807</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48575-2020</t>
        </is>
      </c>
      <c r="B712" s="1" t="n">
        <v>44103</v>
      </c>
      <c r="C712" s="1" t="n">
        <v>45807</v>
      </c>
      <c r="D712" t="inlineStr">
        <is>
          <t>VÄSTERBOTTENS LÄN</t>
        </is>
      </c>
      <c r="E712" t="inlineStr">
        <is>
          <t>SKELLEFTEÅ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48609-2020</t>
        </is>
      </c>
      <c r="B713" s="1" t="n">
        <v>44103</v>
      </c>
      <c r="C713" s="1" t="n">
        <v>45807</v>
      </c>
      <c r="D713" t="inlineStr">
        <is>
          <t>VÄSTERBOTTENS LÄN</t>
        </is>
      </c>
      <c r="E713" t="inlineStr">
        <is>
          <t>SKELLEFTEÅ</t>
        </is>
      </c>
      <c r="F713" t="inlineStr">
        <is>
          <t>Holmen skog AB</t>
        </is>
      </c>
      <c r="G713" t="n">
        <v>7.1</v>
      </c>
      <c r="H713" t="n">
        <v>0</v>
      </c>
      <c r="I713" t="n">
        <v>0</v>
      </c>
      <c r="J713" t="n">
        <v>0</v>
      </c>
      <c r="K713" t="n">
        <v>0</v>
      </c>
      <c r="L713" t="n">
        <v>0</v>
      </c>
      <c r="M713" t="n">
        <v>0</v>
      </c>
      <c r="N713" t="n">
        <v>0</v>
      </c>
      <c r="O713" t="n">
        <v>0</v>
      </c>
      <c r="P713" t="n">
        <v>0</v>
      </c>
      <c r="Q713" t="n">
        <v>0</v>
      </c>
      <c r="R713" s="2" t="inlineStr"/>
    </row>
    <row r="714" ht="15" customHeight="1">
      <c r="A714" t="inlineStr">
        <is>
          <t>A 48893-2020</t>
        </is>
      </c>
      <c r="B714" s="1" t="n">
        <v>44104</v>
      </c>
      <c r="C714" s="1" t="n">
        <v>45807</v>
      </c>
      <c r="D714" t="inlineStr">
        <is>
          <t>VÄSTERBOTTENS LÄN</t>
        </is>
      </c>
      <c r="E714" t="inlineStr">
        <is>
          <t>SKELLEFTEÅ</t>
        </is>
      </c>
      <c r="F714" t="inlineStr">
        <is>
          <t>Sveaskog</t>
        </is>
      </c>
      <c r="G714" t="n">
        <v>42.8</v>
      </c>
      <c r="H714" t="n">
        <v>0</v>
      </c>
      <c r="I714" t="n">
        <v>0</v>
      </c>
      <c r="J714" t="n">
        <v>0</v>
      </c>
      <c r="K714" t="n">
        <v>0</v>
      </c>
      <c r="L714" t="n">
        <v>0</v>
      </c>
      <c r="M714" t="n">
        <v>0</v>
      </c>
      <c r="N714" t="n">
        <v>0</v>
      </c>
      <c r="O714" t="n">
        <v>0</v>
      </c>
      <c r="P714" t="n">
        <v>0</v>
      </c>
      <c r="Q714" t="n">
        <v>0</v>
      </c>
      <c r="R714" s="2" t="inlineStr"/>
    </row>
    <row r="715" ht="15" customHeight="1">
      <c r="A715" t="inlineStr">
        <is>
          <t>A 48939-2020</t>
        </is>
      </c>
      <c r="B715" s="1" t="n">
        <v>44104</v>
      </c>
      <c r="C715" s="1" t="n">
        <v>45807</v>
      </c>
      <c r="D715" t="inlineStr">
        <is>
          <t>VÄSTERBOTTENS LÄN</t>
        </is>
      </c>
      <c r="E715" t="inlineStr">
        <is>
          <t>SKELLEFTEÅ</t>
        </is>
      </c>
      <c r="G715" t="n">
        <v>3</v>
      </c>
      <c r="H715" t="n">
        <v>0</v>
      </c>
      <c r="I715" t="n">
        <v>0</v>
      </c>
      <c r="J715" t="n">
        <v>0</v>
      </c>
      <c r="K715" t="n">
        <v>0</v>
      </c>
      <c r="L715" t="n">
        <v>0</v>
      </c>
      <c r="M715" t="n">
        <v>0</v>
      </c>
      <c r="N715" t="n">
        <v>0</v>
      </c>
      <c r="O715" t="n">
        <v>0</v>
      </c>
      <c r="P715" t="n">
        <v>0</v>
      </c>
      <c r="Q715" t="n">
        <v>0</v>
      </c>
      <c r="R715" s="2" t="inlineStr"/>
    </row>
    <row r="716" ht="15" customHeight="1">
      <c r="A716" t="inlineStr">
        <is>
          <t>A 49986-2020</t>
        </is>
      </c>
      <c r="B716" s="1" t="n">
        <v>44104</v>
      </c>
      <c r="C716" s="1" t="n">
        <v>45807</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49236-2020</t>
        </is>
      </c>
      <c r="B717" s="1" t="n">
        <v>44105</v>
      </c>
      <c r="C717" s="1" t="n">
        <v>45807</v>
      </c>
      <c r="D717" t="inlineStr">
        <is>
          <t>VÄSTERBOTTENS LÄN</t>
        </is>
      </c>
      <c r="E717" t="inlineStr">
        <is>
          <t>SKELLEFTEÅ</t>
        </is>
      </c>
      <c r="F717" t="inlineStr">
        <is>
          <t>Holmen skog AB</t>
        </is>
      </c>
      <c r="G717" t="n">
        <v>6.5</v>
      </c>
      <c r="H717" t="n">
        <v>0</v>
      </c>
      <c r="I717" t="n">
        <v>0</v>
      </c>
      <c r="J717" t="n">
        <v>0</v>
      </c>
      <c r="K717" t="n">
        <v>0</v>
      </c>
      <c r="L717" t="n">
        <v>0</v>
      </c>
      <c r="M717" t="n">
        <v>0</v>
      </c>
      <c r="N717" t="n">
        <v>0</v>
      </c>
      <c r="O717" t="n">
        <v>0</v>
      </c>
      <c r="P717" t="n">
        <v>0</v>
      </c>
      <c r="Q717" t="n">
        <v>0</v>
      </c>
      <c r="R717" s="2" t="inlineStr"/>
    </row>
    <row r="718" ht="15" customHeight="1">
      <c r="A718" t="inlineStr">
        <is>
          <t>A 49183-2020</t>
        </is>
      </c>
      <c r="B718" s="1" t="n">
        <v>44105</v>
      </c>
      <c r="C718" s="1" t="n">
        <v>45807</v>
      </c>
      <c r="D718" t="inlineStr">
        <is>
          <t>VÄSTERBOTTENS LÄN</t>
        </is>
      </c>
      <c r="E718" t="inlineStr">
        <is>
          <t>SKELLEFTEÅ</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51654-2020</t>
        </is>
      </c>
      <c r="B719" s="1" t="n">
        <v>44109</v>
      </c>
      <c r="C719" s="1" t="n">
        <v>45807</v>
      </c>
      <c r="D719" t="inlineStr">
        <is>
          <t>VÄSTERBOTTENS LÄN</t>
        </is>
      </c>
      <c r="E719" t="inlineStr">
        <is>
          <t>SKELLEFTEÅ</t>
        </is>
      </c>
      <c r="G719" t="n">
        <v>2.1</v>
      </c>
      <c r="H719" t="n">
        <v>0</v>
      </c>
      <c r="I719" t="n">
        <v>0</v>
      </c>
      <c r="J719" t="n">
        <v>0</v>
      </c>
      <c r="K719" t="n">
        <v>0</v>
      </c>
      <c r="L719" t="n">
        <v>0</v>
      </c>
      <c r="M719" t="n">
        <v>0</v>
      </c>
      <c r="N719" t="n">
        <v>0</v>
      </c>
      <c r="O719" t="n">
        <v>0</v>
      </c>
      <c r="P719" t="n">
        <v>0</v>
      </c>
      <c r="Q719" t="n">
        <v>0</v>
      </c>
      <c r="R719" s="2" t="inlineStr"/>
    </row>
    <row r="720" ht="15" customHeight="1">
      <c r="A720" t="inlineStr">
        <is>
          <t>A 50275-2020</t>
        </is>
      </c>
      <c r="B720" s="1" t="n">
        <v>44109</v>
      </c>
      <c r="C720" s="1" t="n">
        <v>45807</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49952-2020</t>
        </is>
      </c>
      <c r="B721" s="1" t="n">
        <v>44109</v>
      </c>
      <c r="C721" s="1" t="n">
        <v>45807</v>
      </c>
      <c r="D721" t="inlineStr">
        <is>
          <t>VÄSTERBOTTENS LÄN</t>
        </is>
      </c>
      <c r="E721" t="inlineStr">
        <is>
          <t>SKELLEFTEÅ</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49974-2020</t>
        </is>
      </c>
      <c r="B722" s="1" t="n">
        <v>44109</v>
      </c>
      <c r="C722" s="1" t="n">
        <v>45807</v>
      </c>
      <c r="D722" t="inlineStr">
        <is>
          <t>VÄSTERBOTTENS LÄN</t>
        </is>
      </c>
      <c r="E722" t="inlineStr">
        <is>
          <t>SKELLEFTEÅ</t>
        </is>
      </c>
      <c r="F722" t="inlineStr">
        <is>
          <t>Holmen skog AB</t>
        </is>
      </c>
      <c r="G722" t="n">
        <v>15.8</v>
      </c>
      <c r="H722" t="n">
        <v>0</v>
      </c>
      <c r="I722" t="n">
        <v>0</v>
      </c>
      <c r="J722" t="n">
        <v>0</v>
      </c>
      <c r="K722" t="n">
        <v>0</v>
      </c>
      <c r="L722" t="n">
        <v>0</v>
      </c>
      <c r="M722" t="n">
        <v>0</v>
      </c>
      <c r="N722" t="n">
        <v>0</v>
      </c>
      <c r="O722" t="n">
        <v>0</v>
      </c>
      <c r="P722" t="n">
        <v>0</v>
      </c>
      <c r="Q722" t="n">
        <v>0</v>
      </c>
      <c r="R722" s="2" t="inlineStr"/>
    </row>
    <row r="723" ht="15" customHeight="1">
      <c r="A723" t="inlineStr">
        <is>
          <t>A 52119-2020</t>
        </is>
      </c>
      <c r="B723" s="1" t="n">
        <v>44110</v>
      </c>
      <c r="C723" s="1" t="n">
        <v>45807</v>
      </c>
      <c r="D723" t="inlineStr">
        <is>
          <t>VÄSTERBOTTENS LÄN</t>
        </is>
      </c>
      <c r="E723" t="inlineStr">
        <is>
          <t>SKELLEFTEÅ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50431-2020</t>
        </is>
      </c>
      <c r="B724" s="1" t="n">
        <v>44110</v>
      </c>
      <c r="C724" s="1" t="n">
        <v>45807</v>
      </c>
      <c r="D724" t="inlineStr">
        <is>
          <t>VÄSTERBOTTENS LÄN</t>
        </is>
      </c>
      <c r="E724" t="inlineStr">
        <is>
          <t>SKELLEFTEÅ</t>
        </is>
      </c>
      <c r="F724" t="inlineStr">
        <is>
          <t>Holmen skog AB</t>
        </is>
      </c>
      <c r="G724" t="n">
        <v>9.4</v>
      </c>
      <c r="H724" t="n">
        <v>0</v>
      </c>
      <c r="I724" t="n">
        <v>0</v>
      </c>
      <c r="J724" t="n">
        <v>0</v>
      </c>
      <c r="K724" t="n">
        <v>0</v>
      </c>
      <c r="L724" t="n">
        <v>0</v>
      </c>
      <c r="M724" t="n">
        <v>0</v>
      </c>
      <c r="N724" t="n">
        <v>0</v>
      </c>
      <c r="O724" t="n">
        <v>0</v>
      </c>
      <c r="P724" t="n">
        <v>0</v>
      </c>
      <c r="Q724" t="n">
        <v>0</v>
      </c>
      <c r="R724" s="2" t="inlineStr"/>
    </row>
    <row r="725" ht="15" customHeight="1">
      <c r="A725" t="inlineStr">
        <is>
          <t>A 50701-2020</t>
        </is>
      </c>
      <c r="B725" s="1" t="n">
        <v>44111</v>
      </c>
      <c r="C725" s="1" t="n">
        <v>45807</v>
      </c>
      <c r="D725" t="inlineStr">
        <is>
          <t>VÄSTERBOTTENS LÄN</t>
        </is>
      </c>
      <c r="E725" t="inlineStr">
        <is>
          <t>SKELLEFTEÅ</t>
        </is>
      </c>
      <c r="F725" t="inlineStr">
        <is>
          <t>Holmen skog AB</t>
        </is>
      </c>
      <c r="G725" t="n">
        <v>2.9</v>
      </c>
      <c r="H725" t="n">
        <v>0</v>
      </c>
      <c r="I725" t="n">
        <v>0</v>
      </c>
      <c r="J725" t="n">
        <v>0</v>
      </c>
      <c r="K725" t="n">
        <v>0</v>
      </c>
      <c r="L725" t="n">
        <v>0</v>
      </c>
      <c r="M725" t="n">
        <v>0</v>
      </c>
      <c r="N725" t="n">
        <v>0</v>
      </c>
      <c r="O725" t="n">
        <v>0</v>
      </c>
      <c r="P725" t="n">
        <v>0</v>
      </c>
      <c r="Q725" t="n">
        <v>0</v>
      </c>
      <c r="R725" s="2" t="inlineStr"/>
    </row>
    <row r="726" ht="15" customHeight="1">
      <c r="A726" t="inlineStr">
        <is>
          <t>A 51283-2020</t>
        </is>
      </c>
      <c r="B726" s="1" t="n">
        <v>44112</v>
      </c>
      <c r="C726" s="1" t="n">
        <v>45807</v>
      </c>
      <c r="D726" t="inlineStr">
        <is>
          <t>VÄSTERBOTTENS LÄN</t>
        </is>
      </c>
      <c r="E726" t="inlineStr">
        <is>
          <t>SKELLEFTEÅ</t>
        </is>
      </c>
      <c r="F726" t="inlineStr">
        <is>
          <t>Sveaskog</t>
        </is>
      </c>
      <c r="G726" t="n">
        <v>14.1</v>
      </c>
      <c r="H726" t="n">
        <v>0</v>
      </c>
      <c r="I726" t="n">
        <v>0</v>
      </c>
      <c r="J726" t="n">
        <v>0</v>
      </c>
      <c r="K726" t="n">
        <v>0</v>
      </c>
      <c r="L726" t="n">
        <v>0</v>
      </c>
      <c r="M726" t="n">
        <v>0</v>
      </c>
      <c r="N726" t="n">
        <v>0</v>
      </c>
      <c r="O726" t="n">
        <v>0</v>
      </c>
      <c r="P726" t="n">
        <v>0</v>
      </c>
      <c r="Q726" t="n">
        <v>0</v>
      </c>
      <c r="R726" s="2" t="inlineStr"/>
    </row>
    <row r="727" ht="15" customHeight="1">
      <c r="A727" t="inlineStr">
        <is>
          <t>A 51547-2020</t>
        </is>
      </c>
      <c r="B727" s="1" t="n">
        <v>44113</v>
      </c>
      <c r="C727" s="1" t="n">
        <v>45807</v>
      </c>
      <c r="D727" t="inlineStr">
        <is>
          <t>VÄSTERBOTTENS LÄN</t>
        </is>
      </c>
      <c r="E727" t="inlineStr">
        <is>
          <t>SKELLEFTEÅ</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51536-2020</t>
        </is>
      </c>
      <c r="B728" s="1" t="n">
        <v>44113</v>
      </c>
      <c r="C728" s="1" t="n">
        <v>45807</v>
      </c>
      <c r="D728" t="inlineStr">
        <is>
          <t>VÄSTERBOTTENS LÄN</t>
        </is>
      </c>
      <c r="E728" t="inlineStr">
        <is>
          <t>SKELLEFTEÅ</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51565-2020</t>
        </is>
      </c>
      <c r="B729" s="1" t="n">
        <v>44113</v>
      </c>
      <c r="C729" s="1" t="n">
        <v>45807</v>
      </c>
      <c r="D729" t="inlineStr">
        <is>
          <t>VÄSTERBOTTENS LÄN</t>
        </is>
      </c>
      <c r="E729" t="inlineStr">
        <is>
          <t>SKELLEFTEÅ</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51530-2020</t>
        </is>
      </c>
      <c r="B730" s="1" t="n">
        <v>44113</v>
      </c>
      <c r="C730" s="1" t="n">
        <v>45807</v>
      </c>
      <c r="D730" t="inlineStr">
        <is>
          <t>VÄSTERBOTTENS LÄN</t>
        </is>
      </c>
      <c r="E730" t="inlineStr">
        <is>
          <t>SKELLEFTEÅ</t>
        </is>
      </c>
      <c r="F730" t="inlineStr">
        <is>
          <t>Holmen skog AB</t>
        </is>
      </c>
      <c r="G730" t="n">
        <v>3.1</v>
      </c>
      <c r="H730" t="n">
        <v>0</v>
      </c>
      <c r="I730" t="n">
        <v>0</v>
      </c>
      <c r="J730" t="n">
        <v>0</v>
      </c>
      <c r="K730" t="n">
        <v>0</v>
      </c>
      <c r="L730" t="n">
        <v>0</v>
      </c>
      <c r="M730" t="n">
        <v>0</v>
      </c>
      <c r="N730" t="n">
        <v>0</v>
      </c>
      <c r="O730" t="n">
        <v>0</v>
      </c>
      <c r="P730" t="n">
        <v>0</v>
      </c>
      <c r="Q730" t="n">
        <v>0</v>
      </c>
      <c r="R730" s="2" t="inlineStr"/>
    </row>
    <row r="731" ht="15" customHeight="1">
      <c r="A731" t="inlineStr">
        <is>
          <t>A 51907-2020</t>
        </is>
      </c>
      <c r="B731" s="1" t="n">
        <v>44116</v>
      </c>
      <c r="C731" s="1" t="n">
        <v>45807</v>
      </c>
      <c r="D731" t="inlineStr">
        <is>
          <t>VÄSTERBOTTENS LÄN</t>
        </is>
      </c>
      <c r="E731" t="inlineStr">
        <is>
          <t>SKELLEFTEÅ</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52292-2020</t>
        </is>
      </c>
      <c r="B732" s="1" t="n">
        <v>44117</v>
      </c>
      <c r="C732" s="1" t="n">
        <v>45807</v>
      </c>
      <c r="D732" t="inlineStr">
        <is>
          <t>VÄSTERBOTTENS LÄN</t>
        </is>
      </c>
      <c r="E732" t="inlineStr">
        <is>
          <t>SKELLEFTEÅ</t>
        </is>
      </c>
      <c r="F732" t="inlineStr">
        <is>
          <t>Holmen skog AB</t>
        </is>
      </c>
      <c r="G732" t="n">
        <v>3.2</v>
      </c>
      <c r="H732" t="n">
        <v>0</v>
      </c>
      <c r="I732" t="n">
        <v>0</v>
      </c>
      <c r="J732" t="n">
        <v>0</v>
      </c>
      <c r="K732" t="n">
        <v>0</v>
      </c>
      <c r="L732" t="n">
        <v>0</v>
      </c>
      <c r="M732" t="n">
        <v>0</v>
      </c>
      <c r="N732" t="n">
        <v>0</v>
      </c>
      <c r="O732" t="n">
        <v>0</v>
      </c>
      <c r="P732" t="n">
        <v>0</v>
      </c>
      <c r="Q732" t="n">
        <v>0</v>
      </c>
      <c r="R732" s="2" t="inlineStr"/>
    </row>
    <row r="733" ht="15" customHeight="1">
      <c r="A733" t="inlineStr">
        <is>
          <t>A 52640-2020</t>
        </is>
      </c>
      <c r="B733" s="1" t="n">
        <v>44118</v>
      </c>
      <c r="C733" s="1" t="n">
        <v>45807</v>
      </c>
      <c r="D733" t="inlineStr">
        <is>
          <t>VÄSTERBOTTENS LÄN</t>
        </is>
      </c>
      <c r="E733" t="inlineStr">
        <is>
          <t>SKELLEFTEÅ</t>
        </is>
      </c>
      <c r="G733" t="n">
        <v>11.5</v>
      </c>
      <c r="H733" t="n">
        <v>0</v>
      </c>
      <c r="I733" t="n">
        <v>0</v>
      </c>
      <c r="J733" t="n">
        <v>0</v>
      </c>
      <c r="K733" t="n">
        <v>0</v>
      </c>
      <c r="L733" t="n">
        <v>0</v>
      </c>
      <c r="M733" t="n">
        <v>0</v>
      </c>
      <c r="N733" t="n">
        <v>0</v>
      </c>
      <c r="O733" t="n">
        <v>0</v>
      </c>
      <c r="P733" t="n">
        <v>0</v>
      </c>
      <c r="Q733" t="n">
        <v>0</v>
      </c>
      <c r="R733" s="2" t="inlineStr"/>
    </row>
    <row r="734" ht="15" customHeight="1">
      <c r="A734" t="inlineStr">
        <is>
          <t>A 52714-2020</t>
        </is>
      </c>
      <c r="B734" s="1" t="n">
        <v>44119</v>
      </c>
      <c r="C734" s="1" t="n">
        <v>45807</v>
      </c>
      <c r="D734" t="inlineStr">
        <is>
          <t>VÄSTERBOTTENS LÄN</t>
        </is>
      </c>
      <c r="E734" t="inlineStr">
        <is>
          <t>SKELLEFTEÅ</t>
        </is>
      </c>
      <c r="F734" t="inlineStr">
        <is>
          <t>Holmen skog AB</t>
        </is>
      </c>
      <c r="G734" t="n">
        <v>4.6</v>
      </c>
      <c r="H734" t="n">
        <v>0</v>
      </c>
      <c r="I734" t="n">
        <v>0</v>
      </c>
      <c r="J734" t="n">
        <v>0</v>
      </c>
      <c r="K734" t="n">
        <v>0</v>
      </c>
      <c r="L734" t="n">
        <v>0</v>
      </c>
      <c r="M734" t="n">
        <v>0</v>
      </c>
      <c r="N734" t="n">
        <v>0</v>
      </c>
      <c r="O734" t="n">
        <v>0</v>
      </c>
      <c r="P734" t="n">
        <v>0</v>
      </c>
      <c r="Q734" t="n">
        <v>0</v>
      </c>
      <c r="R734" s="2" t="inlineStr"/>
    </row>
    <row r="735" ht="15" customHeight="1">
      <c r="A735" t="inlineStr">
        <is>
          <t>A 53114-2020</t>
        </is>
      </c>
      <c r="B735" s="1" t="n">
        <v>44120</v>
      </c>
      <c r="C735" s="1" t="n">
        <v>45807</v>
      </c>
      <c r="D735" t="inlineStr">
        <is>
          <t>VÄSTERBOTTENS LÄN</t>
        </is>
      </c>
      <c r="E735" t="inlineStr">
        <is>
          <t>SKELLEFTEÅ</t>
        </is>
      </c>
      <c r="G735" t="n">
        <v>6.1</v>
      </c>
      <c r="H735" t="n">
        <v>0</v>
      </c>
      <c r="I735" t="n">
        <v>0</v>
      </c>
      <c r="J735" t="n">
        <v>0</v>
      </c>
      <c r="K735" t="n">
        <v>0</v>
      </c>
      <c r="L735" t="n">
        <v>0</v>
      </c>
      <c r="M735" t="n">
        <v>0</v>
      </c>
      <c r="N735" t="n">
        <v>0</v>
      </c>
      <c r="O735" t="n">
        <v>0</v>
      </c>
      <c r="P735" t="n">
        <v>0</v>
      </c>
      <c r="Q735" t="n">
        <v>0</v>
      </c>
      <c r="R735" s="2" t="inlineStr"/>
    </row>
    <row r="736" ht="15" customHeight="1">
      <c r="A736" t="inlineStr">
        <is>
          <t>A 53373-2020</t>
        </is>
      </c>
      <c r="B736" s="1" t="n">
        <v>44123</v>
      </c>
      <c r="C736" s="1" t="n">
        <v>45807</v>
      </c>
      <c r="D736" t="inlineStr">
        <is>
          <t>VÄSTERBOTTENS LÄN</t>
        </is>
      </c>
      <c r="E736" t="inlineStr">
        <is>
          <t>SKELLEFTEÅ</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54356-2020</t>
        </is>
      </c>
      <c r="B737" s="1" t="n">
        <v>44125</v>
      </c>
      <c r="C737" s="1" t="n">
        <v>45807</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54850-2020</t>
        </is>
      </c>
      <c r="B738" s="1" t="n">
        <v>44126</v>
      </c>
      <c r="C738" s="1" t="n">
        <v>45807</v>
      </c>
      <c r="D738" t="inlineStr">
        <is>
          <t>VÄSTERBOTTENS LÄN</t>
        </is>
      </c>
      <c r="E738" t="inlineStr">
        <is>
          <t>SKELLEFTEÅ</t>
        </is>
      </c>
      <c r="G738" t="n">
        <v>3.4</v>
      </c>
      <c r="H738" t="n">
        <v>0</v>
      </c>
      <c r="I738" t="n">
        <v>0</v>
      </c>
      <c r="J738" t="n">
        <v>0</v>
      </c>
      <c r="K738" t="n">
        <v>0</v>
      </c>
      <c r="L738" t="n">
        <v>0</v>
      </c>
      <c r="M738" t="n">
        <v>0</v>
      </c>
      <c r="N738" t="n">
        <v>0</v>
      </c>
      <c r="O738" t="n">
        <v>0</v>
      </c>
      <c r="P738" t="n">
        <v>0</v>
      </c>
      <c r="Q738" t="n">
        <v>0</v>
      </c>
      <c r="R738" s="2" t="inlineStr"/>
    </row>
    <row r="739" ht="15" customHeight="1">
      <c r="A739" t="inlineStr">
        <is>
          <t>A 54872-2020</t>
        </is>
      </c>
      <c r="B739" s="1" t="n">
        <v>44126</v>
      </c>
      <c r="C739" s="1" t="n">
        <v>45807</v>
      </c>
      <c r="D739" t="inlineStr">
        <is>
          <t>VÄSTERBOTTENS LÄN</t>
        </is>
      </c>
      <c r="E739" t="inlineStr">
        <is>
          <t>SKELLEFTEÅ</t>
        </is>
      </c>
      <c r="G739" t="n">
        <v>0.7</v>
      </c>
      <c r="H739" t="n">
        <v>0</v>
      </c>
      <c r="I739" t="n">
        <v>0</v>
      </c>
      <c r="J739" t="n">
        <v>0</v>
      </c>
      <c r="K739" t="n">
        <v>0</v>
      </c>
      <c r="L739" t="n">
        <v>0</v>
      </c>
      <c r="M739" t="n">
        <v>0</v>
      </c>
      <c r="N739" t="n">
        <v>0</v>
      </c>
      <c r="O739" t="n">
        <v>0</v>
      </c>
      <c r="P739" t="n">
        <v>0</v>
      </c>
      <c r="Q739" t="n">
        <v>0</v>
      </c>
      <c r="R739" s="2" t="inlineStr"/>
    </row>
    <row r="740" ht="15" customHeight="1">
      <c r="A740" t="inlineStr">
        <is>
          <t>A 54662-2020</t>
        </is>
      </c>
      <c r="B740" s="1" t="n">
        <v>44127</v>
      </c>
      <c r="C740" s="1" t="n">
        <v>45807</v>
      </c>
      <c r="D740" t="inlineStr">
        <is>
          <t>VÄSTERBOTTENS LÄN</t>
        </is>
      </c>
      <c r="E740" t="inlineStr">
        <is>
          <t>SKELLEFTEÅ</t>
        </is>
      </c>
      <c r="F740" t="inlineStr">
        <is>
          <t>Holmen skog AB</t>
        </is>
      </c>
      <c r="G740" t="n">
        <v>13.4</v>
      </c>
      <c r="H740" t="n">
        <v>0</v>
      </c>
      <c r="I740" t="n">
        <v>0</v>
      </c>
      <c r="J740" t="n">
        <v>0</v>
      </c>
      <c r="K740" t="n">
        <v>0</v>
      </c>
      <c r="L740" t="n">
        <v>0</v>
      </c>
      <c r="M740" t="n">
        <v>0</v>
      </c>
      <c r="N740" t="n">
        <v>0</v>
      </c>
      <c r="O740" t="n">
        <v>0</v>
      </c>
      <c r="P740" t="n">
        <v>0</v>
      </c>
      <c r="Q740" t="n">
        <v>0</v>
      </c>
      <c r="R740" s="2" t="inlineStr"/>
    </row>
    <row r="741" ht="15" customHeight="1">
      <c r="A741" t="inlineStr">
        <is>
          <t>A 54921-2020</t>
        </is>
      </c>
      <c r="B741" s="1" t="n">
        <v>44127</v>
      </c>
      <c r="C741" s="1" t="n">
        <v>45807</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54913-2020</t>
        </is>
      </c>
      <c r="B742" s="1" t="n">
        <v>44127</v>
      </c>
      <c r="C742" s="1" t="n">
        <v>45807</v>
      </c>
      <c r="D742" t="inlineStr">
        <is>
          <t>VÄSTERBOTTENS LÄN</t>
        </is>
      </c>
      <c r="E742" t="inlineStr">
        <is>
          <t>SKELLEFTEÅ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54942-2020</t>
        </is>
      </c>
      <c r="B743" s="1" t="n">
        <v>44129</v>
      </c>
      <c r="C743" s="1" t="n">
        <v>45807</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55628-2020</t>
        </is>
      </c>
      <c r="B744" s="1" t="n">
        <v>44131</v>
      </c>
      <c r="C744" s="1" t="n">
        <v>45807</v>
      </c>
      <c r="D744" t="inlineStr">
        <is>
          <t>VÄSTERBOTTENS LÄN</t>
        </is>
      </c>
      <c r="E744" t="inlineStr">
        <is>
          <t>SKELLEFTEÅ</t>
        </is>
      </c>
      <c r="F744" t="inlineStr">
        <is>
          <t>Sveaskog</t>
        </is>
      </c>
      <c r="G744" t="n">
        <v>25.9</v>
      </c>
      <c r="H744" t="n">
        <v>0</v>
      </c>
      <c r="I744" t="n">
        <v>0</v>
      </c>
      <c r="J744" t="n">
        <v>0</v>
      </c>
      <c r="K744" t="n">
        <v>0</v>
      </c>
      <c r="L744" t="n">
        <v>0</v>
      </c>
      <c r="M744" t="n">
        <v>0</v>
      </c>
      <c r="N744" t="n">
        <v>0</v>
      </c>
      <c r="O744" t="n">
        <v>0</v>
      </c>
      <c r="P744" t="n">
        <v>0</v>
      </c>
      <c r="Q744" t="n">
        <v>0</v>
      </c>
      <c r="R744" s="2" t="inlineStr"/>
    </row>
    <row r="745" ht="15" customHeight="1">
      <c r="A745" t="inlineStr">
        <is>
          <t>A 55633-2020</t>
        </is>
      </c>
      <c r="B745" s="1" t="n">
        <v>44131</v>
      </c>
      <c r="C745" s="1" t="n">
        <v>45807</v>
      </c>
      <c r="D745" t="inlineStr">
        <is>
          <t>VÄSTERBOTTENS LÄN</t>
        </is>
      </c>
      <c r="E745" t="inlineStr">
        <is>
          <t>SKELLEFTEÅ</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55572-2020</t>
        </is>
      </c>
      <c r="B746" s="1" t="n">
        <v>44131</v>
      </c>
      <c r="C746" s="1" t="n">
        <v>45807</v>
      </c>
      <c r="D746" t="inlineStr">
        <is>
          <t>VÄSTERBOTTENS LÄN</t>
        </is>
      </c>
      <c r="E746" t="inlineStr">
        <is>
          <t>SKELLEFTEÅ</t>
        </is>
      </c>
      <c r="F746" t="inlineStr">
        <is>
          <t>Sveaskog</t>
        </is>
      </c>
      <c r="G746" t="n">
        <v>12.6</v>
      </c>
      <c r="H746" t="n">
        <v>0</v>
      </c>
      <c r="I746" t="n">
        <v>0</v>
      </c>
      <c r="J746" t="n">
        <v>0</v>
      </c>
      <c r="K746" t="n">
        <v>0</v>
      </c>
      <c r="L746" t="n">
        <v>0</v>
      </c>
      <c r="M746" t="n">
        <v>0</v>
      </c>
      <c r="N746" t="n">
        <v>0</v>
      </c>
      <c r="O746" t="n">
        <v>0</v>
      </c>
      <c r="P746" t="n">
        <v>0</v>
      </c>
      <c r="Q746" t="n">
        <v>0</v>
      </c>
      <c r="R746" s="2" t="inlineStr"/>
    </row>
    <row r="747" ht="15" customHeight="1">
      <c r="A747" t="inlineStr">
        <is>
          <t>A 55626-2020</t>
        </is>
      </c>
      <c r="B747" s="1" t="n">
        <v>44131</v>
      </c>
      <c r="C747" s="1" t="n">
        <v>45807</v>
      </c>
      <c r="D747" t="inlineStr">
        <is>
          <t>VÄSTERBOTTENS LÄN</t>
        </is>
      </c>
      <c r="E747" t="inlineStr">
        <is>
          <t>SKELLEFTEÅ</t>
        </is>
      </c>
      <c r="F747" t="inlineStr">
        <is>
          <t>Sveaskog</t>
        </is>
      </c>
      <c r="G747" t="n">
        <v>14.2</v>
      </c>
      <c r="H747" t="n">
        <v>0</v>
      </c>
      <c r="I747" t="n">
        <v>0</v>
      </c>
      <c r="J747" t="n">
        <v>0</v>
      </c>
      <c r="K747" t="n">
        <v>0</v>
      </c>
      <c r="L747" t="n">
        <v>0</v>
      </c>
      <c r="M747" t="n">
        <v>0</v>
      </c>
      <c r="N747" t="n">
        <v>0</v>
      </c>
      <c r="O747" t="n">
        <v>0</v>
      </c>
      <c r="P747" t="n">
        <v>0</v>
      </c>
      <c r="Q747" t="n">
        <v>0</v>
      </c>
      <c r="R747" s="2" t="inlineStr"/>
    </row>
    <row r="748" ht="15" customHeight="1">
      <c r="A748" t="inlineStr">
        <is>
          <t>A 56029-2020</t>
        </is>
      </c>
      <c r="B748" s="1" t="n">
        <v>44133</v>
      </c>
      <c r="C748" s="1" t="n">
        <v>45807</v>
      </c>
      <c r="D748" t="inlineStr">
        <is>
          <t>VÄSTERBOTTENS LÄN</t>
        </is>
      </c>
      <c r="E748" t="inlineStr">
        <is>
          <t>SKELLEFTEÅ</t>
        </is>
      </c>
      <c r="F748" t="inlineStr">
        <is>
          <t>Holmen skog AB</t>
        </is>
      </c>
      <c r="G748" t="n">
        <v>3.2</v>
      </c>
      <c r="H748" t="n">
        <v>0</v>
      </c>
      <c r="I748" t="n">
        <v>0</v>
      </c>
      <c r="J748" t="n">
        <v>0</v>
      </c>
      <c r="K748" t="n">
        <v>0</v>
      </c>
      <c r="L748" t="n">
        <v>0</v>
      </c>
      <c r="M748" t="n">
        <v>0</v>
      </c>
      <c r="N748" t="n">
        <v>0</v>
      </c>
      <c r="O748" t="n">
        <v>0</v>
      </c>
      <c r="P748" t="n">
        <v>0</v>
      </c>
      <c r="Q748" t="n">
        <v>0</v>
      </c>
      <c r="R748" s="2" t="inlineStr"/>
    </row>
    <row r="749" ht="15" customHeight="1">
      <c r="A749" t="inlineStr">
        <is>
          <t>A 56683-2020</t>
        </is>
      </c>
      <c r="B749" s="1" t="n">
        <v>44133</v>
      </c>
      <c r="C749" s="1" t="n">
        <v>45807</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56879-2020</t>
        </is>
      </c>
      <c r="B750" s="1" t="n">
        <v>44134</v>
      </c>
      <c r="C750" s="1" t="n">
        <v>45807</v>
      </c>
      <c r="D750" t="inlineStr">
        <is>
          <t>VÄSTERBOTTENS LÄN</t>
        </is>
      </c>
      <c r="E750" t="inlineStr">
        <is>
          <t>SKELLEFTEÅ</t>
        </is>
      </c>
      <c r="G750" t="n">
        <v>8.5</v>
      </c>
      <c r="H750" t="n">
        <v>0</v>
      </c>
      <c r="I750" t="n">
        <v>0</v>
      </c>
      <c r="J750" t="n">
        <v>0</v>
      </c>
      <c r="K750" t="n">
        <v>0</v>
      </c>
      <c r="L750" t="n">
        <v>0</v>
      </c>
      <c r="M750" t="n">
        <v>0</v>
      </c>
      <c r="N750" t="n">
        <v>0</v>
      </c>
      <c r="O750" t="n">
        <v>0</v>
      </c>
      <c r="P750" t="n">
        <v>0</v>
      </c>
      <c r="Q750" t="n">
        <v>0</v>
      </c>
      <c r="R750" s="2" t="inlineStr"/>
    </row>
    <row r="751" ht="15" customHeight="1">
      <c r="A751" t="inlineStr">
        <is>
          <t>A 56604-2020</t>
        </is>
      </c>
      <c r="B751" s="1" t="n">
        <v>44137</v>
      </c>
      <c r="C751" s="1" t="n">
        <v>45807</v>
      </c>
      <c r="D751" t="inlineStr">
        <is>
          <t>VÄSTERBOTTENS LÄN</t>
        </is>
      </c>
      <c r="E751" t="inlineStr">
        <is>
          <t>SKELLEFTEÅ</t>
        </is>
      </c>
      <c r="F751" t="inlineStr">
        <is>
          <t>Holmen skog AB</t>
        </is>
      </c>
      <c r="G751" t="n">
        <v>2.4</v>
      </c>
      <c r="H751" t="n">
        <v>0</v>
      </c>
      <c r="I751" t="n">
        <v>0</v>
      </c>
      <c r="J751" t="n">
        <v>0</v>
      </c>
      <c r="K751" t="n">
        <v>0</v>
      </c>
      <c r="L751" t="n">
        <v>0</v>
      </c>
      <c r="M751" t="n">
        <v>0</v>
      </c>
      <c r="N751" t="n">
        <v>0</v>
      </c>
      <c r="O751" t="n">
        <v>0</v>
      </c>
      <c r="P751" t="n">
        <v>0</v>
      </c>
      <c r="Q751" t="n">
        <v>0</v>
      </c>
      <c r="R751" s="2" t="inlineStr"/>
    </row>
    <row r="752" ht="15" customHeight="1">
      <c r="A752" t="inlineStr">
        <is>
          <t>A 56720-2020</t>
        </is>
      </c>
      <c r="B752" s="1" t="n">
        <v>44137</v>
      </c>
      <c r="C752" s="1" t="n">
        <v>45807</v>
      </c>
      <c r="D752" t="inlineStr">
        <is>
          <t>VÄSTERBOTTENS LÄN</t>
        </is>
      </c>
      <c r="E752" t="inlineStr">
        <is>
          <t>SKELLEFTEÅ</t>
        </is>
      </c>
      <c r="G752" t="n">
        <v>0.4</v>
      </c>
      <c r="H752" t="n">
        <v>0</v>
      </c>
      <c r="I752" t="n">
        <v>0</v>
      </c>
      <c r="J752" t="n">
        <v>0</v>
      </c>
      <c r="K752" t="n">
        <v>0</v>
      </c>
      <c r="L752" t="n">
        <v>0</v>
      </c>
      <c r="M752" t="n">
        <v>0</v>
      </c>
      <c r="N752" t="n">
        <v>0</v>
      </c>
      <c r="O752" t="n">
        <v>0</v>
      </c>
      <c r="P752" t="n">
        <v>0</v>
      </c>
      <c r="Q752" t="n">
        <v>0</v>
      </c>
      <c r="R752" s="2" t="inlineStr"/>
    </row>
    <row r="753" ht="15" customHeight="1">
      <c r="A753" t="inlineStr">
        <is>
          <t>A 56692-2020</t>
        </is>
      </c>
      <c r="B753" s="1" t="n">
        <v>44137</v>
      </c>
      <c r="C753" s="1" t="n">
        <v>45807</v>
      </c>
      <c r="D753" t="inlineStr">
        <is>
          <t>VÄSTERBOTTENS LÄN</t>
        </is>
      </c>
      <c r="E753" t="inlineStr">
        <is>
          <t>SKELLEFTEÅ</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56718-2020</t>
        </is>
      </c>
      <c r="B754" s="1" t="n">
        <v>44137</v>
      </c>
      <c r="C754" s="1" t="n">
        <v>45807</v>
      </c>
      <c r="D754" t="inlineStr">
        <is>
          <t>VÄSTERBOTTENS LÄN</t>
        </is>
      </c>
      <c r="E754" t="inlineStr">
        <is>
          <t>SKELLEFTEÅ</t>
        </is>
      </c>
      <c r="G754" t="n">
        <v>0.8</v>
      </c>
      <c r="H754" t="n">
        <v>0</v>
      </c>
      <c r="I754" t="n">
        <v>0</v>
      </c>
      <c r="J754" t="n">
        <v>0</v>
      </c>
      <c r="K754" t="n">
        <v>0</v>
      </c>
      <c r="L754" t="n">
        <v>0</v>
      </c>
      <c r="M754" t="n">
        <v>0</v>
      </c>
      <c r="N754" t="n">
        <v>0</v>
      </c>
      <c r="O754" t="n">
        <v>0</v>
      </c>
      <c r="P754" t="n">
        <v>0</v>
      </c>
      <c r="Q754" t="n">
        <v>0</v>
      </c>
      <c r="R754" s="2" t="inlineStr"/>
    </row>
    <row r="755" ht="15" customHeight="1">
      <c r="A755" t="inlineStr">
        <is>
          <t>A 56945-2020</t>
        </is>
      </c>
      <c r="B755" s="1" t="n">
        <v>44138</v>
      </c>
      <c r="C755" s="1" t="n">
        <v>45807</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57620-2020</t>
        </is>
      </c>
      <c r="B756" s="1" t="n">
        <v>44140</v>
      </c>
      <c r="C756" s="1" t="n">
        <v>45807</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57770-2020</t>
        </is>
      </c>
      <c r="B757" s="1" t="n">
        <v>44141</v>
      </c>
      <c r="C757" s="1" t="n">
        <v>45807</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58427-2020</t>
        </is>
      </c>
      <c r="B758" s="1" t="n">
        <v>44141</v>
      </c>
      <c r="C758" s="1" t="n">
        <v>45807</v>
      </c>
      <c r="D758" t="inlineStr">
        <is>
          <t>VÄSTERBOTTENS LÄN</t>
        </is>
      </c>
      <c r="E758" t="inlineStr">
        <is>
          <t>SKELLEFTEÅ</t>
        </is>
      </c>
      <c r="G758" t="n">
        <v>5.5</v>
      </c>
      <c r="H758" t="n">
        <v>0</v>
      </c>
      <c r="I758" t="n">
        <v>0</v>
      </c>
      <c r="J758" t="n">
        <v>0</v>
      </c>
      <c r="K758" t="n">
        <v>0</v>
      </c>
      <c r="L758" t="n">
        <v>0</v>
      </c>
      <c r="M758" t="n">
        <v>0</v>
      </c>
      <c r="N758" t="n">
        <v>0</v>
      </c>
      <c r="O758" t="n">
        <v>0</v>
      </c>
      <c r="P758" t="n">
        <v>0</v>
      </c>
      <c r="Q758" t="n">
        <v>0</v>
      </c>
      <c r="R758" s="2" t="inlineStr"/>
    </row>
    <row r="759" ht="15" customHeight="1">
      <c r="A759" t="inlineStr">
        <is>
          <t>A 58520-2020</t>
        </is>
      </c>
      <c r="B759" s="1" t="n">
        <v>44144</v>
      </c>
      <c r="C759" s="1" t="n">
        <v>45807</v>
      </c>
      <c r="D759" t="inlineStr">
        <is>
          <t>VÄSTERBOTTENS LÄN</t>
        </is>
      </c>
      <c r="E759" t="inlineStr">
        <is>
          <t>SKELLEFTEÅ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58544-2020</t>
        </is>
      </c>
      <c r="B760" s="1" t="n">
        <v>44145</v>
      </c>
      <c r="C760" s="1" t="n">
        <v>45807</v>
      </c>
      <c r="D760" t="inlineStr">
        <is>
          <t>VÄSTERBOTTENS LÄN</t>
        </is>
      </c>
      <c r="E760" t="inlineStr">
        <is>
          <t>SKELLEFTEÅ</t>
        </is>
      </c>
      <c r="F760" t="inlineStr">
        <is>
          <t>Holmen skog AB</t>
        </is>
      </c>
      <c r="G760" t="n">
        <v>1.8</v>
      </c>
      <c r="H760" t="n">
        <v>0</v>
      </c>
      <c r="I760" t="n">
        <v>0</v>
      </c>
      <c r="J760" t="n">
        <v>0</v>
      </c>
      <c r="K760" t="n">
        <v>0</v>
      </c>
      <c r="L760" t="n">
        <v>0</v>
      </c>
      <c r="M760" t="n">
        <v>0</v>
      </c>
      <c r="N760" t="n">
        <v>0</v>
      </c>
      <c r="O760" t="n">
        <v>0</v>
      </c>
      <c r="P760" t="n">
        <v>0</v>
      </c>
      <c r="Q760" t="n">
        <v>0</v>
      </c>
      <c r="R760" s="2" t="inlineStr"/>
    </row>
    <row r="761" ht="15" customHeight="1">
      <c r="A761" t="inlineStr">
        <is>
          <t>A 58769-2020</t>
        </is>
      </c>
      <c r="B761" s="1" t="n">
        <v>44145</v>
      </c>
      <c r="C761" s="1" t="n">
        <v>45807</v>
      </c>
      <c r="D761" t="inlineStr">
        <is>
          <t>VÄSTERBOTTENS LÄN</t>
        </is>
      </c>
      <c r="E761" t="inlineStr">
        <is>
          <t>SKELLEFTEÅ</t>
        </is>
      </c>
      <c r="G761" t="n">
        <v>4</v>
      </c>
      <c r="H761" t="n">
        <v>0</v>
      </c>
      <c r="I761" t="n">
        <v>0</v>
      </c>
      <c r="J761" t="n">
        <v>0</v>
      </c>
      <c r="K761" t="n">
        <v>0</v>
      </c>
      <c r="L761" t="n">
        <v>0</v>
      </c>
      <c r="M761" t="n">
        <v>0</v>
      </c>
      <c r="N761" t="n">
        <v>0</v>
      </c>
      <c r="O761" t="n">
        <v>0</v>
      </c>
      <c r="P761" t="n">
        <v>0</v>
      </c>
      <c r="Q761" t="n">
        <v>0</v>
      </c>
      <c r="R761" s="2" t="inlineStr"/>
    </row>
    <row r="762" ht="15" customHeight="1">
      <c r="A762" t="inlineStr">
        <is>
          <t>A 58861-2020</t>
        </is>
      </c>
      <c r="B762" s="1" t="n">
        <v>44146</v>
      </c>
      <c r="C762" s="1" t="n">
        <v>45807</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59406-2020</t>
        </is>
      </c>
      <c r="B763" s="1" t="n">
        <v>44147</v>
      </c>
      <c r="C763" s="1" t="n">
        <v>45807</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59518-2020</t>
        </is>
      </c>
      <c r="B764" s="1" t="n">
        <v>44148</v>
      </c>
      <c r="C764" s="1" t="n">
        <v>45807</v>
      </c>
      <c r="D764" t="inlineStr">
        <is>
          <t>VÄSTERBOTTENS LÄN</t>
        </is>
      </c>
      <c r="E764" t="inlineStr">
        <is>
          <t>SKELLEFTEÅ</t>
        </is>
      </c>
      <c r="F764" t="inlineStr">
        <is>
          <t>Holmen skog AB</t>
        </is>
      </c>
      <c r="G764" t="n">
        <v>4.5</v>
      </c>
      <c r="H764" t="n">
        <v>0</v>
      </c>
      <c r="I764" t="n">
        <v>0</v>
      </c>
      <c r="J764" t="n">
        <v>0</v>
      </c>
      <c r="K764" t="n">
        <v>0</v>
      </c>
      <c r="L764" t="n">
        <v>0</v>
      </c>
      <c r="M764" t="n">
        <v>0</v>
      </c>
      <c r="N764" t="n">
        <v>0</v>
      </c>
      <c r="O764" t="n">
        <v>0</v>
      </c>
      <c r="P764" t="n">
        <v>0</v>
      </c>
      <c r="Q764" t="n">
        <v>0</v>
      </c>
      <c r="R764" s="2" t="inlineStr"/>
    </row>
    <row r="765" ht="15" customHeight="1">
      <c r="A765" t="inlineStr">
        <is>
          <t>A 59870-2020</t>
        </is>
      </c>
      <c r="B765" s="1" t="n">
        <v>44151</v>
      </c>
      <c r="C765" s="1" t="n">
        <v>45807</v>
      </c>
      <c r="D765" t="inlineStr">
        <is>
          <t>VÄSTERBOTTENS LÄN</t>
        </is>
      </c>
      <c r="E765" t="inlineStr">
        <is>
          <t>SKELLEFTEÅ</t>
        </is>
      </c>
      <c r="F765" t="inlineStr">
        <is>
          <t>Kommuner</t>
        </is>
      </c>
      <c r="G765" t="n">
        <v>5.7</v>
      </c>
      <c r="H765" t="n">
        <v>0</v>
      </c>
      <c r="I765" t="n">
        <v>0</v>
      </c>
      <c r="J765" t="n">
        <v>0</v>
      </c>
      <c r="K765" t="n">
        <v>0</v>
      </c>
      <c r="L765" t="n">
        <v>0</v>
      </c>
      <c r="M765" t="n">
        <v>0</v>
      </c>
      <c r="N765" t="n">
        <v>0</v>
      </c>
      <c r="O765" t="n">
        <v>0</v>
      </c>
      <c r="P765" t="n">
        <v>0</v>
      </c>
      <c r="Q765" t="n">
        <v>0</v>
      </c>
      <c r="R765" s="2" t="inlineStr"/>
    </row>
    <row r="766" ht="15" customHeight="1">
      <c r="A766" t="inlineStr">
        <is>
          <t>A 60152-2020</t>
        </is>
      </c>
      <c r="B766" s="1" t="n">
        <v>44151</v>
      </c>
      <c r="C766" s="1" t="n">
        <v>45807</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60489-2020</t>
        </is>
      </c>
      <c r="B767" s="1" t="n">
        <v>44152</v>
      </c>
      <c r="C767" s="1" t="n">
        <v>45807</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61260-2020</t>
        </is>
      </c>
      <c r="B768" s="1" t="n">
        <v>44153</v>
      </c>
      <c r="C768" s="1" t="n">
        <v>45807</v>
      </c>
      <c r="D768" t="inlineStr">
        <is>
          <t>VÄSTERBOTTENS LÄN</t>
        </is>
      </c>
      <c r="E768" t="inlineStr">
        <is>
          <t>SKELLEFTEÅ</t>
        </is>
      </c>
      <c r="G768" t="n">
        <v>16.1</v>
      </c>
      <c r="H768" t="n">
        <v>0</v>
      </c>
      <c r="I768" t="n">
        <v>0</v>
      </c>
      <c r="J768" t="n">
        <v>0</v>
      </c>
      <c r="K768" t="n">
        <v>0</v>
      </c>
      <c r="L768" t="n">
        <v>0</v>
      </c>
      <c r="M768" t="n">
        <v>0</v>
      </c>
      <c r="N768" t="n">
        <v>0</v>
      </c>
      <c r="O768" t="n">
        <v>0</v>
      </c>
      <c r="P768" t="n">
        <v>0</v>
      </c>
      <c r="Q768" t="n">
        <v>0</v>
      </c>
      <c r="R768" s="2" t="inlineStr"/>
    </row>
    <row r="769" ht="15" customHeight="1">
      <c r="A769" t="inlineStr">
        <is>
          <t>A 61937-2020</t>
        </is>
      </c>
      <c r="B769" s="1" t="n">
        <v>44155</v>
      </c>
      <c r="C769" s="1" t="n">
        <v>45807</v>
      </c>
      <c r="D769" t="inlineStr">
        <is>
          <t>VÄSTERBOTTENS LÄN</t>
        </is>
      </c>
      <c r="E769" t="inlineStr">
        <is>
          <t>SKELLEFTEÅ</t>
        </is>
      </c>
      <c r="G769" t="n">
        <v>1.4</v>
      </c>
      <c r="H769" t="n">
        <v>0</v>
      </c>
      <c r="I769" t="n">
        <v>0</v>
      </c>
      <c r="J769" t="n">
        <v>0</v>
      </c>
      <c r="K769" t="n">
        <v>0</v>
      </c>
      <c r="L769" t="n">
        <v>0</v>
      </c>
      <c r="M769" t="n">
        <v>0</v>
      </c>
      <c r="N769" t="n">
        <v>0</v>
      </c>
      <c r="O769" t="n">
        <v>0</v>
      </c>
      <c r="P769" t="n">
        <v>0</v>
      </c>
      <c r="Q769" t="n">
        <v>0</v>
      </c>
      <c r="R769" s="2" t="inlineStr"/>
    </row>
    <row r="770" ht="15" customHeight="1">
      <c r="A770" t="inlineStr">
        <is>
          <t>A 61958-2020</t>
        </is>
      </c>
      <c r="B770" s="1" t="n">
        <v>44155</v>
      </c>
      <c r="C770" s="1" t="n">
        <v>45807</v>
      </c>
      <c r="D770" t="inlineStr">
        <is>
          <t>VÄSTERBOTTENS LÄN</t>
        </is>
      </c>
      <c r="E770" t="inlineStr">
        <is>
          <t>SKELLEFTEÅ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62158-2020</t>
        </is>
      </c>
      <c r="B771" s="1" t="n">
        <v>44159</v>
      </c>
      <c r="C771" s="1" t="n">
        <v>45807</v>
      </c>
      <c r="D771" t="inlineStr">
        <is>
          <t>VÄSTERBOTTENS LÄN</t>
        </is>
      </c>
      <c r="E771" t="inlineStr">
        <is>
          <t>SKELLEFTEÅ</t>
        </is>
      </c>
      <c r="F771" t="inlineStr">
        <is>
          <t>Sveaskog</t>
        </is>
      </c>
      <c r="G771" t="n">
        <v>14.7</v>
      </c>
      <c r="H771" t="n">
        <v>0</v>
      </c>
      <c r="I771" t="n">
        <v>0</v>
      </c>
      <c r="J771" t="n">
        <v>0</v>
      </c>
      <c r="K771" t="n">
        <v>0</v>
      </c>
      <c r="L771" t="n">
        <v>0</v>
      </c>
      <c r="M771" t="n">
        <v>0</v>
      </c>
      <c r="N771" t="n">
        <v>0</v>
      </c>
      <c r="O771" t="n">
        <v>0</v>
      </c>
      <c r="P771" t="n">
        <v>0</v>
      </c>
      <c r="Q771" t="n">
        <v>0</v>
      </c>
      <c r="R771" s="2" t="inlineStr"/>
    </row>
    <row r="772" ht="15" customHeight="1">
      <c r="A772" t="inlineStr">
        <is>
          <t>A 62466-2020</t>
        </is>
      </c>
      <c r="B772" s="1" t="n">
        <v>44160</v>
      </c>
      <c r="C772" s="1" t="n">
        <v>45807</v>
      </c>
      <c r="D772" t="inlineStr">
        <is>
          <t>VÄSTERBOTTENS LÄN</t>
        </is>
      </c>
      <c r="E772" t="inlineStr">
        <is>
          <t>SKELLEFTEÅ</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62467-2020</t>
        </is>
      </c>
      <c r="B773" s="1" t="n">
        <v>44160</v>
      </c>
      <c r="C773" s="1" t="n">
        <v>45807</v>
      </c>
      <c r="D773" t="inlineStr">
        <is>
          <t>VÄSTERBOTTENS LÄN</t>
        </is>
      </c>
      <c r="E773" t="inlineStr">
        <is>
          <t>SKELLEFTEÅ</t>
        </is>
      </c>
      <c r="F773" t="inlineStr">
        <is>
          <t>Sveaskog</t>
        </is>
      </c>
      <c r="G773" t="n">
        <v>3.6</v>
      </c>
      <c r="H773" t="n">
        <v>0</v>
      </c>
      <c r="I773" t="n">
        <v>0</v>
      </c>
      <c r="J773" t="n">
        <v>0</v>
      </c>
      <c r="K773" t="n">
        <v>0</v>
      </c>
      <c r="L773" t="n">
        <v>0</v>
      </c>
      <c r="M773" t="n">
        <v>0</v>
      </c>
      <c r="N773" t="n">
        <v>0</v>
      </c>
      <c r="O773" t="n">
        <v>0</v>
      </c>
      <c r="P773" t="n">
        <v>0</v>
      </c>
      <c r="Q773" t="n">
        <v>0</v>
      </c>
      <c r="R773" s="2" t="inlineStr"/>
    </row>
    <row r="774" ht="15" customHeight="1">
      <c r="A774" t="inlineStr">
        <is>
          <t>A 62763-2020</t>
        </is>
      </c>
      <c r="B774" s="1" t="n">
        <v>44160</v>
      </c>
      <c r="C774" s="1" t="n">
        <v>45807</v>
      </c>
      <c r="D774" t="inlineStr">
        <is>
          <t>VÄSTERBOTTENS LÄN</t>
        </is>
      </c>
      <c r="E774" t="inlineStr">
        <is>
          <t>SKELLEFTEÅ</t>
        </is>
      </c>
      <c r="G774" t="n">
        <v>1.1</v>
      </c>
      <c r="H774" t="n">
        <v>0</v>
      </c>
      <c r="I774" t="n">
        <v>0</v>
      </c>
      <c r="J774" t="n">
        <v>0</v>
      </c>
      <c r="K774" t="n">
        <v>0</v>
      </c>
      <c r="L774" t="n">
        <v>0</v>
      </c>
      <c r="M774" t="n">
        <v>0</v>
      </c>
      <c r="N774" t="n">
        <v>0</v>
      </c>
      <c r="O774" t="n">
        <v>0</v>
      </c>
      <c r="P774" t="n">
        <v>0</v>
      </c>
      <c r="Q774" t="n">
        <v>0</v>
      </c>
      <c r="R774" s="2" t="inlineStr"/>
    </row>
    <row r="775" ht="15" customHeight="1">
      <c r="A775" t="inlineStr">
        <is>
          <t>A 62592-2020</t>
        </is>
      </c>
      <c r="B775" s="1" t="n">
        <v>44161</v>
      </c>
      <c r="C775" s="1" t="n">
        <v>45807</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63241-2020</t>
        </is>
      </c>
      <c r="B776" s="1" t="n">
        <v>44163</v>
      </c>
      <c r="C776" s="1" t="n">
        <v>45807</v>
      </c>
      <c r="D776" t="inlineStr">
        <is>
          <t>VÄSTERBOTTENS LÄN</t>
        </is>
      </c>
      <c r="E776" t="inlineStr">
        <is>
          <t>SKELLEFTEÅ</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63839-2020</t>
        </is>
      </c>
      <c r="B777" s="1" t="n">
        <v>44165</v>
      </c>
      <c r="C777" s="1" t="n">
        <v>45807</v>
      </c>
      <c r="D777" t="inlineStr">
        <is>
          <t>VÄSTERBOTTENS LÄN</t>
        </is>
      </c>
      <c r="E777" t="inlineStr">
        <is>
          <t>SKELLEFTEÅ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64650-2020</t>
        </is>
      </c>
      <c r="B778" s="1" t="n">
        <v>44166</v>
      </c>
      <c r="C778" s="1" t="n">
        <v>45807</v>
      </c>
      <c r="D778" t="inlineStr">
        <is>
          <t>VÄSTERBOTTENS LÄN</t>
        </is>
      </c>
      <c r="E778" t="inlineStr">
        <is>
          <t>SKELLEFTEÅ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64198-2020</t>
        </is>
      </c>
      <c r="B779" s="1" t="n">
        <v>44167</v>
      </c>
      <c r="C779" s="1" t="n">
        <v>45807</v>
      </c>
      <c r="D779" t="inlineStr">
        <is>
          <t>VÄSTERBOTTENS LÄN</t>
        </is>
      </c>
      <c r="E779" t="inlineStr">
        <is>
          <t>SKELLEFTEÅ</t>
        </is>
      </c>
      <c r="F779" t="inlineStr">
        <is>
          <t>SCA</t>
        </is>
      </c>
      <c r="G779" t="n">
        <v>5.9</v>
      </c>
      <c r="H779" t="n">
        <v>0</v>
      </c>
      <c r="I779" t="n">
        <v>0</v>
      </c>
      <c r="J779" t="n">
        <v>0</v>
      </c>
      <c r="K779" t="n">
        <v>0</v>
      </c>
      <c r="L779" t="n">
        <v>0</v>
      </c>
      <c r="M779" t="n">
        <v>0</v>
      </c>
      <c r="N779" t="n">
        <v>0</v>
      </c>
      <c r="O779" t="n">
        <v>0</v>
      </c>
      <c r="P779" t="n">
        <v>0</v>
      </c>
      <c r="Q779" t="n">
        <v>0</v>
      </c>
      <c r="R779" s="2" t="inlineStr"/>
    </row>
    <row r="780" ht="15" customHeight="1">
      <c r="A780" t="inlineStr">
        <is>
          <t>A 64977-2020</t>
        </is>
      </c>
      <c r="B780" s="1" t="n">
        <v>44167</v>
      </c>
      <c r="C780" s="1" t="n">
        <v>45807</v>
      </c>
      <c r="D780" t="inlineStr">
        <is>
          <t>VÄSTERBOTTENS LÄN</t>
        </is>
      </c>
      <c r="E780" t="inlineStr">
        <is>
          <t>SKELLEFTEÅ</t>
        </is>
      </c>
      <c r="G780" t="n">
        <v>9</v>
      </c>
      <c r="H780" t="n">
        <v>0</v>
      </c>
      <c r="I780" t="n">
        <v>0</v>
      </c>
      <c r="J780" t="n">
        <v>0</v>
      </c>
      <c r="K780" t="n">
        <v>0</v>
      </c>
      <c r="L780" t="n">
        <v>0</v>
      </c>
      <c r="M780" t="n">
        <v>0</v>
      </c>
      <c r="N780" t="n">
        <v>0</v>
      </c>
      <c r="O780" t="n">
        <v>0</v>
      </c>
      <c r="P780" t="n">
        <v>0</v>
      </c>
      <c r="Q780" t="n">
        <v>0</v>
      </c>
      <c r="R780" s="2" t="inlineStr"/>
    </row>
    <row r="781" ht="15" customHeight="1">
      <c r="A781" t="inlineStr">
        <is>
          <t>A 65096-2020</t>
        </is>
      </c>
      <c r="B781" s="1" t="n">
        <v>44167</v>
      </c>
      <c r="C781" s="1" t="n">
        <v>45807</v>
      </c>
      <c r="D781" t="inlineStr">
        <is>
          <t>VÄSTERBOTTENS LÄN</t>
        </is>
      </c>
      <c r="E781" t="inlineStr">
        <is>
          <t>SKELLEFTEÅ</t>
        </is>
      </c>
      <c r="G781" t="n">
        <v>3.2</v>
      </c>
      <c r="H781" t="n">
        <v>0</v>
      </c>
      <c r="I781" t="n">
        <v>0</v>
      </c>
      <c r="J781" t="n">
        <v>0</v>
      </c>
      <c r="K781" t="n">
        <v>0</v>
      </c>
      <c r="L781" t="n">
        <v>0</v>
      </c>
      <c r="M781" t="n">
        <v>0</v>
      </c>
      <c r="N781" t="n">
        <v>0</v>
      </c>
      <c r="O781" t="n">
        <v>0</v>
      </c>
      <c r="P781" t="n">
        <v>0</v>
      </c>
      <c r="Q781" t="n">
        <v>0</v>
      </c>
      <c r="R781" s="2" t="inlineStr"/>
    </row>
    <row r="782" ht="15" customHeight="1">
      <c r="A782" t="inlineStr">
        <is>
          <t>A 65053-2020</t>
        </is>
      </c>
      <c r="B782" s="1" t="n">
        <v>44167</v>
      </c>
      <c r="C782" s="1" t="n">
        <v>45807</v>
      </c>
      <c r="D782" t="inlineStr">
        <is>
          <t>VÄSTERBOTTENS LÄN</t>
        </is>
      </c>
      <c r="E782" t="inlineStr">
        <is>
          <t>SKELLEFTEÅ</t>
        </is>
      </c>
      <c r="G782" t="n">
        <v>1</v>
      </c>
      <c r="H782" t="n">
        <v>0</v>
      </c>
      <c r="I782" t="n">
        <v>0</v>
      </c>
      <c r="J782" t="n">
        <v>0</v>
      </c>
      <c r="K782" t="n">
        <v>0</v>
      </c>
      <c r="L782" t="n">
        <v>0</v>
      </c>
      <c r="M782" t="n">
        <v>0</v>
      </c>
      <c r="N782" t="n">
        <v>0</v>
      </c>
      <c r="O782" t="n">
        <v>0</v>
      </c>
      <c r="P782" t="n">
        <v>0</v>
      </c>
      <c r="Q782" t="n">
        <v>0</v>
      </c>
      <c r="R782" s="2" t="inlineStr"/>
    </row>
    <row r="783" ht="15" customHeight="1">
      <c r="A783" t="inlineStr">
        <is>
          <t>A 65103-2020</t>
        </is>
      </c>
      <c r="B783" s="1" t="n">
        <v>44167</v>
      </c>
      <c r="C783" s="1" t="n">
        <v>45807</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64296-2020</t>
        </is>
      </c>
      <c r="B784" s="1" t="n">
        <v>44168</v>
      </c>
      <c r="C784" s="1" t="n">
        <v>45807</v>
      </c>
      <c r="D784" t="inlineStr">
        <is>
          <t>VÄSTERBOTTENS LÄN</t>
        </is>
      </c>
      <c r="E784" t="inlineStr">
        <is>
          <t>SKELLEFTEÅ</t>
        </is>
      </c>
      <c r="F784" t="inlineStr">
        <is>
          <t>Sveaskog</t>
        </is>
      </c>
      <c r="G784" t="n">
        <v>4.4</v>
      </c>
      <c r="H784" t="n">
        <v>0</v>
      </c>
      <c r="I784" t="n">
        <v>0</v>
      </c>
      <c r="J784" t="n">
        <v>0</v>
      </c>
      <c r="K784" t="n">
        <v>0</v>
      </c>
      <c r="L784" t="n">
        <v>0</v>
      </c>
      <c r="M784" t="n">
        <v>0</v>
      </c>
      <c r="N784" t="n">
        <v>0</v>
      </c>
      <c r="O784" t="n">
        <v>0</v>
      </c>
      <c r="P784" t="n">
        <v>0</v>
      </c>
      <c r="Q784" t="n">
        <v>0</v>
      </c>
      <c r="R784" s="2" t="inlineStr"/>
    </row>
    <row r="785" ht="15" customHeight="1">
      <c r="A785" t="inlineStr">
        <is>
          <t>A 64481-2020</t>
        </is>
      </c>
      <c r="B785" s="1" t="n">
        <v>44168</v>
      </c>
      <c r="C785" s="1" t="n">
        <v>45807</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64507-2020</t>
        </is>
      </c>
      <c r="B786" s="1" t="n">
        <v>44168</v>
      </c>
      <c r="C786" s="1" t="n">
        <v>45807</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64485-2020</t>
        </is>
      </c>
      <c r="B787" s="1" t="n">
        <v>44168</v>
      </c>
      <c r="C787" s="1" t="n">
        <v>45807</v>
      </c>
      <c r="D787" t="inlineStr">
        <is>
          <t>VÄSTERBOTTENS LÄN</t>
        </is>
      </c>
      <c r="E787" t="inlineStr">
        <is>
          <t>SKELLEFTEÅ</t>
        </is>
      </c>
      <c r="G787" t="n">
        <v>35.4</v>
      </c>
      <c r="H787" t="n">
        <v>0</v>
      </c>
      <c r="I787" t="n">
        <v>0</v>
      </c>
      <c r="J787" t="n">
        <v>0</v>
      </c>
      <c r="K787" t="n">
        <v>0</v>
      </c>
      <c r="L787" t="n">
        <v>0</v>
      </c>
      <c r="M787" t="n">
        <v>0</v>
      </c>
      <c r="N787" t="n">
        <v>0</v>
      </c>
      <c r="O787" t="n">
        <v>0</v>
      </c>
      <c r="P787" t="n">
        <v>0</v>
      </c>
      <c r="Q787" t="n">
        <v>0</v>
      </c>
      <c r="R787" s="2" t="inlineStr"/>
    </row>
    <row r="788" ht="15" customHeight="1">
      <c r="A788" t="inlineStr">
        <is>
          <t>A 65254-2020</t>
        </is>
      </c>
      <c r="B788" s="1" t="n">
        <v>44172</v>
      </c>
      <c r="C788" s="1" t="n">
        <v>45807</v>
      </c>
      <c r="D788" t="inlineStr">
        <is>
          <t>VÄSTERBOTTENS LÄN</t>
        </is>
      </c>
      <c r="E788" t="inlineStr">
        <is>
          <t>SKELLEFTEÅ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65582-2020</t>
        </is>
      </c>
      <c r="B789" s="1" t="n">
        <v>44172</v>
      </c>
      <c r="C789" s="1" t="n">
        <v>45807</v>
      </c>
      <c r="D789" t="inlineStr">
        <is>
          <t>VÄSTERBOTTENS LÄN</t>
        </is>
      </c>
      <c r="E789" t="inlineStr">
        <is>
          <t>SKELLEFTEÅ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65486-2020</t>
        </is>
      </c>
      <c r="B790" s="1" t="n">
        <v>44172</v>
      </c>
      <c r="C790" s="1" t="n">
        <v>45807</v>
      </c>
      <c r="D790" t="inlineStr">
        <is>
          <t>VÄSTERBOTTENS LÄN</t>
        </is>
      </c>
      <c r="E790" t="inlineStr">
        <is>
          <t>SKELLEFTEÅ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65379-2020</t>
        </is>
      </c>
      <c r="B791" s="1" t="n">
        <v>44173</v>
      </c>
      <c r="C791" s="1" t="n">
        <v>45807</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65384-2020</t>
        </is>
      </c>
      <c r="B792" s="1" t="n">
        <v>44173</v>
      </c>
      <c r="C792" s="1" t="n">
        <v>45807</v>
      </c>
      <c r="D792" t="inlineStr">
        <is>
          <t>VÄSTERBOTTENS LÄN</t>
        </is>
      </c>
      <c r="E792" t="inlineStr">
        <is>
          <t>SKELLEFTEÅ</t>
        </is>
      </c>
      <c r="G792" t="n">
        <v>0.5</v>
      </c>
      <c r="H792" t="n">
        <v>0</v>
      </c>
      <c r="I792" t="n">
        <v>0</v>
      </c>
      <c r="J792" t="n">
        <v>0</v>
      </c>
      <c r="K792" t="n">
        <v>0</v>
      </c>
      <c r="L792" t="n">
        <v>0</v>
      </c>
      <c r="M792" t="n">
        <v>0</v>
      </c>
      <c r="N792" t="n">
        <v>0</v>
      </c>
      <c r="O792" t="n">
        <v>0</v>
      </c>
      <c r="P792" t="n">
        <v>0</v>
      </c>
      <c r="Q792" t="n">
        <v>0</v>
      </c>
      <c r="R792" s="2" t="inlineStr"/>
    </row>
    <row r="793" ht="15" customHeight="1">
      <c r="A793" t="inlineStr">
        <is>
          <t>A 65567-2020</t>
        </is>
      </c>
      <c r="B793" s="1" t="n">
        <v>44173</v>
      </c>
      <c r="C793" s="1" t="n">
        <v>45807</v>
      </c>
      <c r="D793" t="inlineStr">
        <is>
          <t>VÄSTERBOTTENS LÄN</t>
        </is>
      </c>
      <c r="E793" t="inlineStr">
        <is>
          <t>SKELLEFTEÅ</t>
        </is>
      </c>
      <c r="F793" t="inlineStr">
        <is>
          <t>Sveaskog</t>
        </is>
      </c>
      <c r="G793" t="n">
        <v>17.7</v>
      </c>
      <c r="H793" t="n">
        <v>0</v>
      </c>
      <c r="I793" t="n">
        <v>0</v>
      </c>
      <c r="J793" t="n">
        <v>0</v>
      </c>
      <c r="K793" t="n">
        <v>0</v>
      </c>
      <c r="L793" t="n">
        <v>0</v>
      </c>
      <c r="M793" t="n">
        <v>0</v>
      </c>
      <c r="N793" t="n">
        <v>0</v>
      </c>
      <c r="O793" t="n">
        <v>0</v>
      </c>
      <c r="P793" t="n">
        <v>0</v>
      </c>
      <c r="Q793" t="n">
        <v>0</v>
      </c>
      <c r="R793" s="2" t="inlineStr"/>
    </row>
    <row r="794" ht="15" customHeight="1">
      <c r="A794" t="inlineStr">
        <is>
          <t>A 65382-2020</t>
        </is>
      </c>
      <c r="B794" s="1" t="n">
        <v>44173</v>
      </c>
      <c r="C794" s="1" t="n">
        <v>45807</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66061-2020</t>
        </is>
      </c>
      <c r="B795" s="1" t="n">
        <v>44173</v>
      </c>
      <c r="C795" s="1" t="n">
        <v>45807</v>
      </c>
      <c r="D795" t="inlineStr">
        <is>
          <t>VÄSTERBOTTENS LÄN</t>
        </is>
      </c>
      <c r="E795" t="inlineStr">
        <is>
          <t>SKELLEFTEÅ</t>
        </is>
      </c>
      <c r="G795" t="n">
        <v>5.8</v>
      </c>
      <c r="H795" t="n">
        <v>0</v>
      </c>
      <c r="I795" t="n">
        <v>0</v>
      </c>
      <c r="J795" t="n">
        <v>0</v>
      </c>
      <c r="K795" t="n">
        <v>0</v>
      </c>
      <c r="L795" t="n">
        <v>0</v>
      </c>
      <c r="M795" t="n">
        <v>0</v>
      </c>
      <c r="N795" t="n">
        <v>0</v>
      </c>
      <c r="O795" t="n">
        <v>0</v>
      </c>
      <c r="P795" t="n">
        <v>0</v>
      </c>
      <c r="Q795" t="n">
        <v>0</v>
      </c>
      <c r="R795" s="2" t="inlineStr"/>
    </row>
    <row r="796" ht="15" customHeight="1">
      <c r="A796" t="inlineStr">
        <is>
          <t>A 66480-2020</t>
        </is>
      </c>
      <c r="B796" s="1" t="n">
        <v>44177</v>
      </c>
      <c r="C796" s="1" t="n">
        <v>45807</v>
      </c>
      <c r="D796" t="inlineStr">
        <is>
          <t>VÄSTERBOTTENS LÄN</t>
        </is>
      </c>
      <c r="E796" t="inlineStr">
        <is>
          <t>SKELLEFTEÅ</t>
        </is>
      </c>
      <c r="G796" t="n">
        <v>5.2</v>
      </c>
      <c r="H796" t="n">
        <v>0</v>
      </c>
      <c r="I796" t="n">
        <v>0</v>
      </c>
      <c r="J796" t="n">
        <v>0</v>
      </c>
      <c r="K796" t="n">
        <v>0</v>
      </c>
      <c r="L796" t="n">
        <v>0</v>
      </c>
      <c r="M796" t="n">
        <v>0</v>
      </c>
      <c r="N796" t="n">
        <v>0</v>
      </c>
      <c r="O796" t="n">
        <v>0</v>
      </c>
      <c r="P796" t="n">
        <v>0</v>
      </c>
      <c r="Q796" t="n">
        <v>0</v>
      </c>
      <c r="R796" s="2" t="inlineStr"/>
    </row>
    <row r="797" ht="15" customHeight="1">
      <c r="A797" t="inlineStr">
        <is>
          <t>A 66820-2020</t>
        </is>
      </c>
      <c r="B797" s="1" t="n">
        <v>44179</v>
      </c>
      <c r="C797" s="1" t="n">
        <v>45807</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67297-2020</t>
        </is>
      </c>
      <c r="B798" s="1" t="n">
        <v>44181</v>
      </c>
      <c r="C798" s="1" t="n">
        <v>45807</v>
      </c>
      <c r="D798" t="inlineStr">
        <is>
          <t>VÄSTERBOTTENS LÄN</t>
        </is>
      </c>
      <c r="E798" t="inlineStr">
        <is>
          <t>SKELLEFTEÅ</t>
        </is>
      </c>
      <c r="G798" t="n">
        <v>6.8</v>
      </c>
      <c r="H798" t="n">
        <v>0</v>
      </c>
      <c r="I798" t="n">
        <v>0</v>
      </c>
      <c r="J798" t="n">
        <v>0</v>
      </c>
      <c r="K798" t="n">
        <v>0</v>
      </c>
      <c r="L798" t="n">
        <v>0</v>
      </c>
      <c r="M798" t="n">
        <v>0</v>
      </c>
      <c r="N798" t="n">
        <v>0</v>
      </c>
      <c r="O798" t="n">
        <v>0</v>
      </c>
      <c r="P798" t="n">
        <v>0</v>
      </c>
      <c r="Q798" t="n">
        <v>0</v>
      </c>
      <c r="R798" s="2" t="inlineStr"/>
    </row>
    <row r="799" ht="15" customHeight="1">
      <c r="A799" t="inlineStr">
        <is>
          <t>A 67624-2020</t>
        </is>
      </c>
      <c r="B799" s="1" t="n">
        <v>44181</v>
      </c>
      <c r="C799" s="1" t="n">
        <v>45807</v>
      </c>
      <c r="D799" t="inlineStr">
        <is>
          <t>VÄSTERBOTTENS LÄN</t>
        </is>
      </c>
      <c r="E799" t="inlineStr">
        <is>
          <t>SKELLEFTEÅ</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67678-2020</t>
        </is>
      </c>
      <c r="B800" s="1" t="n">
        <v>44182</v>
      </c>
      <c r="C800" s="1" t="n">
        <v>45807</v>
      </c>
      <c r="D800" t="inlineStr">
        <is>
          <t>VÄSTERBOTTENS LÄN</t>
        </is>
      </c>
      <c r="E800" t="inlineStr">
        <is>
          <t>SKELLEFTEÅ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67976-2020</t>
        </is>
      </c>
      <c r="B801" s="1" t="n">
        <v>44182</v>
      </c>
      <c r="C801" s="1" t="n">
        <v>45807</v>
      </c>
      <c r="D801" t="inlineStr">
        <is>
          <t>VÄSTERBOTTENS LÄN</t>
        </is>
      </c>
      <c r="E801" t="inlineStr">
        <is>
          <t>SKELLEFTEÅ</t>
        </is>
      </c>
      <c r="F801" t="inlineStr">
        <is>
          <t>Holmen skog AB</t>
        </is>
      </c>
      <c r="G801" t="n">
        <v>2.3</v>
      </c>
      <c r="H801" t="n">
        <v>0</v>
      </c>
      <c r="I801" t="n">
        <v>0</v>
      </c>
      <c r="J801" t="n">
        <v>0</v>
      </c>
      <c r="K801" t="n">
        <v>0</v>
      </c>
      <c r="L801" t="n">
        <v>0</v>
      </c>
      <c r="M801" t="n">
        <v>0</v>
      </c>
      <c r="N801" t="n">
        <v>0</v>
      </c>
      <c r="O801" t="n">
        <v>0</v>
      </c>
      <c r="P801" t="n">
        <v>0</v>
      </c>
      <c r="Q801" t="n">
        <v>0</v>
      </c>
      <c r="R801" s="2" t="inlineStr"/>
    </row>
    <row r="802" ht="15" customHeight="1">
      <c r="A802" t="inlineStr">
        <is>
          <t>A 68116-2020</t>
        </is>
      </c>
      <c r="B802" s="1" t="n">
        <v>44183</v>
      </c>
      <c r="C802" s="1" t="n">
        <v>45807</v>
      </c>
      <c r="D802" t="inlineStr">
        <is>
          <t>VÄSTERBOTTENS LÄN</t>
        </is>
      </c>
      <c r="E802" t="inlineStr">
        <is>
          <t>SKELLEFTEÅ</t>
        </is>
      </c>
      <c r="F802" t="inlineStr">
        <is>
          <t>Sveaskog</t>
        </is>
      </c>
      <c r="G802" t="n">
        <v>5.5</v>
      </c>
      <c r="H802" t="n">
        <v>0</v>
      </c>
      <c r="I802" t="n">
        <v>0</v>
      </c>
      <c r="J802" t="n">
        <v>0</v>
      </c>
      <c r="K802" t="n">
        <v>0</v>
      </c>
      <c r="L802" t="n">
        <v>0</v>
      </c>
      <c r="M802" t="n">
        <v>0</v>
      </c>
      <c r="N802" t="n">
        <v>0</v>
      </c>
      <c r="O802" t="n">
        <v>0</v>
      </c>
      <c r="P802" t="n">
        <v>0</v>
      </c>
      <c r="Q802" t="n">
        <v>0</v>
      </c>
      <c r="R802" s="2" t="inlineStr"/>
    </row>
    <row r="803" ht="15" customHeight="1">
      <c r="A803" t="inlineStr">
        <is>
          <t>A 68203-2020</t>
        </is>
      </c>
      <c r="B803" s="1" t="n">
        <v>44183</v>
      </c>
      <c r="C803" s="1" t="n">
        <v>45807</v>
      </c>
      <c r="D803" t="inlineStr">
        <is>
          <t>VÄSTERBOTTENS LÄN</t>
        </is>
      </c>
      <c r="E803" t="inlineStr">
        <is>
          <t>SKELLEFTEÅ</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68055-2020</t>
        </is>
      </c>
      <c r="B804" s="1" t="n">
        <v>44183</v>
      </c>
      <c r="C804" s="1" t="n">
        <v>45807</v>
      </c>
      <c r="D804" t="inlineStr">
        <is>
          <t>VÄSTERBOTTENS LÄN</t>
        </is>
      </c>
      <c r="E804" t="inlineStr">
        <is>
          <t>SKELLEFTEÅ</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68564-2020</t>
        </is>
      </c>
      <c r="B805" s="1" t="n">
        <v>44186</v>
      </c>
      <c r="C805" s="1" t="n">
        <v>45807</v>
      </c>
      <c r="D805" t="inlineStr">
        <is>
          <t>VÄSTERBOTTENS LÄN</t>
        </is>
      </c>
      <c r="E805" t="inlineStr">
        <is>
          <t>SKELLEFTEÅ</t>
        </is>
      </c>
      <c r="G805" t="n">
        <v>11.4</v>
      </c>
      <c r="H805" t="n">
        <v>0</v>
      </c>
      <c r="I805" t="n">
        <v>0</v>
      </c>
      <c r="J805" t="n">
        <v>0</v>
      </c>
      <c r="K805" t="n">
        <v>0</v>
      </c>
      <c r="L805" t="n">
        <v>0</v>
      </c>
      <c r="M805" t="n">
        <v>0</v>
      </c>
      <c r="N805" t="n">
        <v>0</v>
      </c>
      <c r="O805" t="n">
        <v>0</v>
      </c>
      <c r="P805" t="n">
        <v>0</v>
      </c>
      <c r="Q805" t="n">
        <v>0</v>
      </c>
      <c r="R805" s="2" t="inlineStr"/>
    </row>
    <row r="806" ht="15" customHeight="1">
      <c r="A806" t="inlineStr">
        <is>
          <t>A 69583-2020</t>
        </is>
      </c>
      <c r="B806" s="1" t="n">
        <v>44195</v>
      </c>
      <c r="C806" s="1" t="n">
        <v>45807</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69585-2020</t>
        </is>
      </c>
      <c r="B807" s="1" t="n">
        <v>44195</v>
      </c>
      <c r="C807" s="1" t="n">
        <v>45807</v>
      </c>
      <c r="D807" t="inlineStr">
        <is>
          <t>VÄSTERBOTTENS LÄN</t>
        </is>
      </c>
      <c r="E807" t="inlineStr">
        <is>
          <t>SKELLEFTEÅ</t>
        </is>
      </c>
      <c r="G807" t="n">
        <v>4.5</v>
      </c>
      <c r="H807" t="n">
        <v>0</v>
      </c>
      <c r="I807" t="n">
        <v>0</v>
      </c>
      <c r="J807" t="n">
        <v>0</v>
      </c>
      <c r="K807" t="n">
        <v>0</v>
      </c>
      <c r="L807" t="n">
        <v>0</v>
      </c>
      <c r="M807" t="n">
        <v>0</v>
      </c>
      <c r="N807" t="n">
        <v>0</v>
      </c>
      <c r="O807" t="n">
        <v>0</v>
      </c>
      <c r="P807" t="n">
        <v>0</v>
      </c>
      <c r="Q807" t="n">
        <v>0</v>
      </c>
      <c r="R807" s="2" t="inlineStr"/>
    </row>
    <row r="808" ht="15" customHeight="1">
      <c r="A808" t="inlineStr">
        <is>
          <t>A 69581-2020</t>
        </is>
      </c>
      <c r="B808" s="1" t="n">
        <v>44195</v>
      </c>
      <c r="C808" s="1" t="n">
        <v>45807</v>
      </c>
      <c r="D808" t="inlineStr">
        <is>
          <t>VÄSTERBOTTENS LÄN</t>
        </is>
      </c>
      <c r="E808" t="inlineStr">
        <is>
          <t>SKELLEFTEÅ</t>
        </is>
      </c>
      <c r="G808" t="n">
        <v>2.7</v>
      </c>
      <c r="H808" t="n">
        <v>0</v>
      </c>
      <c r="I808" t="n">
        <v>0</v>
      </c>
      <c r="J808" t="n">
        <v>0</v>
      </c>
      <c r="K808" t="n">
        <v>0</v>
      </c>
      <c r="L808" t="n">
        <v>0</v>
      </c>
      <c r="M808" t="n">
        <v>0</v>
      </c>
      <c r="N808" t="n">
        <v>0</v>
      </c>
      <c r="O808" t="n">
        <v>0</v>
      </c>
      <c r="P808" t="n">
        <v>0</v>
      </c>
      <c r="Q808" t="n">
        <v>0</v>
      </c>
      <c r="R808" s="2" t="inlineStr"/>
    </row>
    <row r="809" ht="15" customHeight="1">
      <c r="A809" t="inlineStr">
        <is>
          <t>A 353-2021</t>
        </is>
      </c>
      <c r="B809" s="1" t="n">
        <v>44201</v>
      </c>
      <c r="C809" s="1" t="n">
        <v>45807</v>
      </c>
      <c r="D809" t="inlineStr">
        <is>
          <t>VÄSTERBOTTENS LÄN</t>
        </is>
      </c>
      <c r="E809" t="inlineStr">
        <is>
          <t>SKELLEFTEÅ</t>
        </is>
      </c>
      <c r="G809" t="n">
        <v>37.7</v>
      </c>
      <c r="H809" t="n">
        <v>0</v>
      </c>
      <c r="I809" t="n">
        <v>0</v>
      </c>
      <c r="J809" t="n">
        <v>0</v>
      </c>
      <c r="K809" t="n">
        <v>0</v>
      </c>
      <c r="L809" t="n">
        <v>0</v>
      </c>
      <c r="M809" t="n">
        <v>0</v>
      </c>
      <c r="N809" t="n">
        <v>0</v>
      </c>
      <c r="O809" t="n">
        <v>0</v>
      </c>
      <c r="P809" t="n">
        <v>0</v>
      </c>
      <c r="Q809" t="n">
        <v>0</v>
      </c>
      <c r="R809" s="2" t="inlineStr"/>
    </row>
    <row r="810" ht="15" customHeight="1">
      <c r="A810" t="inlineStr">
        <is>
          <t>A 1076-2021</t>
        </is>
      </c>
      <c r="B810" s="1" t="n">
        <v>44207</v>
      </c>
      <c r="C810" s="1" t="n">
        <v>45807</v>
      </c>
      <c r="D810" t="inlineStr">
        <is>
          <t>VÄSTERBOTTENS LÄN</t>
        </is>
      </c>
      <c r="E810" t="inlineStr">
        <is>
          <t>SKELLEFTEÅ</t>
        </is>
      </c>
      <c r="F810" t="inlineStr">
        <is>
          <t>Holmen skog AB</t>
        </is>
      </c>
      <c r="G810" t="n">
        <v>3.4</v>
      </c>
      <c r="H810" t="n">
        <v>0</v>
      </c>
      <c r="I810" t="n">
        <v>0</v>
      </c>
      <c r="J810" t="n">
        <v>0</v>
      </c>
      <c r="K810" t="n">
        <v>0</v>
      </c>
      <c r="L810" t="n">
        <v>0</v>
      </c>
      <c r="M810" t="n">
        <v>0</v>
      </c>
      <c r="N810" t="n">
        <v>0</v>
      </c>
      <c r="O810" t="n">
        <v>0</v>
      </c>
      <c r="P810" t="n">
        <v>0</v>
      </c>
      <c r="Q810" t="n">
        <v>0</v>
      </c>
      <c r="R810" s="2" t="inlineStr"/>
    </row>
    <row r="811" ht="15" customHeight="1">
      <c r="A811" t="inlineStr">
        <is>
          <t>A 1149-2021</t>
        </is>
      </c>
      <c r="B811" s="1" t="n">
        <v>44207</v>
      </c>
      <c r="C811" s="1" t="n">
        <v>45807</v>
      </c>
      <c r="D811" t="inlineStr">
        <is>
          <t>VÄSTERBOTTENS LÄN</t>
        </is>
      </c>
      <c r="E811" t="inlineStr">
        <is>
          <t>SKELLEFTEÅ</t>
        </is>
      </c>
      <c r="G811" t="n">
        <v>3.1</v>
      </c>
      <c r="H811" t="n">
        <v>0</v>
      </c>
      <c r="I811" t="n">
        <v>0</v>
      </c>
      <c r="J811" t="n">
        <v>0</v>
      </c>
      <c r="K811" t="n">
        <v>0</v>
      </c>
      <c r="L811" t="n">
        <v>0</v>
      </c>
      <c r="M811" t="n">
        <v>0</v>
      </c>
      <c r="N811" t="n">
        <v>0</v>
      </c>
      <c r="O811" t="n">
        <v>0</v>
      </c>
      <c r="P811" t="n">
        <v>0</v>
      </c>
      <c r="Q811" t="n">
        <v>0</v>
      </c>
      <c r="R811" s="2" t="inlineStr"/>
    </row>
    <row r="812" ht="15" customHeight="1">
      <c r="A812" t="inlineStr">
        <is>
          <t>A 1140-2021</t>
        </is>
      </c>
      <c r="B812" s="1" t="n">
        <v>44207</v>
      </c>
      <c r="C812" s="1" t="n">
        <v>45807</v>
      </c>
      <c r="D812" t="inlineStr">
        <is>
          <t>VÄSTERBOTTENS LÄN</t>
        </is>
      </c>
      <c r="E812" t="inlineStr">
        <is>
          <t>SKELLEFTEÅ</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1891-2021</t>
        </is>
      </c>
      <c r="B813" s="1" t="n">
        <v>44210</v>
      </c>
      <c r="C813" s="1" t="n">
        <v>45807</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2575-2021</t>
        </is>
      </c>
      <c r="B814" s="1" t="n">
        <v>44214</v>
      </c>
      <c r="C814" s="1" t="n">
        <v>45807</v>
      </c>
      <c r="D814" t="inlineStr">
        <is>
          <t>VÄSTERBOTTENS LÄN</t>
        </is>
      </c>
      <c r="E814" t="inlineStr">
        <is>
          <t>SKELLEFTEÅ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3031-2021</t>
        </is>
      </c>
      <c r="B815" s="1" t="n">
        <v>44216</v>
      </c>
      <c r="C815" s="1" t="n">
        <v>45807</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3844-2021</t>
        </is>
      </c>
      <c r="B816" s="1" t="n">
        <v>44216</v>
      </c>
      <c r="C816" s="1" t="n">
        <v>45807</v>
      </c>
      <c r="D816" t="inlineStr">
        <is>
          <t>VÄSTERBOTTENS LÄN</t>
        </is>
      </c>
      <c r="E816" t="inlineStr">
        <is>
          <t>SKELLEFTEÅ</t>
        </is>
      </c>
      <c r="G816" t="n">
        <v>3.7</v>
      </c>
      <c r="H816" t="n">
        <v>0</v>
      </c>
      <c r="I816" t="n">
        <v>0</v>
      </c>
      <c r="J816" t="n">
        <v>0</v>
      </c>
      <c r="K816" t="n">
        <v>0</v>
      </c>
      <c r="L816" t="n">
        <v>0</v>
      </c>
      <c r="M816" t="n">
        <v>0</v>
      </c>
      <c r="N816" t="n">
        <v>0</v>
      </c>
      <c r="O816" t="n">
        <v>0</v>
      </c>
      <c r="P816" t="n">
        <v>0</v>
      </c>
      <c r="Q816" t="n">
        <v>0</v>
      </c>
      <c r="R816" s="2" t="inlineStr"/>
    </row>
    <row r="817" ht="15" customHeight="1">
      <c r="A817" t="inlineStr">
        <is>
          <t>A 3951-2021</t>
        </is>
      </c>
      <c r="B817" s="1" t="n">
        <v>44217</v>
      </c>
      <c r="C817" s="1" t="n">
        <v>45807</v>
      </c>
      <c r="D817" t="inlineStr">
        <is>
          <t>VÄSTERBOTTENS LÄN</t>
        </is>
      </c>
      <c r="E817" t="inlineStr">
        <is>
          <t>SKELLEFTEÅ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4202-2021</t>
        </is>
      </c>
      <c r="B818" s="1" t="n">
        <v>44218</v>
      </c>
      <c r="C818" s="1" t="n">
        <v>45807</v>
      </c>
      <c r="D818" t="inlineStr">
        <is>
          <t>VÄSTERBOTTENS LÄN</t>
        </is>
      </c>
      <c r="E818" t="inlineStr">
        <is>
          <t>SKELLEFTEÅ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3575-2021</t>
        </is>
      </c>
      <c r="B819" s="1" t="n">
        <v>44218</v>
      </c>
      <c r="C819" s="1" t="n">
        <v>45807</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3934-2021</t>
        </is>
      </c>
      <c r="B820" s="1" t="n">
        <v>44221</v>
      </c>
      <c r="C820" s="1" t="n">
        <v>45807</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4299-2021</t>
        </is>
      </c>
      <c r="B821" s="1" t="n">
        <v>44223</v>
      </c>
      <c r="C821" s="1" t="n">
        <v>45807</v>
      </c>
      <c r="D821" t="inlineStr">
        <is>
          <t>VÄSTERBOTTENS LÄN</t>
        </is>
      </c>
      <c r="E821" t="inlineStr">
        <is>
          <t>SKELLEFTEÅ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5095-2021</t>
        </is>
      </c>
      <c r="B822" s="1" t="n">
        <v>44224</v>
      </c>
      <c r="C822" s="1" t="n">
        <v>45807</v>
      </c>
      <c r="D822" t="inlineStr">
        <is>
          <t>VÄSTERBOTTENS LÄN</t>
        </is>
      </c>
      <c r="E822" t="inlineStr">
        <is>
          <t>SKELLEFTEÅ</t>
        </is>
      </c>
      <c r="G822" t="n">
        <v>5.6</v>
      </c>
      <c r="H822" t="n">
        <v>0</v>
      </c>
      <c r="I822" t="n">
        <v>0</v>
      </c>
      <c r="J822" t="n">
        <v>0</v>
      </c>
      <c r="K822" t="n">
        <v>0</v>
      </c>
      <c r="L822" t="n">
        <v>0</v>
      </c>
      <c r="M822" t="n">
        <v>0</v>
      </c>
      <c r="N822" t="n">
        <v>0</v>
      </c>
      <c r="O822" t="n">
        <v>0</v>
      </c>
      <c r="P822" t="n">
        <v>0</v>
      </c>
      <c r="Q822" t="n">
        <v>0</v>
      </c>
      <c r="R822" s="2" t="inlineStr"/>
    </row>
    <row r="823" ht="15" customHeight="1">
      <c r="A823" t="inlineStr">
        <is>
          <t>A 5143-2021</t>
        </is>
      </c>
      <c r="B823" s="1" t="n">
        <v>44228</v>
      </c>
      <c r="C823" s="1" t="n">
        <v>45807</v>
      </c>
      <c r="D823" t="inlineStr">
        <is>
          <t>VÄSTERBOTTENS LÄN</t>
        </is>
      </c>
      <c r="E823" t="inlineStr">
        <is>
          <t>SKELLEFTEÅ</t>
        </is>
      </c>
      <c r="G823" t="n">
        <v>5.3</v>
      </c>
      <c r="H823" t="n">
        <v>0</v>
      </c>
      <c r="I823" t="n">
        <v>0</v>
      </c>
      <c r="J823" t="n">
        <v>0</v>
      </c>
      <c r="K823" t="n">
        <v>0</v>
      </c>
      <c r="L823" t="n">
        <v>0</v>
      </c>
      <c r="M823" t="n">
        <v>0</v>
      </c>
      <c r="N823" t="n">
        <v>0</v>
      </c>
      <c r="O823" t="n">
        <v>0</v>
      </c>
      <c r="P823" t="n">
        <v>0</v>
      </c>
      <c r="Q823" t="n">
        <v>0</v>
      </c>
      <c r="R823" s="2" t="inlineStr"/>
    </row>
    <row r="824" ht="15" customHeight="1">
      <c r="A824" t="inlineStr">
        <is>
          <t>A 5603-2021</t>
        </is>
      </c>
      <c r="B824" s="1" t="n">
        <v>44230</v>
      </c>
      <c r="C824" s="1" t="n">
        <v>45807</v>
      </c>
      <c r="D824" t="inlineStr">
        <is>
          <t>VÄSTERBOTTENS LÄN</t>
        </is>
      </c>
      <c r="E824" t="inlineStr">
        <is>
          <t>SKELLEFTEÅ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6356-2021</t>
        </is>
      </c>
      <c r="B825" s="1" t="n">
        <v>44235</v>
      </c>
      <c r="C825" s="1" t="n">
        <v>45807</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6557-2021</t>
        </is>
      </c>
      <c r="B826" s="1" t="n">
        <v>44236</v>
      </c>
      <c r="C826" s="1" t="n">
        <v>45807</v>
      </c>
      <c r="D826" t="inlineStr">
        <is>
          <t>VÄSTERBOTTENS LÄN</t>
        </is>
      </c>
      <c r="E826" t="inlineStr">
        <is>
          <t>SKELLEFTEÅ</t>
        </is>
      </c>
      <c r="G826" t="n">
        <v>6.4</v>
      </c>
      <c r="H826" t="n">
        <v>0</v>
      </c>
      <c r="I826" t="n">
        <v>0</v>
      </c>
      <c r="J826" t="n">
        <v>0</v>
      </c>
      <c r="K826" t="n">
        <v>0</v>
      </c>
      <c r="L826" t="n">
        <v>0</v>
      </c>
      <c r="M826" t="n">
        <v>0</v>
      </c>
      <c r="N826" t="n">
        <v>0</v>
      </c>
      <c r="O826" t="n">
        <v>0</v>
      </c>
      <c r="P826" t="n">
        <v>0</v>
      </c>
      <c r="Q826" t="n">
        <v>0</v>
      </c>
      <c r="R826" s="2" t="inlineStr"/>
    </row>
    <row r="827" ht="15" customHeight="1">
      <c r="A827" t="inlineStr">
        <is>
          <t>A 6635-2021</t>
        </is>
      </c>
      <c r="B827" s="1" t="n">
        <v>44236</v>
      </c>
      <c r="C827" s="1" t="n">
        <v>45807</v>
      </c>
      <c r="D827" t="inlineStr">
        <is>
          <t>VÄSTERBOTTENS LÄN</t>
        </is>
      </c>
      <c r="E827" t="inlineStr">
        <is>
          <t>SKELLEFTEÅ</t>
        </is>
      </c>
      <c r="G827" t="n">
        <v>3</v>
      </c>
      <c r="H827" t="n">
        <v>0</v>
      </c>
      <c r="I827" t="n">
        <v>0</v>
      </c>
      <c r="J827" t="n">
        <v>0</v>
      </c>
      <c r="K827" t="n">
        <v>0</v>
      </c>
      <c r="L827" t="n">
        <v>0</v>
      </c>
      <c r="M827" t="n">
        <v>0</v>
      </c>
      <c r="N827" t="n">
        <v>0</v>
      </c>
      <c r="O827" t="n">
        <v>0</v>
      </c>
      <c r="P827" t="n">
        <v>0</v>
      </c>
      <c r="Q827" t="n">
        <v>0</v>
      </c>
      <c r="R827" s="2" t="inlineStr"/>
    </row>
    <row r="828" ht="15" customHeight="1">
      <c r="A828" t="inlineStr">
        <is>
          <t>A 7038-2021</t>
        </is>
      </c>
      <c r="B828" s="1" t="n">
        <v>44237</v>
      </c>
      <c r="C828" s="1" t="n">
        <v>45807</v>
      </c>
      <c r="D828" t="inlineStr">
        <is>
          <t>VÄSTERBOTTENS LÄN</t>
        </is>
      </c>
      <c r="E828" t="inlineStr">
        <is>
          <t>SKELLEFTEÅ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7034-2021</t>
        </is>
      </c>
      <c r="B829" s="1" t="n">
        <v>44237</v>
      </c>
      <c r="C829" s="1" t="n">
        <v>45807</v>
      </c>
      <c r="D829" t="inlineStr">
        <is>
          <t>VÄSTERBOTTENS LÄN</t>
        </is>
      </c>
      <c r="E829" t="inlineStr">
        <is>
          <t>SKELLEFTEÅ</t>
        </is>
      </c>
      <c r="G829" t="n">
        <v>10.1</v>
      </c>
      <c r="H829" t="n">
        <v>0</v>
      </c>
      <c r="I829" t="n">
        <v>0</v>
      </c>
      <c r="J829" t="n">
        <v>0</v>
      </c>
      <c r="K829" t="n">
        <v>0</v>
      </c>
      <c r="L829" t="n">
        <v>0</v>
      </c>
      <c r="M829" t="n">
        <v>0</v>
      </c>
      <c r="N829" t="n">
        <v>0</v>
      </c>
      <c r="O829" t="n">
        <v>0</v>
      </c>
      <c r="P829" t="n">
        <v>0</v>
      </c>
      <c r="Q829" t="n">
        <v>0</v>
      </c>
      <c r="R829" s="2" t="inlineStr"/>
    </row>
    <row r="830" ht="15" customHeight="1">
      <c r="A830" t="inlineStr">
        <is>
          <t>A 7823-2021</t>
        </is>
      </c>
      <c r="B830" s="1" t="n">
        <v>44242</v>
      </c>
      <c r="C830" s="1" t="n">
        <v>45807</v>
      </c>
      <c r="D830" t="inlineStr">
        <is>
          <t>VÄSTERBOTTENS LÄN</t>
        </is>
      </c>
      <c r="E830" t="inlineStr">
        <is>
          <t>SKELLEFTEÅ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7950-2021</t>
        </is>
      </c>
      <c r="B831" s="1" t="n">
        <v>44242</v>
      </c>
      <c r="C831" s="1" t="n">
        <v>45807</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8644-2021</t>
        </is>
      </c>
      <c r="B832" s="1" t="n">
        <v>44245</v>
      </c>
      <c r="C832" s="1" t="n">
        <v>45807</v>
      </c>
      <c r="D832" t="inlineStr">
        <is>
          <t>VÄSTERBOTTENS LÄN</t>
        </is>
      </c>
      <c r="E832" t="inlineStr">
        <is>
          <t>SKELLEFTEÅ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8648-2021</t>
        </is>
      </c>
      <c r="B833" s="1" t="n">
        <v>44245</v>
      </c>
      <c r="C833" s="1" t="n">
        <v>45807</v>
      </c>
      <c r="D833" t="inlineStr">
        <is>
          <t>VÄSTERBOTTENS LÄN</t>
        </is>
      </c>
      <c r="E833" t="inlineStr">
        <is>
          <t>SKELLEFTEÅ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8911-2021</t>
        </is>
      </c>
      <c r="B834" s="1" t="n">
        <v>44245</v>
      </c>
      <c r="C834" s="1" t="n">
        <v>45807</v>
      </c>
      <c r="D834" t="inlineStr">
        <is>
          <t>VÄSTERBOTTENS LÄN</t>
        </is>
      </c>
      <c r="E834" t="inlineStr">
        <is>
          <t>SKELLEFTEÅ</t>
        </is>
      </c>
      <c r="G834" t="n">
        <v>4.5</v>
      </c>
      <c r="H834" t="n">
        <v>0</v>
      </c>
      <c r="I834" t="n">
        <v>0</v>
      </c>
      <c r="J834" t="n">
        <v>0</v>
      </c>
      <c r="K834" t="n">
        <v>0</v>
      </c>
      <c r="L834" t="n">
        <v>0</v>
      </c>
      <c r="M834" t="n">
        <v>0</v>
      </c>
      <c r="N834" t="n">
        <v>0</v>
      </c>
      <c r="O834" t="n">
        <v>0</v>
      </c>
      <c r="P834" t="n">
        <v>0</v>
      </c>
      <c r="Q834" t="n">
        <v>0</v>
      </c>
      <c r="R834" s="2" t="inlineStr"/>
    </row>
    <row r="835" ht="15" customHeight="1">
      <c r="A835" t="inlineStr">
        <is>
          <t>A 8652-2021</t>
        </is>
      </c>
      <c r="B835" s="1" t="n">
        <v>44245</v>
      </c>
      <c r="C835" s="1" t="n">
        <v>45807</v>
      </c>
      <c r="D835" t="inlineStr">
        <is>
          <t>VÄSTERBOTTENS LÄN</t>
        </is>
      </c>
      <c r="E835" t="inlineStr">
        <is>
          <t>SKELLEFTEÅ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8846-2021</t>
        </is>
      </c>
      <c r="B836" s="1" t="n">
        <v>44246</v>
      </c>
      <c r="C836" s="1" t="n">
        <v>45807</v>
      </c>
      <c r="D836" t="inlineStr">
        <is>
          <t>VÄSTERBOTTENS LÄN</t>
        </is>
      </c>
      <c r="E836" t="inlineStr">
        <is>
          <t>SKELLEFTEÅ</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9081-2021</t>
        </is>
      </c>
      <c r="B837" s="1" t="n">
        <v>44249</v>
      </c>
      <c r="C837" s="1" t="n">
        <v>45807</v>
      </c>
      <c r="D837" t="inlineStr">
        <is>
          <t>VÄSTERBOTTENS LÄN</t>
        </is>
      </c>
      <c r="E837" t="inlineStr">
        <is>
          <t>SKELLEFTEÅ</t>
        </is>
      </c>
      <c r="G837" t="n">
        <v>16.2</v>
      </c>
      <c r="H837" t="n">
        <v>0</v>
      </c>
      <c r="I837" t="n">
        <v>0</v>
      </c>
      <c r="J837" t="n">
        <v>0</v>
      </c>
      <c r="K837" t="n">
        <v>0</v>
      </c>
      <c r="L837" t="n">
        <v>0</v>
      </c>
      <c r="M837" t="n">
        <v>0</v>
      </c>
      <c r="N837" t="n">
        <v>0</v>
      </c>
      <c r="O837" t="n">
        <v>0</v>
      </c>
      <c r="P837" t="n">
        <v>0</v>
      </c>
      <c r="Q837" t="n">
        <v>0</v>
      </c>
      <c r="R837" s="2" t="inlineStr"/>
    </row>
    <row r="838" ht="15" customHeight="1">
      <c r="A838" t="inlineStr">
        <is>
          <t>A 9045-2021</t>
        </is>
      </c>
      <c r="B838" s="1" t="n">
        <v>44249</v>
      </c>
      <c r="C838" s="1" t="n">
        <v>45807</v>
      </c>
      <c r="D838" t="inlineStr">
        <is>
          <t>VÄSTERBOTTENS LÄN</t>
        </is>
      </c>
      <c r="E838" t="inlineStr">
        <is>
          <t>SKELLEFTEÅ</t>
        </is>
      </c>
      <c r="G838" t="n">
        <v>3.8</v>
      </c>
      <c r="H838" t="n">
        <v>0</v>
      </c>
      <c r="I838" t="n">
        <v>0</v>
      </c>
      <c r="J838" t="n">
        <v>0</v>
      </c>
      <c r="K838" t="n">
        <v>0</v>
      </c>
      <c r="L838" t="n">
        <v>0</v>
      </c>
      <c r="M838" t="n">
        <v>0</v>
      </c>
      <c r="N838" t="n">
        <v>0</v>
      </c>
      <c r="O838" t="n">
        <v>0</v>
      </c>
      <c r="P838" t="n">
        <v>0</v>
      </c>
      <c r="Q838" t="n">
        <v>0</v>
      </c>
      <c r="R838" s="2" t="inlineStr"/>
    </row>
    <row r="839" ht="15" customHeight="1">
      <c r="A839" t="inlineStr">
        <is>
          <t>A 9059-2021</t>
        </is>
      </c>
      <c r="B839" s="1" t="n">
        <v>44249</v>
      </c>
      <c r="C839" s="1" t="n">
        <v>45807</v>
      </c>
      <c r="D839" t="inlineStr">
        <is>
          <t>VÄSTERBOTTENS LÄN</t>
        </is>
      </c>
      <c r="E839" t="inlineStr">
        <is>
          <t>SKELLEFTEÅ</t>
        </is>
      </c>
      <c r="G839" t="n">
        <v>6.1</v>
      </c>
      <c r="H839" t="n">
        <v>0</v>
      </c>
      <c r="I839" t="n">
        <v>0</v>
      </c>
      <c r="J839" t="n">
        <v>0</v>
      </c>
      <c r="K839" t="n">
        <v>0</v>
      </c>
      <c r="L839" t="n">
        <v>0</v>
      </c>
      <c r="M839" t="n">
        <v>0</v>
      </c>
      <c r="N839" t="n">
        <v>0</v>
      </c>
      <c r="O839" t="n">
        <v>0</v>
      </c>
      <c r="P839" t="n">
        <v>0</v>
      </c>
      <c r="Q839" t="n">
        <v>0</v>
      </c>
      <c r="R839" s="2" t="inlineStr"/>
    </row>
    <row r="840" ht="15" customHeight="1">
      <c r="A840" t="inlineStr">
        <is>
          <t>A 9192-2021</t>
        </is>
      </c>
      <c r="B840" s="1" t="n">
        <v>44249</v>
      </c>
      <c r="C840" s="1" t="n">
        <v>45807</v>
      </c>
      <c r="D840" t="inlineStr">
        <is>
          <t>VÄSTERBOTTENS LÄN</t>
        </is>
      </c>
      <c r="E840" t="inlineStr">
        <is>
          <t>SKELLEFTEÅ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9035-2021</t>
        </is>
      </c>
      <c r="B841" s="1" t="n">
        <v>44249</v>
      </c>
      <c r="C841" s="1" t="n">
        <v>45807</v>
      </c>
      <c r="D841" t="inlineStr">
        <is>
          <t>VÄSTERBOTTENS LÄN</t>
        </is>
      </c>
      <c r="E841" t="inlineStr">
        <is>
          <t>SKELLEFTEÅ</t>
        </is>
      </c>
      <c r="G841" t="n">
        <v>6.7</v>
      </c>
      <c r="H841" t="n">
        <v>0</v>
      </c>
      <c r="I841" t="n">
        <v>0</v>
      </c>
      <c r="J841" t="n">
        <v>0</v>
      </c>
      <c r="K841" t="n">
        <v>0</v>
      </c>
      <c r="L841" t="n">
        <v>0</v>
      </c>
      <c r="M841" t="n">
        <v>0</v>
      </c>
      <c r="N841" t="n">
        <v>0</v>
      </c>
      <c r="O841" t="n">
        <v>0</v>
      </c>
      <c r="P841" t="n">
        <v>0</v>
      </c>
      <c r="Q841" t="n">
        <v>0</v>
      </c>
      <c r="R841" s="2" t="inlineStr"/>
    </row>
    <row r="842" ht="15" customHeight="1">
      <c r="A842" t="inlineStr">
        <is>
          <t>A 9051-2021</t>
        </is>
      </c>
      <c r="B842" s="1" t="n">
        <v>44249</v>
      </c>
      <c r="C842" s="1" t="n">
        <v>45807</v>
      </c>
      <c r="D842" t="inlineStr">
        <is>
          <t>VÄSTERBOTTENS LÄN</t>
        </is>
      </c>
      <c r="E842" t="inlineStr">
        <is>
          <t>SKELLEFTEÅ</t>
        </is>
      </c>
      <c r="G842" t="n">
        <v>5</v>
      </c>
      <c r="H842" t="n">
        <v>0</v>
      </c>
      <c r="I842" t="n">
        <v>0</v>
      </c>
      <c r="J842" t="n">
        <v>0</v>
      </c>
      <c r="K842" t="n">
        <v>0</v>
      </c>
      <c r="L842" t="n">
        <v>0</v>
      </c>
      <c r="M842" t="n">
        <v>0</v>
      </c>
      <c r="N842" t="n">
        <v>0</v>
      </c>
      <c r="O842" t="n">
        <v>0</v>
      </c>
      <c r="P842" t="n">
        <v>0</v>
      </c>
      <c r="Q842" t="n">
        <v>0</v>
      </c>
      <c r="R842" s="2" t="inlineStr"/>
    </row>
    <row r="843" ht="15" customHeight="1">
      <c r="A843" t="inlineStr">
        <is>
          <t>A 9090-2021</t>
        </is>
      </c>
      <c r="B843" s="1" t="n">
        <v>44249</v>
      </c>
      <c r="C843" s="1" t="n">
        <v>45807</v>
      </c>
      <c r="D843" t="inlineStr">
        <is>
          <t>VÄSTERBOTTENS LÄN</t>
        </is>
      </c>
      <c r="E843" t="inlineStr">
        <is>
          <t>SKELLEFTEÅ</t>
        </is>
      </c>
      <c r="G843" t="n">
        <v>10.8</v>
      </c>
      <c r="H843" t="n">
        <v>0</v>
      </c>
      <c r="I843" t="n">
        <v>0</v>
      </c>
      <c r="J843" t="n">
        <v>0</v>
      </c>
      <c r="K843" t="n">
        <v>0</v>
      </c>
      <c r="L843" t="n">
        <v>0</v>
      </c>
      <c r="M843" t="n">
        <v>0</v>
      </c>
      <c r="N843" t="n">
        <v>0</v>
      </c>
      <c r="O843" t="n">
        <v>0</v>
      </c>
      <c r="P843" t="n">
        <v>0</v>
      </c>
      <c r="Q843" t="n">
        <v>0</v>
      </c>
      <c r="R843" s="2" t="inlineStr"/>
    </row>
    <row r="844" ht="15" customHeight="1">
      <c r="A844" t="inlineStr">
        <is>
          <t>A 10051-2021</t>
        </is>
      </c>
      <c r="B844" s="1" t="n">
        <v>44256</v>
      </c>
      <c r="C844" s="1" t="n">
        <v>45807</v>
      </c>
      <c r="D844" t="inlineStr">
        <is>
          <t>VÄSTERBOTTENS LÄN</t>
        </is>
      </c>
      <c r="E844" t="inlineStr">
        <is>
          <t>SKELLEFTEÅ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10471-2021</t>
        </is>
      </c>
      <c r="B845" s="1" t="n">
        <v>44257</v>
      </c>
      <c r="C845" s="1" t="n">
        <v>45807</v>
      </c>
      <c r="D845" t="inlineStr">
        <is>
          <t>VÄSTERBOTTENS LÄN</t>
        </is>
      </c>
      <c r="E845" t="inlineStr">
        <is>
          <t>SKELLEFTEÅ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11087-2021</t>
        </is>
      </c>
      <c r="B846" s="1" t="n">
        <v>44259</v>
      </c>
      <c r="C846" s="1" t="n">
        <v>45807</v>
      </c>
      <c r="D846" t="inlineStr">
        <is>
          <t>VÄSTERBOTTENS LÄN</t>
        </is>
      </c>
      <c r="E846" t="inlineStr">
        <is>
          <t>SKELLEFTEÅ</t>
        </is>
      </c>
      <c r="G846" t="n">
        <v>4.6</v>
      </c>
      <c r="H846" t="n">
        <v>0</v>
      </c>
      <c r="I846" t="n">
        <v>0</v>
      </c>
      <c r="J846" t="n">
        <v>0</v>
      </c>
      <c r="K846" t="n">
        <v>0</v>
      </c>
      <c r="L846" t="n">
        <v>0</v>
      </c>
      <c r="M846" t="n">
        <v>0</v>
      </c>
      <c r="N846" t="n">
        <v>0</v>
      </c>
      <c r="O846" t="n">
        <v>0</v>
      </c>
      <c r="P846" t="n">
        <v>0</v>
      </c>
      <c r="Q846" t="n">
        <v>0</v>
      </c>
      <c r="R846" s="2" t="inlineStr"/>
    </row>
    <row r="847" ht="15" customHeight="1">
      <c r="A847" t="inlineStr">
        <is>
          <t>A 11102-2021</t>
        </is>
      </c>
      <c r="B847" s="1" t="n">
        <v>44259</v>
      </c>
      <c r="C847" s="1" t="n">
        <v>45807</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11409-2021</t>
        </is>
      </c>
      <c r="B848" s="1" t="n">
        <v>44263</v>
      </c>
      <c r="C848" s="1" t="n">
        <v>45807</v>
      </c>
      <c r="D848" t="inlineStr">
        <is>
          <t>VÄSTERBOTTENS LÄN</t>
        </is>
      </c>
      <c r="E848" t="inlineStr">
        <is>
          <t>SKELLEFTEÅ</t>
        </is>
      </c>
      <c r="G848" t="n">
        <v>6</v>
      </c>
      <c r="H848" t="n">
        <v>0</v>
      </c>
      <c r="I848" t="n">
        <v>0</v>
      </c>
      <c r="J848" t="n">
        <v>0</v>
      </c>
      <c r="K848" t="n">
        <v>0</v>
      </c>
      <c r="L848" t="n">
        <v>0</v>
      </c>
      <c r="M848" t="n">
        <v>0</v>
      </c>
      <c r="N848" t="n">
        <v>0</v>
      </c>
      <c r="O848" t="n">
        <v>0</v>
      </c>
      <c r="P848" t="n">
        <v>0</v>
      </c>
      <c r="Q848" t="n">
        <v>0</v>
      </c>
      <c r="R848" s="2" t="inlineStr"/>
    </row>
    <row r="849" ht="15" customHeight="1">
      <c r="A849" t="inlineStr">
        <is>
          <t>A 11454-2021</t>
        </is>
      </c>
      <c r="B849" s="1" t="n">
        <v>44264</v>
      </c>
      <c r="C849" s="1" t="n">
        <v>45807</v>
      </c>
      <c r="D849" t="inlineStr">
        <is>
          <t>VÄSTERBOTTENS LÄN</t>
        </is>
      </c>
      <c r="E849" t="inlineStr">
        <is>
          <t>SKELLEFTEÅ</t>
        </is>
      </c>
      <c r="G849" t="n">
        <v>14.6</v>
      </c>
      <c r="H849" t="n">
        <v>0</v>
      </c>
      <c r="I849" t="n">
        <v>0</v>
      </c>
      <c r="J849" t="n">
        <v>0</v>
      </c>
      <c r="K849" t="n">
        <v>0</v>
      </c>
      <c r="L849" t="n">
        <v>0</v>
      </c>
      <c r="M849" t="n">
        <v>0</v>
      </c>
      <c r="N849" t="n">
        <v>0</v>
      </c>
      <c r="O849" t="n">
        <v>0</v>
      </c>
      <c r="P849" t="n">
        <v>0</v>
      </c>
      <c r="Q849" t="n">
        <v>0</v>
      </c>
      <c r="R849" s="2" t="inlineStr"/>
    </row>
    <row r="850" ht="15" customHeight="1">
      <c r="A850" t="inlineStr">
        <is>
          <t>A 11499-2021</t>
        </is>
      </c>
      <c r="B850" s="1" t="n">
        <v>44264</v>
      </c>
      <c r="C850" s="1" t="n">
        <v>45807</v>
      </c>
      <c r="D850" t="inlineStr">
        <is>
          <t>VÄSTERBOTTENS LÄN</t>
        </is>
      </c>
      <c r="E850" t="inlineStr">
        <is>
          <t>SKELLEFTEÅ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12416-2021</t>
        </is>
      </c>
      <c r="B851" s="1" t="n">
        <v>44267</v>
      </c>
      <c r="C851" s="1" t="n">
        <v>45807</v>
      </c>
      <c r="D851" t="inlineStr">
        <is>
          <t>VÄSTERBOTTENS LÄN</t>
        </is>
      </c>
      <c r="E851" t="inlineStr">
        <is>
          <t>SKELLEFTEÅ</t>
        </is>
      </c>
      <c r="G851" t="n">
        <v>3.5</v>
      </c>
      <c r="H851" t="n">
        <v>0</v>
      </c>
      <c r="I851" t="n">
        <v>0</v>
      </c>
      <c r="J851" t="n">
        <v>0</v>
      </c>
      <c r="K851" t="n">
        <v>0</v>
      </c>
      <c r="L851" t="n">
        <v>0</v>
      </c>
      <c r="M851" t="n">
        <v>0</v>
      </c>
      <c r="N851" t="n">
        <v>0</v>
      </c>
      <c r="O851" t="n">
        <v>0</v>
      </c>
      <c r="P851" t="n">
        <v>0</v>
      </c>
      <c r="Q851" t="n">
        <v>0</v>
      </c>
      <c r="R851" s="2" t="inlineStr"/>
    </row>
    <row r="852" ht="15" customHeight="1">
      <c r="A852" t="inlineStr">
        <is>
          <t>A 12928-2021</t>
        </is>
      </c>
      <c r="B852" s="1" t="n">
        <v>44270</v>
      </c>
      <c r="C852" s="1" t="n">
        <v>45807</v>
      </c>
      <c r="D852" t="inlineStr">
        <is>
          <t>VÄSTERBOTTENS LÄN</t>
        </is>
      </c>
      <c r="E852" t="inlineStr">
        <is>
          <t>SKELLEFTEÅ</t>
        </is>
      </c>
      <c r="G852" t="n">
        <v>17.8</v>
      </c>
      <c r="H852" t="n">
        <v>0</v>
      </c>
      <c r="I852" t="n">
        <v>0</v>
      </c>
      <c r="J852" t="n">
        <v>0</v>
      </c>
      <c r="K852" t="n">
        <v>0</v>
      </c>
      <c r="L852" t="n">
        <v>0</v>
      </c>
      <c r="M852" t="n">
        <v>0</v>
      </c>
      <c r="N852" t="n">
        <v>0</v>
      </c>
      <c r="O852" t="n">
        <v>0</v>
      </c>
      <c r="P852" t="n">
        <v>0</v>
      </c>
      <c r="Q852" t="n">
        <v>0</v>
      </c>
      <c r="R852" s="2" t="inlineStr"/>
    </row>
    <row r="853" ht="15" customHeight="1">
      <c r="A853" t="inlineStr">
        <is>
          <t>A 13086-2021</t>
        </is>
      </c>
      <c r="B853" s="1" t="n">
        <v>44271</v>
      </c>
      <c r="C853" s="1" t="n">
        <v>45807</v>
      </c>
      <c r="D853" t="inlineStr">
        <is>
          <t>VÄSTERBOTTENS LÄN</t>
        </is>
      </c>
      <c r="E853" t="inlineStr">
        <is>
          <t>SKELLEFTEÅ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13729-2021</t>
        </is>
      </c>
      <c r="B854" s="1" t="n">
        <v>44274</v>
      </c>
      <c r="C854" s="1" t="n">
        <v>45807</v>
      </c>
      <c r="D854" t="inlineStr">
        <is>
          <t>VÄSTERBOTTENS LÄN</t>
        </is>
      </c>
      <c r="E854" t="inlineStr">
        <is>
          <t>SKELLEFTEÅ</t>
        </is>
      </c>
      <c r="G854" t="n">
        <v>7.6</v>
      </c>
      <c r="H854" t="n">
        <v>0</v>
      </c>
      <c r="I854" t="n">
        <v>0</v>
      </c>
      <c r="J854" t="n">
        <v>0</v>
      </c>
      <c r="K854" t="n">
        <v>0</v>
      </c>
      <c r="L854" t="n">
        <v>0</v>
      </c>
      <c r="M854" t="n">
        <v>0</v>
      </c>
      <c r="N854" t="n">
        <v>0</v>
      </c>
      <c r="O854" t="n">
        <v>0</v>
      </c>
      <c r="P854" t="n">
        <v>0</v>
      </c>
      <c r="Q854" t="n">
        <v>0</v>
      </c>
      <c r="R854" s="2" t="inlineStr"/>
    </row>
    <row r="855" ht="15" customHeight="1">
      <c r="A855" t="inlineStr">
        <is>
          <t>A 14850-2021</t>
        </is>
      </c>
      <c r="B855" s="1" t="n">
        <v>44280</v>
      </c>
      <c r="C855" s="1" t="n">
        <v>45807</v>
      </c>
      <c r="D855" t="inlineStr">
        <is>
          <t>VÄSTERBOTTENS LÄN</t>
        </is>
      </c>
      <c r="E855" t="inlineStr">
        <is>
          <t>SKELLEFTEÅ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14865-2021</t>
        </is>
      </c>
      <c r="B856" s="1" t="n">
        <v>44280</v>
      </c>
      <c r="C856" s="1" t="n">
        <v>45807</v>
      </c>
      <c r="D856" t="inlineStr">
        <is>
          <t>VÄSTERBOTTENS LÄN</t>
        </is>
      </c>
      <c r="E856" t="inlineStr">
        <is>
          <t>SKELLEFTEÅ</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14851-2021</t>
        </is>
      </c>
      <c r="B857" s="1" t="n">
        <v>44280</v>
      </c>
      <c r="C857" s="1" t="n">
        <v>45807</v>
      </c>
      <c r="D857" t="inlineStr">
        <is>
          <t>VÄSTERBOTTENS LÄN</t>
        </is>
      </c>
      <c r="E857" t="inlineStr">
        <is>
          <t>SKELLEFTEÅ</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14858-2021</t>
        </is>
      </c>
      <c r="B858" s="1" t="n">
        <v>44280</v>
      </c>
      <c r="C858" s="1" t="n">
        <v>45807</v>
      </c>
      <c r="D858" t="inlineStr">
        <is>
          <t>VÄSTERBOTTENS LÄN</t>
        </is>
      </c>
      <c r="E858" t="inlineStr">
        <is>
          <t>SKELLEFTEÅ</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14848-2021</t>
        </is>
      </c>
      <c r="B859" s="1" t="n">
        <v>44280</v>
      </c>
      <c r="C859" s="1" t="n">
        <v>45807</v>
      </c>
      <c r="D859" t="inlineStr">
        <is>
          <t>VÄSTERBOTTENS LÄN</t>
        </is>
      </c>
      <c r="E859" t="inlineStr">
        <is>
          <t>SKELLEFTEÅ</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14853-2021</t>
        </is>
      </c>
      <c r="B860" s="1" t="n">
        <v>44280</v>
      </c>
      <c r="C860" s="1" t="n">
        <v>45807</v>
      </c>
      <c r="D860" t="inlineStr">
        <is>
          <t>VÄSTERBOTTENS LÄN</t>
        </is>
      </c>
      <c r="E860" t="inlineStr">
        <is>
          <t>SKELLEFTEÅ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15108-2021</t>
        </is>
      </c>
      <c r="B861" s="1" t="n">
        <v>44281</v>
      </c>
      <c r="C861" s="1" t="n">
        <v>45807</v>
      </c>
      <c r="D861" t="inlineStr">
        <is>
          <t>VÄSTERBOTTENS LÄN</t>
        </is>
      </c>
      <c r="E861" t="inlineStr">
        <is>
          <t>SKELLEFTEÅ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15109-2021</t>
        </is>
      </c>
      <c r="B862" s="1" t="n">
        <v>44281</v>
      </c>
      <c r="C862" s="1" t="n">
        <v>45807</v>
      </c>
      <c r="D862" t="inlineStr">
        <is>
          <t>VÄSTERBOTTENS LÄN</t>
        </is>
      </c>
      <c r="E862" t="inlineStr">
        <is>
          <t>SKELLEFTEÅ</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15459-2021</t>
        </is>
      </c>
      <c r="B863" s="1" t="n">
        <v>44284</v>
      </c>
      <c r="C863" s="1" t="n">
        <v>45807</v>
      </c>
      <c r="D863" t="inlineStr">
        <is>
          <t>VÄSTERBOTTENS LÄN</t>
        </is>
      </c>
      <c r="E863" t="inlineStr">
        <is>
          <t>SKELLEFTEÅ</t>
        </is>
      </c>
      <c r="G863" t="n">
        <v>2.5</v>
      </c>
      <c r="H863" t="n">
        <v>0</v>
      </c>
      <c r="I863" t="n">
        <v>0</v>
      </c>
      <c r="J863" t="n">
        <v>0</v>
      </c>
      <c r="K863" t="n">
        <v>0</v>
      </c>
      <c r="L863" t="n">
        <v>0</v>
      </c>
      <c r="M863" t="n">
        <v>0</v>
      </c>
      <c r="N863" t="n">
        <v>0</v>
      </c>
      <c r="O863" t="n">
        <v>0</v>
      </c>
      <c r="P863" t="n">
        <v>0</v>
      </c>
      <c r="Q863" t="n">
        <v>0</v>
      </c>
      <c r="R863" s="2" t="inlineStr"/>
    </row>
    <row r="864" ht="15" customHeight="1">
      <c r="A864" t="inlineStr">
        <is>
          <t>A 18073-2021</t>
        </is>
      </c>
      <c r="B864" s="1" t="n">
        <v>44302</v>
      </c>
      <c r="C864" s="1" t="n">
        <v>45807</v>
      </c>
      <c r="D864" t="inlineStr">
        <is>
          <t>VÄSTERBOTTENS LÄN</t>
        </is>
      </c>
      <c r="E864" t="inlineStr">
        <is>
          <t>SKELLEFTEÅ</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18101-2021</t>
        </is>
      </c>
      <c r="B865" s="1" t="n">
        <v>44302</v>
      </c>
      <c r="C865" s="1" t="n">
        <v>45807</v>
      </c>
      <c r="D865" t="inlineStr">
        <is>
          <t>VÄSTERBOTTENS LÄN</t>
        </is>
      </c>
      <c r="E865" t="inlineStr">
        <is>
          <t>SKELLEFTEÅ</t>
        </is>
      </c>
      <c r="G865" t="n">
        <v>1.9</v>
      </c>
      <c r="H865" t="n">
        <v>0</v>
      </c>
      <c r="I865" t="n">
        <v>0</v>
      </c>
      <c r="J865" t="n">
        <v>0</v>
      </c>
      <c r="K865" t="n">
        <v>0</v>
      </c>
      <c r="L865" t="n">
        <v>0</v>
      </c>
      <c r="M865" t="n">
        <v>0</v>
      </c>
      <c r="N865" t="n">
        <v>0</v>
      </c>
      <c r="O865" t="n">
        <v>0</v>
      </c>
      <c r="P865" t="n">
        <v>0</v>
      </c>
      <c r="Q865" t="n">
        <v>0</v>
      </c>
      <c r="R865" s="2" t="inlineStr"/>
    </row>
    <row r="866" ht="15" customHeight="1">
      <c r="A866" t="inlineStr">
        <is>
          <t>A 18182-2021</t>
        </is>
      </c>
      <c r="B866" s="1" t="n">
        <v>44302</v>
      </c>
      <c r="C866" s="1" t="n">
        <v>45807</v>
      </c>
      <c r="D866" t="inlineStr">
        <is>
          <t>VÄSTERBOTTENS LÄN</t>
        </is>
      </c>
      <c r="E866" t="inlineStr">
        <is>
          <t>SKELLEFTEÅ</t>
        </is>
      </c>
      <c r="G866" t="n">
        <v>1.2</v>
      </c>
      <c r="H866" t="n">
        <v>0</v>
      </c>
      <c r="I866" t="n">
        <v>0</v>
      </c>
      <c r="J866" t="n">
        <v>0</v>
      </c>
      <c r="K866" t="n">
        <v>0</v>
      </c>
      <c r="L866" t="n">
        <v>0</v>
      </c>
      <c r="M866" t="n">
        <v>0</v>
      </c>
      <c r="N866" t="n">
        <v>0</v>
      </c>
      <c r="O866" t="n">
        <v>0</v>
      </c>
      <c r="P866" t="n">
        <v>0</v>
      </c>
      <c r="Q866" t="n">
        <v>0</v>
      </c>
      <c r="R866" s="2" t="inlineStr"/>
    </row>
    <row r="867" ht="15" customHeight="1">
      <c r="A867" t="inlineStr">
        <is>
          <t>A 18183-2021</t>
        </is>
      </c>
      <c r="B867" s="1" t="n">
        <v>44302</v>
      </c>
      <c r="C867" s="1" t="n">
        <v>45807</v>
      </c>
      <c r="D867" t="inlineStr">
        <is>
          <t>VÄSTERBOTTENS LÄN</t>
        </is>
      </c>
      <c r="E867" t="inlineStr">
        <is>
          <t>SKELLEFTEÅ</t>
        </is>
      </c>
      <c r="G867" t="n">
        <v>7.4</v>
      </c>
      <c r="H867" t="n">
        <v>0</v>
      </c>
      <c r="I867" t="n">
        <v>0</v>
      </c>
      <c r="J867" t="n">
        <v>0</v>
      </c>
      <c r="K867" t="n">
        <v>0</v>
      </c>
      <c r="L867" t="n">
        <v>0</v>
      </c>
      <c r="M867" t="n">
        <v>0</v>
      </c>
      <c r="N867" t="n">
        <v>0</v>
      </c>
      <c r="O867" t="n">
        <v>0</v>
      </c>
      <c r="P867" t="n">
        <v>0</v>
      </c>
      <c r="Q867" t="n">
        <v>0</v>
      </c>
      <c r="R867" s="2" t="inlineStr"/>
    </row>
    <row r="868" ht="15" customHeight="1">
      <c r="A868" t="inlineStr">
        <is>
          <t>A 18104-2021</t>
        </is>
      </c>
      <c r="B868" s="1" t="n">
        <v>44302</v>
      </c>
      <c r="C868" s="1" t="n">
        <v>45807</v>
      </c>
      <c r="D868" t="inlineStr">
        <is>
          <t>VÄSTERBOTTENS LÄN</t>
        </is>
      </c>
      <c r="E868" t="inlineStr">
        <is>
          <t>SKELLEFTEÅ</t>
        </is>
      </c>
      <c r="G868" t="n">
        <v>3.8</v>
      </c>
      <c r="H868" t="n">
        <v>0</v>
      </c>
      <c r="I868" t="n">
        <v>0</v>
      </c>
      <c r="J868" t="n">
        <v>0</v>
      </c>
      <c r="K868" t="n">
        <v>0</v>
      </c>
      <c r="L868" t="n">
        <v>0</v>
      </c>
      <c r="M868" t="n">
        <v>0</v>
      </c>
      <c r="N868" t="n">
        <v>0</v>
      </c>
      <c r="O868" t="n">
        <v>0</v>
      </c>
      <c r="P868" t="n">
        <v>0</v>
      </c>
      <c r="Q868" t="n">
        <v>0</v>
      </c>
      <c r="R868" s="2" t="inlineStr"/>
    </row>
    <row r="869" ht="15" customHeight="1">
      <c r="A869" t="inlineStr">
        <is>
          <t>A 18216-2021</t>
        </is>
      </c>
      <c r="B869" s="1" t="n">
        <v>44303</v>
      </c>
      <c r="C869" s="1" t="n">
        <v>45807</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18353-2021</t>
        </is>
      </c>
      <c r="B870" s="1" t="n">
        <v>44305</v>
      </c>
      <c r="C870" s="1" t="n">
        <v>45807</v>
      </c>
      <c r="D870" t="inlineStr">
        <is>
          <t>VÄSTERBOTTENS LÄN</t>
        </is>
      </c>
      <c r="E870" t="inlineStr">
        <is>
          <t>SKELLEFTEÅ</t>
        </is>
      </c>
      <c r="G870" t="n">
        <v>7.2</v>
      </c>
      <c r="H870" t="n">
        <v>0</v>
      </c>
      <c r="I870" t="n">
        <v>0</v>
      </c>
      <c r="J870" t="n">
        <v>0</v>
      </c>
      <c r="K870" t="n">
        <v>0</v>
      </c>
      <c r="L870" t="n">
        <v>0</v>
      </c>
      <c r="M870" t="n">
        <v>0</v>
      </c>
      <c r="N870" t="n">
        <v>0</v>
      </c>
      <c r="O870" t="n">
        <v>0</v>
      </c>
      <c r="P870" t="n">
        <v>0</v>
      </c>
      <c r="Q870" t="n">
        <v>0</v>
      </c>
      <c r="R870" s="2" t="inlineStr"/>
    </row>
    <row r="871" ht="15" customHeight="1">
      <c r="A871" t="inlineStr">
        <is>
          <t>A 19538-2021</t>
        </is>
      </c>
      <c r="B871" s="1" t="n">
        <v>44309</v>
      </c>
      <c r="C871" s="1" t="n">
        <v>45807</v>
      </c>
      <c r="D871" t="inlineStr">
        <is>
          <t>VÄSTERBOTTENS LÄN</t>
        </is>
      </c>
      <c r="E871" t="inlineStr">
        <is>
          <t>SKELLEFTEÅ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19748-2021</t>
        </is>
      </c>
      <c r="B872" s="1" t="n">
        <v>44312</v>
      </c>
      <c r="C872" s="1" t="n">
        <v>45807</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19679-2021</t>
        </is>
      </c>
      <c r="B873" s="1" t="n">
        <v>44312</v>
      </c>
      <c r="C873" s="1" t="n">
        <v>45807</v>
      </c>
      <c r="D873" t="inlineStr">
        <is>
          <t>VÄSTERBOTTENS LÄN</t>
        </is>
      </c>
      <c r="E873" t="inlineStr">
        <is>
          <t>SKELLEFTEÅ</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20051-2021</t>
        </is>
      </c>
      <c r="B874" s="1" t="n">
        <v>44313</v>
      </c>
      <c r="C874" s="1" t="n">
        <v>45807</v>
      </c>
      <c r="D874" t="inlineStr">
        <is>
          <t>VÄSTERBOTTENS LÄN</t>
        </is>
      </c>
      <c r="E874" t="inlineStr">
        <is>
          <t>SKELLEFTEÅ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20046-2021</t>
        </is>
      </c>
      <c r="B875" s="1" t="n">
        <v>44313</v>
      </c>
      <c r="C875" s="1" t="n">
        <v>45807</v>
      </c>
      <c r="D875" t="inlineStr">
        <is>
          <t>VÄSTERBOTTENS LÄN</t>
        </is>
      </c>
      <c r="E875" t="inlineStr">
        <is>
          <t>SKELLEFTEÅ</t>
        </is>
      </c>
      <c r="G875" t="n">
        <v>3.1</v>
      </c>
      <c r="H875" t="n">
        <v>0</v>
      </c>
      <c r="I875" t="n">
        <v>0</v>
      </c>
      <c r="J875" t="n">
        <v>0</v>
      </c>
      <c r="K875" t="n">
        <v>0</v>
      </c>
      <c r="L875" t="n">
        <v>0</v>
      </c>
      <c r="M875" t="n">
        <v>0</v>
      </c>
      <c r="N875" t="n">
        <v>0</v>
      </c>
      <c r="O875" t="n">
        <v>0</v>
      </c>
      <c r="P875" t="n">
        <v>0</v>
      </c>
      <c r="Q875" t="n">
        <v>0</v>
      </c>
      <c r="R875" s="2" t="inlineStr"/>
    </row>
    <row r="876" ht="15" customHeight="1">
      <c r="A876" t="inlineStr">
        <is>
          <t>A 20381-2021</t>
        </is>
      </c>
      <c r="B876" s="1" t="n">
        <v>44314</v>
      </c>
      <c r="C876" s="1" t="n">
        <v>45807</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20856-2021</t>
        </is>
      </c>
      <c r="B877" s="1" t="n">
        <v>44319</v>
      </c>
      <c r="C877" s="1" t="n">
        <v>45807</v>
      </c>
      <c r="D877" t="inlineStr">
        <is>
          <t>VÄSTERBOTTENS LÄN</t>
        </is>
      </c>
      <c r="E877" t="inlineStr">
        <is>
          <t>SKELLEFTEÅ</t>
        </is>
      </c>
      <c r="G877" t="n">
        <v>0.6</v>
      </c>
      <c r="H877" t="n">
        <v>0</v>
      </c>
      <c r="I877" t="n">
        <v>0</v>
      </c>
      <c r="J877" t="n">
        <v>0</v>
      </c>
      <c r="K877" t="n">
        <v>0</v>
      </c>
      <c r="L877" t="n">
        <v>0</v>
      </c>
      <c r="M877" t="n">
        <v>0</v>
      </c>
      <c r="N877" t="n">
        <v>0</v>
      </c>
      <c r="O877" t="n">
        <v>0</v>
      </c>
      <c r="P877" t="n">
        <v>0</v>
      </c>
      <c r="Q877" t="n">
        <v>0</v>
      </c>
      <c r="R877" s="2" t="inlineStr"/>
    </row>
    <row r="878" ht="15" customHeight="1">
      <c r="A878" t="inlineStr">
        <is>
          <t>A 24606-2021</t>
        </is>
      </c>
      <c r="B878" s="1" t="n">
        <v>44319</v>
      </c>
      <c r="C878" s="1" t="n">
        <v>45807</v>
      </c>
      <c r="D878" t="inlineStr">
        <is>
          <t>VÄSTERBOTTENS LÄN</t>
        </is>
      </c>
      <c r="E878" t="inlineStr">
        <is>
          <t>SKELLEFTEÅ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21265-2021</t>
        </is>
      </c>
      <c r="B879" s="1" t="n">
        <v>44320</v>
      </c>
      <c r="C879" s="1" t="n">
        <v>45807</v>
      </c>
      <c r="D879" t="inlineStr">
        <is>
          <t>VÄSTERBOTTENS LÄN</t>
        </is>
      </c>
      <c r="E879" t="inlineStr">
        <is>
          <t>SKELLEFTEÅ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22067-2021</t>
        </is>
      </c>
      <c r="B880" s="1" t="n">
        <v>44322</v>
      </c>
      <c r="C880" s="1" t="n">
        <v>45807</v>
      </c>
      <c r="D880" t="inlineStr">
        <is>
          <t>VÄSTERBOTTENS LÄN</t>
        </is>
      </c>
      <c r="E880" t="inlineStr">
        <is>
          <t>SKELLEFTEÅ</t>
        </is>
      </c>
      <c r="G880" t="n">
        <v>10.7</v>
      </c>
      <c r="H880" t="n">
        <v>0</v>
      </c>
      <c r="I880" t="n">
        <v>0</v>
      </c>
      <c r="J880" t="n">
        <v>0</v>
      </c>
      <c r="K880" t="n">
        <v>0</v>
      </c>
      <c r="L880" t="n">
        <v>0</v>
      </c>
      <c r="M880" t="n">
        <v>0</v>
      </c>
      <c r="N880" t="n">
        <v>0</v>
      </c>
      <c r="O880" t="n">
        <v>0</v>
      </c>
      <c r="P880" t="n">
        <v>0</v>
      </c>
      <c r="Q880" t="n">
        <v>0</v>
      </c>
      <c r="R880" s="2" t="inlineStr"/>
    </row>
    <row r="881" ht="15" customHeight="1">
      <c r="A881" t="inlineStr">
        <is>
          <t>A 22568-2021</t>
        </is>
      </c>
      <c r="B881" s="1" t="n">
        <v>44322</v>
      </c>
      <c r="C881" s="1" t="n">
        <v>45807</v>
      </c>
      <c r="D881" t="inlineStr">
        <is>
          <t>VÄSTERBOTTENS LÄN</t>
        </is>
      </c>
      <c r="E881" t="inlineStr">
        <is>
          <t>SKELLEFTEÅ</t>
        </is>
      </c>
      <c r="G881" t="n">
        <v>1.4</v>
      </c>
      <c r="H881" t="n">
        <v>0</v>
      </c>
      <c r="I881" t="n">
        <v>0</v>
      </c>
      <c r="J881" t="n">
        <v>0</v>
      </c>
      <c r="K881" t="n">
        <v>0</v>
      </c>
      <c r="L881" t="n">
        <v>0</v>
      </c>
      <c r="M881" t="n">
        <v>0</v>
      </c>
      <c r="N881" t="n">
        <v>0</v>
      </c>
      <c r="O881" t="n">
        <v>0</v>
      </c>
      <c r="P881" t="n">
        <v>0</v>
      </c>
      <c r="Q881" t="n">
        <v>0</v>
      </c>
      <c r="R881" s="2" t="inlineStr"/>
    </row>
    <row r="882" ht="15" customHeight="1">
      <c r="A882" t="inlineStr">
        <is>
          <t>A 22626-2021</t>
        </is>
      </c>
      <c r="B882" s="1" t="n">
        <v>44326</v>
      </c>
      <c r="C882" s="1" t="n">
        <v>45807</v>
      </c>
      <c r="D882" t="inlineStr">
        <is>
          <t>VÄSTERBOTTENS LÄN</t>
        </is>
      </c>
      <c r="E882" t="inlineStr">
        <is>
          <t>SKELLEFTEÅ</t>
        </is>
      </c>
      <c r="G882" t="n">
        <v>8.4</v>
      </c>
      <c r="H882" t="n">
        <v>0</v>
      </c>
      <c r="I882" t="n">
        <v>0</v>
      </c>
      <c r="J882" t="n">
        <v>0</v>
      </c>
      <c r="K882" t="n">
        <v>0</v>
      </c>
      <c r="L882" t="n">
        <v>0</v>
      </c>
      <c r="M882" t="n">
        <v>0</v>
      </c>
      <c r="N882" t="n">
        <v>0</v>
      </c>
      <c r="O882" t="n">
        <v>0</v>
      </c>
      <c r="P882" t="n">
        <v>0</v>
      </c>
      <c r="Q882" t="n">
        <v>0</v>
      </c>
      <c r="R882" s="2" t="inlineStr"/>
    </row>
    <row r="883" ht="15" customHeight="1">
      <c r="A883" t="inlineStr">
        <is>
          <t>A 23132-2021</t>
        </is>
      </c>
      <c r="B883" s="1" t="n">
        <v>44331</v>
      </c>
      <c r="C883" s="1" t="n">
        <v>45807</v>
      </c>
      <c r="D883" t="inlineStr">
        <is>
          <t>VÄSTERBOTTENS LÄN</t>
        </is>
      </c>
      <c r="E883" t="inlineStr">
        <is>
          <t>SKELLEFTEÅ</t>
        </is>
      </c>
      <c r="G883" t="n">
        <v>2.6</v>
      </c>
      <c r="H883" t="n">
        <v>0</v>
      </c>
      <c r="I883" t="n">
        <v>0</v>
      </c>
      <c r="J883" t="n">
        <v>0</v>
      </c>
      <c r="K883" t="n">
        <v>0</v>
      </c>
      <c r="L883" t="n">
        <v>0</v>
      </c>
      <c r="M883" t="n">
        <v>0</v>
      </c>
      <c r="N883" t="n">
        <v>0</v>
      </c>
      <c r="O883" t="n">
        <v>0</v>
      </c>
      <c r="P883" t="n">
        <v>0</v>
      </c>
      <c r="Q883" t="n">
        <v>0</v>
      </c>
      <c r="R883" s="2" t="inlineStr"/>
    </row>
    <row r="884" ht="15" customHeight="1">
      <c r="A884" t="inlineStr">
        <is>
          <t>A 23408-2021</t>
        </is>
      </c>
      <c r="B884" s="1" t="n">
        <v>44333</v>
      </c>
      <c r="C884" s="1" t="n">
        <v>45807</v>
      </c>
      <c r="D884" t="inlineStr">
        <is>
          <t>VÄSTERBOTTENS LÄN</t>
        </is>
      </c>
      <c r="E884" t="inlineStr">
        <is>
          <t>SKELLEFTEÅ</t>
        </is>
      </c>
      <c r="F884" t="inlineStr">
        <is>
          <t>Holmen skog AB</t>
        </is>
      </c>
      <c r="G884" t="n">
        <v>4.2</v>
      </c>
      <c r="H884" t="n">
        <v>0</v>
      </c>
      <c r="I884" t="n">
        <v>0</v>
      </c>
      <c r="J884" t="n">
        <v>0</v>
      </c>
      <c r="K884" t="n">
        <v>0</v>
      </c>
      <c r="L884" t="n">
        <v>0</v>
      </c>
      <c r="M884" t="n">
        <v>0</v>
      </c>
      <c r="N884" t="n">
        <v>0</v>
      </c>
      <c r="O884" t="n">
        <v>0</v>
      </c>
      <c r="P884" t="n">
        <v>0</v>
      </c>
      <c r="Q884" t="n">
        <v>0</v>
      </c>
      <c r="R884" s="2" t="inlineStr"/>
    </row>
    <row r="885" ht="15" customHeight="1">
      <c r="A885" t="inlineStr">
        <is>
          <t>A 23801-2021</t>
        </is>
      </c>
      <c r="B885" s="1" t="n">
        <v>44334</v>
      </c>
      <c r="C885" s="1" t="n">
        <v>45807</v>
      </c>
      <c r="D885" t="inlineStr">
        <is>
          <t>VÄSTERBOTTENS LÄN</t>
        </is>
      </c>
      <c r="E885" t="inlineStr">
        <is>
          <t>SKELLEFTEÅ</t>
        </is>
      </c>
      <c r="G885" t="n">
        <v>2.8</v>
      </c>
      <c r="H885" t="n">
        <v>0</v>
      </c>
      <c r="I885" t="n">
        <v>0</v>
      </c>
      <c r="J885" t="n">
        <v>0</v>
      </c>
      <c r="K885" t="n">
        <v>0</v>
      </c>
      <c r="L885" t="n">
        <v>0</v>
      </c>
      <c r="M885" t="n">
        <v>0</v>
      </c>
      <c r="N885" t="n">
        <v>0</v>
      </c>
      <c r="O885" t="n">
        <v>0</v>
      </c>
      <c r="P885" t="n">
        <v>0</v>
      </c>
      <c r="Q885" t="n">
        <v>0</v>
      </c>
      <c r="R885" s="2" t="inlineStr"/>
    </row>
    <row r="886" ht="15" customHeight="1">
      <c r="A886" t="inlineStr">
        <is>
          <t>A 23885-2021</t>
        </is>
      </c>
      <c r="B886" s="1" t="n">
        <v>44335</v>
      </c>
      <c r="C886" s="1" t="n">
        <v>45807</v>
      </c>
      <c r="D886" t="inlineStr">
        <is>
          <t>VÄSTERBOTTENS LÄN</t>
        </is>
      </c>
      <c r="E886" t="inlineStr">
        <is>
          <t>SKELLEFTEÅ</t>
        </is>
      </c>
      <c r="F886" t="inlineStr">
        <is>
          <t>Holmen skog AB</t>
        </is>
      </c>
      <c r="G886" t="n">
        <v>1.4</v>
      </c>
      <c r="H886" t="n">
        <v>0</v>
      </c>
      <c r="I886" t="n">
        <v>0</v>
      </c>
      <c r="J886" t="n">
        <v>0</v>
      </c>
      <c r="K886" t="n">
        <v>0</v>
      </c>
      <c r="L886" t="n">
        <v>0</v>
      </c>
      <c r="M886" t="n">
        <v>0</v>
      </c>
      <c r="N886" t="n">
        <v>0</v>
      </c>
      <c r="O886" t="n">
        <v>0</v>
      </c>
      <c r="P886" t="n">
        <v>0</v>
      </c>
      <c r="Q886" t="n">
        <v>0</v>
      </c>
      <c r="R886" s="2" t="inlineStr"/>
    </row>
    <row r="887" ht="15" customHeight="1">
      <c r="A887" t="inlineStr">
        <is>
          <t>A 24238-2021</t>
        </is>
      </c>
      <c r="B887" s="1" t="n">
        <v>44337</v>
      </c>
      <c r="C887" s="1" t="n">
        <v>45807</v>
      </c>
      <c r="D887" t="inlineStr">
        <is>
          <t>VÄSTERBOTTENS LÄN</t>
        </is>
      </c>
      <c r="E887" t="inlineStr">
        <is>
          <t>SKELLEFTEÅ</t>
        </is>
      </c>
      <c r="G887" t="n">
        <v>2.3</v>
      </c>
      <c r="H887" t="n">
        <v>0</v>
      </c>
      <c r="I887" t="n">
        <v>0</v>
      </c>
      <c r="J887" t="n">
        <v>0</v>
      </c>
      <c r="K887" t="n">
        <v>0</v>
      </c>
      <c r="L887" t="n">
        <v>0</v>
      </c>
      <c r="M887" t="n">
        <v>0</v>
      </c>
      <c r="N887" t="n">
        <v>0</v>
      </c>
      <c r="O887" t="n">
        <v>0</v>
      </c>
      <c r="P887" t="n">
        <v>0</v>
      </c>
      <c r="Q887" t="n">
        <v>0</v>
      </c>
      <c r="R887" s="2" t="inlineStr"/>
    </row>
    <row r="888" ht="15" customHeight="1">
      <c r="A888" t="inlineStr">
        <is>
          <t>A 24303-2021</t>
        </is>
      </c>
      <c r="B888" s="1" t="n">
        <v>44337</v>
      </c>
      <c r="C888" s="1" t="n">
        <v>45807</v>
      </c>
      <c r="D888" t="inlineStr">
        <is>
          <t>VÄSTERBOTTENS LÄN</t>
        </is>
      </c>
      <c r="E888" t="inlineStr">
        <is>
          <t>SKELLEFTEÅ</t>
        </is>
      </c>
      <c r="G888" t="n">
        <v>6.1</v>
      </c>
      <c r="H888" t="n">
        <v>0</v>
      </c>
      <c r="I888" t="n">
        <v>0</v>
      </c>
      <c r="J888" t="n">
        <v>0</v>
      </c>
      <c r="K888" t="n">
        <v>0</v>
      </c>
      <c r="L888" t="n">
        <v>0</v>
      </c>
      <c r="M888" t="n">
        <v>0</v>
      </c>
      <c r="N888" t="n">
        <v>0</v>
      </c>
      <c r="O888" t="n">
        <v>0</v>
      </c>
      <c r="P888" t="n">
        <v>0</v>
      </c>
      <c r="Q888" t="n">
        <v>0</v>
      </c>
      <c r="R888" s="2" t="inlineStr"/>
    </row>
    <row r="889" ht="15" customHeight="1">
      <c r="A889" t="inlineStr">
        <is>
          <t>A 24653-2021</t>
        </is>
      </c>
      <c r="B889" s="1" t="n">
        <v>44340</v>
      </c>
      <c r="C889" s="1" t="n">
        <v>45807</v>
      </c>
      <c r="D889" t="inlineStr">
        <is>
          <t>VÄSTERBOTTENS LÄN</t>
        </is>
      </c>
      <c r="E889" t="inlineStr">
        <is>
          <t>SKELLEFTEÅ</t>
        </is>
      </c>
      <c r="G889" t="n">
        <v>6.7</v>
      </c>
      <c r="H889" t="n">
        <v>0</v>
      </c>
      <c r="I889" t="n">
        <v>0</v>
      </c>
      <c r="J889" t="n">
        <v>0</v>
      </c>
      <c r="K889" t="n">
        <v>0</v>
      </c>
      <c r="L889" t="n">
        <v>0</v>
      </c>
      <c r="M889" t="n">
        <v>0</v>
      </c>
      <c r="N889" t="n">
        <v>0</v>
      </c>
      <c r="O889" t="n">
        <v>0</v>
      </c>
      <c r="P889" t="n">
        <v>0</v>
      </c>
      <c r="Q889" t="n">
        <v>0</v>
      </c>
      <c r="R889" s="2" t="inlineStr"/>
    </row>
    <row r="890" ht="15" customHeight="1">
      <c r="A890" t="inlineStr">
        <is>
          <t>A 25513-2021</t>
        </is>
      </c>
      <c r="B890" s="1" t="n">
        <v>44343</v>
      </c>
      <c r="C890" s="1" t="n">
        <v>45807</v>
      </c>
      <c r="D890" t="inlineStr">
        <is>
          <t>VÄSTERBOTTENS LÄN</t>
        </is>
      </c>
      <c r="E890" t="inlineStr">
        <is>
          <t>SKELLEFTEÅ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25512-2021</t>
        </is>
      </c>
      <c r="B891" s="1" t="n">
        <v>44342</v>
      </c>
      <c r="C891" s="1" t="n">
        <v>45807</v>
      </c>
      <c r="D891" t="inlineStr">
        <is>
          <t>VÄSTERBOTTENS LÄN</t>
        </is>
      </c>
      <c r="E891" t="inlineStr">
        <is>
          <t>SKELLEFTEÅ</t>
        </is>
      </c>
      <c r="F891" t="inlineStr">
        <is>
          <t>SCA</t>
        </is>
      </c>
      <c r="G891" t="n">
        <v>6.4</v>
      </c>
      <c r="H891" t="n">
        <v>0</v>
      </c>
      <c r="I891" t="n">
        <v>0</v>
      </c>
      <c r="J891" t="n">
        <v>0</v>
      </c>
      <c r="K891" t="n">
        <v>0</v>
      </c>
      <c r="L891" t="n">
        <v>0</v>
      </c>
      <c r="M891" t="n">
        <v>0</v>
      </c>
      <c r="N891" t="n">
        <v>0</v>
      </c>
      <c r="O891" t="n">
        <v>0</v>
      </c>
      <c r="P891" t="n">
        <v>0</v>
      </c>
      <c r="Q891" t="n">
        <v>0</v>
      </c>
      <c r="R891" s="2" t="inlineStr"/>
    </row>
    <row r="892" ht="15" customHeight="1">
      <c r="A892" t="inlineStr">
        <is>
          <t>A 25515-2021</t>
        </is>
      </c>
      <c r="B892" s="1" t="n">
        <v>44343</v>
      </c>
      <c r="C892" s="1" t="n">
        <v>45807</v>
      </c>
      <c r="D892" t="inlineStr">
        <is>
          <t>VÄSTERBOTTENS LÄN</t>
        </is>
      </c>
      <c r="E892" t="inlineStr">
        <is>
          <t>SKELLEFTEÅ</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25520-2021</t>
        </is>
      </c>
      <c r="B893" s="1" t="n">
        <v>44343</v>
      </c>
      <c r="C893" s="1" t="n">
        <v>45807</v>
      </c>
      <c r="D893" t="inlineStr">
        <is>
          <t>VÄSTERBOTTENS LÄN</t>
        </is>
      </c>
      <c r="E893" t="inlineStr">
        <is>
          <t>SKELLEFTEÅ</t>
        </is>
      </c>
      <c r="F893" t="inlineStr">
        <is>
          <t>SCA</t>
        </is>
      </c>
      <c r="G893" t="n">
        <v>5.6</v>
      </c>
      <c r="H893" t="n">
        <v>0</v>
      </c>
      <c r="I893" t="n">
        <v>0</v>
      </c>
      <c r="J893" t="n">
        <v>0</v>
      </c>
      <c r="K893" t="n">
        <v>0</v>
      </c>
      <c r="L893" t="n">
        <v>0</v>
      </c>
      <c r="M893" t="n">
        <v>0</v>
      </c>
      <c r="N893" t="n">
        <v>0</v>
      </c>
      <c r="O893" t="n">
        <v>0</v>
      </c>
      <c r="P893" t="n">
        <v>0</v>
      </c>
      <c r="Q893" t="n">
        <v>0</v>
      </c>
      <c r="R893" s="2" t="inlineStr"/>
    </row>
    <row r="894" ht="15" customHeight="1">
      <c r="A894" t="inlineStr">
        <is>
          <t>A 25473-2021</t>
        </is>
      </c>
      <c r="B894" s="1" t="n">
        <v>44342</v>
      </c>
      <c r="C894" s="1" t="n">
        <v>45807</v>
      </c>
      <c r="D894" t="inlineStr">
        <is>
          <t>VÄSTERBOTTENS LÄN</t>
        </is>
      </c>
      <c r="E894" t="inlineStr">
        <is>
          <t>SKELLEFTEÅ</t>
        </is>
      </c>
      <c r="G894" t="n">
        <v>6.6</v>
      </c>
      <c r="H894" t="n">
        <v>0</v>
      </c>
      <c r="I894" t="n">
        <v>0</v>
      </c>
      <c r="J894" t="n">
        <v>0</v>
      </c>
      <c r="K894" t="n">
        <v>0</v>
      </c>
      <c r="L894" t="n">
        <v>0</v>
      </c>
      <c r="M894" t="n">
        <v>0</v>
      </c>
      <c r="N894" t="n">
        <v>0</v>
      </c>
      <c r="O894" t="n">
        <v>0</v>
      </c>
      <c r="P894" t="n">
        <v>0</v>
      </c>
      <c r="Q894" t="n">
        <v>0</v>
      </c>
      <c r="R894" s="2" t="inlineStr"/>
    </row>
    <row r="895" ht="15" customHeight="1">
      <c r="A895" t="inlineStr">
        <is>
          <t>A 25491-2021</t>
        </is>
      </c>
      <c r="B895" s="1" t="n">
        <v>44342</v>
      </c>
      <c r="C895" s="1" t="n">
        <v>45807</v>
      </c>
      <c r="D895" t="inlineStr">
        <is>
          <t>VÄSTERBOTTENS LÄN</t>
        </is>
      </c>
      <c r="E895" t="inlineStr">
        <is>
          <t>SKELLEFTEÅ</t>
        </is>
      </c>
      <c r="G895" t="n">
        <v>2.9</v>
      </c>
      <c r="H895" t="n">
        <v>0</v>
      </c>
      <c r="I895" t="n">
        <v>0</v>
      </c>
      <c r="J895" t="n">
        <v>0</v>
      </c>
      <c r="K895" t="n">
        <v>0</v>
      </c>
      <c r="L895" t="n">
        <v>0</v>
      </c>
      <c r="M895" t="n">
        <v>0</v>
      </c>
      <c r="N895" t="n">
        <v>0</v>
      </c>
      <c r="O895" t="n">
        <v>0</v>
      </c>
      <c r="P895" t="n">
        <v>0</v>
      </c>
      <c r="Q895" t="n">
        <v>0</v>
      </c>
      <c r="R895" s="2" t="inlineStr"/>
    </row>
    <row r="896" ht="15" customHeight="1">
      <c r="A896" t="inlineStr">
        <is>
          <t>A 26129-2021</t>
        </is>
      </c>
      <c r="B896" s="1" t="n">
        <v>44346</v>
      </c>
      <c r="C896" s="1" t="n">
        <v>45807</v>
      </c>
      <c r="D896" t="inlineStr">
        <is>
          <t>VÄSTERBOTTENS LÄN</t>
        </is>
      </c>
      <c r="E896" t="inlineStr">
        <is>
          <t>SKELLEFTEÅ</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26130-2021</t>
        </is>
      </c>
      <c r="B897" s="1" t="n">
        <v>44346</v>
      </c>
      <c r="C897" s="1" t="n">
        <v>45807</v>
      </c>
      <c r="D897" t="inlineStr">
        <is>
          <t>VÄSTERBOTTENS LÄN</t>
        </is>
      </c>
      <c r="E897" t="inlineStr">
        <is>
          <t>SKELLEFTEÅ</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26473-2021</t>
        </is>
      </c>
      <c r="B898" s="1" t="n">
        <v>44348</v>
      </c>
      <c r="C898" s="1" t="n">
        <v>45807</v>
      </c>
      <c r="D898" t="inlineStr">
        <is>
          <t>VÄSTERBOTTENS LÄN</t>
        </is>
      </c>
      <c r="E898" t="inlineStr">
        <is>
          <t>SKELLEFTEÅ</t>
        </is>
      </c>
      <c r="G898" t="n">
        <v>0.3</v>
      </c>
      <c r="H898" t="n">
        <v>0</v>
      </c>
      <c r="I898" t="n">
        <v>0</v>
      </c>
      <c r="J898" t="n">
        <v>0</v>
      </c>
      <c r="K898" t="n">
        <v>0</v>
      </c>
      <c r="L898" t="n">
        <v>0</v>
      </c>
      <c r="M898" t="n">
        <v>0</v>
      </c>
      <c r="N898" t="n">
        <v>0</v>
      </c>
      <c r="O898" t="n">
        <v>0</v>
      </c>
      <c r="P898" t="n">
        <v>0</v>
      </c>
      <c r="Q898" t="n">
        <v>0</v>
      </c>
      <c r="R898" s="2" t="inlineStr"/>
    </row>
    <row r="899" ht="15" customHeight="1">
      <c r="A899" t="inlineStr">
        <is>
          <t>A 26599-2021</t>
        </is>
      </c>
      <c r="B899" s="1" t="n">
        <v>44348</v>
      </c>
      <c r="C899" s="1" t="n">
        <v>45807</v>
      </c>
      <c r="D899" t="inlineStr">
        <is>
          <t>VÄSTERBOTTENS LÄN</t>
        </is>
      </c>
      <c r="E899" t="inlineStr">
        <is>
          <t>SKELLEFTEÅ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26858-2021</t>
        </is>
      </c>
      <c r="B900" s="1" t="n">
        <v>44349</v>
      </c>
      <c r="C900" s="1" t="n">
        <v>45807</v>
      </c>
      <c r="D900" t="inlineStr">
        <is>
          <t>VÄSTERBOTTENS LÄN</t>
        </is>
      </c>
      <c r="E900" t="inlineStr">
        <is>
          <t>SKELLEFTEÅ</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26957-2021</t>
        </is>
      </c>
      <c r="B901" s="1" t="n">
        <v>44350</v>
      </c>
      <c r="C901" s="1" t="n">
        <v>45807</v>
      </c>
      <c r="D901" t="inlineStr">
        <is>
          <t>VÄSTERBOTTENS LÄN</t>
        </is>
      </c>
      <c r="E901" t="inlineStr">
        <is>
          <t>SKELLEFTEÅ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26975-2021</t>
        </is>
      </c>
      <c r="B902" s="1" t="n">
        <v>44350</v>
      </c>
      <c r="C902" s="1" t="n">
        <v>45807</v>
      </c>
      <c r="D902" t="inlineStr">
        <is>
          <t>VÄSTERBOTTENS LÄN</t>
        </is>
      </c>
      <c r="E902" t="inlineStr">
        <is>
          <t>SKELLEFTEÅ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27444-2021</t>
        </is>
      </c>
      <c r="B903" s="1" t="n">
        <v>44351</v>
      </c>
      <c r="C903" s="1" t="n">
        <v>45807</v>
      </c>
      <c r="D903" t="inlineStr">
        <is>
          <t>VÄSTERBOTTENS LÄN</t>
        </is>
      </c>
      <c r="E903" t="inlineStr">
        <is>
          <t>SKELLEFTEÅ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27698-2021</t>
        </is>
      </c>
      <c r="B904" s="1" t="n">
        <v>44354</v>
      </c>
      <c r="C904" s="1" t="n">
        <v>45807</v>
      </c>
      <c r="D904" t="inlineStr">
        <is>
          <t>VÄSTERBOTTENS LÄN</t>
        </is>
      </c>
      <c r="E904" t="inlineStr">
        <is>
          <t>SKELLEFTEÅ</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27643-2021</t>
        </is>
      </c>
      <c r="B905" s="1" t="n">
        <v>44354</v>
      </c>
      <c r="C905" s="1" t="n">
        <v>45807</v>
      </c>
      <c r="D905" t="inlineStr">
        <is>
          <t>VÄSTERBOTTENS LÄN</t>
        </is>
      </c>
      <c r="E905" t="inlineStr">
        <is>
          <t>SKELLEFTEÅ</t>
        </is>
      </c>
      <c r="F905" t="inlineStr">
        <is>
          <t>Holmen skog AB</t>
        </is>
      </c>
      <c r="G905" t="n">
        <v>3.7</v>
      </c>
      <c r="H905" t="n">
        <v>0</v>
      </c>
      <c r="I905" t="n">
        <v>0</v>
      </c>
      <c r="J905" t="n">
        <v>0</v>
      </c>
      <c r="K905" t="n">
        <v>0</v>
      </c>
      <c r="L905" t="n">
        <v>0</v>
      </c>
      <c r="M905" t="n">
        <v>0</v>
      </c>
      <c r="N905" t="n">
        <v>0</v>
      </c>
      <c r="O905" t="n">
        <v>0</v>
      </c>
      <c r="P905" t="n">
        <v>0</v>
      </c>
      <c r="Q905" t="n">
        <v>0</v>
      </c>
      <c r="R905" s="2" t="inlineStr"/>
    </row>
    <row r="906" ht="15" customHeight="1">
      <c r="A906" t="inlineStr">
        <is>
          <t>A 27774-2021</t>
        </is>
      </c>
      <c r="B906" s="1" t="n">
        <v>44354</v>
      </c>
      <c r="C906" s="1" t="n">
        <v>45807</v>
      </c>
      <c r="D906" t="inlineStr">
        <is>
          <t>VÄSTERBOTTENS LÄN</t>
        </is>
      </c>
      <c r="E906" t="inlineStr">
        <is>
          <t>SKELLEFTEÅ</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28121-2021</t>
        </is>
      </c>
      <c r="B907" s="1" t="n">
        <v>44355</v>
      </c>
      <c r="C907" s="1" t="n">
        <v>45807</v>
      </c>
      <c r="D907" t="inlineStr">
        <is>
          <t>VÄSTERBOTTENS LÄN</t>
        </is>
      </c>
      <c r="E907" t="inlineStr">
        <is>
          <t>SKELLEFTEÅ</t>
        </is>
      </c>
      <c r="G907" t="n">
        <v>1.8</v>
      </c>
      <c r="H907" t="n">
        <v>0</v>
      </c>
      <c r="I907" t="n">
        <v>0</v>
      </c>
      <c r="J907" t="n">
        <v>0</v>
      </c>
      <c r="K907" t="n">
        <v>0</v>
      </c>
      <c r="L907" t="n">
        <v>0</v>
      </c>
      <c r="M907" t="n">
        <v>0</v>
      </c>
      <c r="N907" t="n">
        <v>0</v>
      </c>
      <c r="O907" t="n">
        <v>0</v>
      </c>
      <c r="P907" t="n">
        <v>0</v>
      </c>
      <c r="Q907" t="n">
        <v>0</v>
      </c>
      <c r="R907" s="2" t="inlineStr"/>
    </row>
    <row r="908" ht="15" customHeight="1">
      <c r="A908" t="inlineStr">
        <is>
          <t>A 28191-2021</t>
        </is>
      </c>
      <c r="B908" s="1" t="n">
        <v>44355</v>
      </c>
      <c r="C908" s="1" t="n">
        <v>45807</v>
      </c>
      <c r="D908" t="inlineStr">
        <is>
          <t>VÄSTERBOTTENS LÄN</t>
        </is>
      </c>
      <c r="E908" t="inlineStr">
        <is>
          <t>SKELLEFTEÅ</t>
        </is>
      </c>
      <c r="G908" t="n">
        <v>7.6</v>
      </c>
      <c r="H908" t="n">
        <v>0</v>
      </c>
      <c r="I908" t="n">
        <v>0</v>
      </c>
      <c r="J908" t="n">
        <v>0</v>
      </c>
      <c r="K908" t="n">
        <v>0</v>
      </c>
      <c r="L908" t="n">
        <v>0</v>
      </c>
      <c r="M908" t="n">
        <v>0</v>
      </c>
      <c r="N908" t="n">
        <v>0</v>
      </c>
      <c r="O908" t="n">
        <v>0</v>
      </c>
      <c r="P908" t="n">
        <v>0</v>
      </c>
      <c r="Q908" t="n">
        <v>0</v>
      </c>
      <c r="R908" s="2" t="inlineStr"/>
    </row>
    <row r="909" ht="15" customHeight="1">
      <c r="A909" t="inlineStr">
        <is>
          <t>A 28196-2021</t>
        </is>
      </c>
      <c r="B909" s="1" t="n">
        <v>44355</v>
      </c>
      <c r="C909" s="1" t="n">
        <v>45807</v>
      </c>
      <c r="D909" t="inlineStr">
        <is>
          <t>VÄSTERBOTTENS LÄN</t>
        </is>
      </c>
      <c r="E909" t="inlineStr">
        <is>
          <t>SKELLEFTEÅ</t>
        </is>
      </c>
      <c r="F909" t="inlineStr">
        <is>
          <t>Holmen skog AB</t>
        </is>
      </c>
      <c r="G909" t="n">
        <v>7.5</v>
      </c>
      <c r="H909" t="n">
        <v>0</v>
      </c>
      <c r="I909" t="n">
        <v>0</v>
      </c>
      <c r="J909" t="n">
        <v>0</v>
      </c>
      <c r="K909" t="n">
        <v>0</v>
      </c>
      <c r="L909" t="n">
        <v>0</v>
      </c>
      <c r="M909" t="n">
        <v>0</v>
      </c>
      <c r="N909" t="n">
        <v>0</v>
      </c>
      <c r="O909" t="n">
        <v>0</v>
      </c>
      <c r="P909" t="n">
        <v>0</v>
      </c>
      <c r="Q909" t="n">
        <v>0</v>
      </c>
      <c r="R909" s="2" t="inlineStr"/>
    </row>
    <row r="910" ht="15" customHeight="1">
      <c r="A910" t="inlineStr">
        <is>
          <t>A 28244-2021</t>
        </is>
      </c>
      <c r="B910" s="1" t="n">
        <v>44355</v>
      </c>
      <c r="C910" s="1" t="n">
        <v>45807</v>
      </c>
      <c r="D910" t="inlineStr">
        <is>
          <t>VÄSTERBOTTENS LÄN</t>
        </is>
      </c>
      <c r="E910" t="inlineStr">
        <is>
          <t>SKELLEFTEÅ</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28291-2021</t>
        </is>
      </c>
      <c r="B911" s="1" t="n">
        <v>44356</v>
      </c>
      <c r="C911" s="1" t="n">
        <v>45807</v>
      </c>
      <c r="D911" t="inlineStr">
        <is>
          <t>VÄSTERBOTTENS LÄN</t>
        </is>
      </c>
      <c r="E911" t="inlineStr">
        <is>
          <t>SKELLEFTEÅ</t>
        </is>
      </c>
      <c r="G911" t="n">
        <v>10.1</v>
      </c>
      <c r="H911" t="n">
        <v>0</v>
      </c>
      <c r="I911" t="n">
        <v>0</v>
      </c>
      <c r="J911" t="n">
        <v>0</v>
      </c>
      <c r="K911" t="n">
        <v>0</v>
      </c>
      <c r="L911" t="n">
        <v>0</v>
      </c>
      <c r="M911" t="n">
        <v>0</v>
      </c>
      <c r="N911" t="n">
        <v>0</v>
      </c>
      <c r="O911" t="n">
        <v>0</v>
      </c>
      <c r="P911" t="n">
        <v>0</v>
      </c>
      <c r="Q911" t="n">
        <v>0</v>
      </c>
      <c r="R911" s="2" t="inlineStr"/>
    </row>
    <row r="912" ht="15" customHeight="1">
      <c r="A912" t="inlineStr">
        <is>
          <t>A 28525-2021</t>
        </is>
      </c>
      <c r="B912" s="1" t="n">
        <v>44356</v>
      </c>
      <c r="C912" s="1" t="n">
        <v>45807</v>
      </c>
      <c r="D912" t="inlineStr">
        <is>
          <t>VÄSTERBOTTENS LÄN</t>
        </is>
      </c>
      <c r="E912" t="inlineStr">
        <is>
          <t>SKELLEFTEÅ</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28666-2021</t>
        </is>
      </c>
      <c r="B913" s="1" t="n">
        <v>44357</v>
      </c>
      <c r="C913" s="1" t="n">
        <v>45807</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28822-2021</t>
        </is>
      </c>
      <c r="B914" s="1" t="n">
        <v>44357</v>
      </c>
      <c r="C914" s="1" t="n">
        <v>45807</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29115-2021</t>
        </is>
      </c>
      <c r="B915" s="1" t="n">
        <v>44358</v>
      </c>
      <c r="C915" s="1" t="n">
        <v>45807</v>
      </c>
      <c r="D915" t="inlineStr">
        <is>
          <t>VÄSTERBOTTENS LÄN</t>
        </is>
      </c>
      <c r="E915" t="inlineStr">
        <is>
          <t>SKELLEFTEÅ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28959-2021</t>
        </is>
      </c>
      <c r="B916" s="1" t="n">
        <v>44358</v>
      </c>
      <c r="C916" s="1" t="n">
        <v>45807</v>
      </c>
      <c r="D916" t="inlineStr">
        <is>
          <t>VÄSTERBOTTENS LÄN</t>
        </is>
      </c>
      <c r="E916" t="inlineStr">
        <is>
          <t>SKELLEFTEÅ</t>
        </is>
      </c>
      <c r="G916" t="n">
        <v>4.9</v>
      </c>
      <c r="H916" t="n">
        <v>0</v>
      </c>
      <c r="I916" t="n">
        <v>0</v>
      </c>
      <c r="J916" t="n">
        <v>0</v>
      </c>
      <c r="K916" t="n">
        <v>0</v>
      </c>
      <c r="L916" t="n">
        <v>0</v>
      </c>
      <c r="M916" t="n">
        <v>0</v>
      </c>
      <c r="N916" t="n">
        <v>0</v>
      </c>
      <c r="O916" t="n">
        <v>0</v>
      </c>
      <c r="P916" t="n">
        <v>0</v>
      </c>
      <c r="Q916" t="n">
        <v>0</v>
      </c>
      <c r="R916" s="2" t="inlineStr"/>
    </row>
    <row r="917" ht="15" customHeight="1">
      <c r="A917" t="inlineStr">
        <is>
          <t>A 29319-2021</t>
        </is>
      </c>
      <c r="B917" s="1" t="n">
        <v>44361</v>
      </c>
      <c r="C917" s="1" t="n">
        <v>45807</v>
      </c>
      <c r="D917" t="inlineStr">
        <is>
          <t>VÄSTERBOTTENS LÄN</t>
        </is>
      </c>
      <c r="E917" t="inlineStr">
        <is>
          <t>SKELLEFTEÅ</t>
        </is>
      </c>
      <c r="G917" t="n">
        <v>3.5</v>
      </c>
      <c r="H917" t="n">
        <v>0</v>
      </c>
      <c r="I917" t="n">
        <v>0</v>
      </c>
      <c r="J917" t="n">
        <v>0</v>
      </c>
      <c r="K917" t="n">
        <v>0</v>
      </c>
      <c r="L917" t="n">
        <v>0</v>
      </c>
      <c r="M917" t="n">
        <v>0</v>
      </c>
      <c r="N917" t="n">
        <v>0</v>
      </c>
      <c r="O917" t="n">
        <v>0</v>
      </c>
      <c r="P917" t="n">
        <v>0</v>
      </c>
      <c r="Q917" t="n">
        <v>0</v>
      </c>
      <c r="R917" s="2" t="inlineStr"/>
    </row>
    <row r="918" ht="15" customHeight="1">
      <c r="A918" t="inlineStr">
        <is>
          <t>A 29276-2021</t>
        </is>
      </c>
      <c r="B918" s="1" t="n">
        <v>44361</v>
      </c>
      <c r="C918" s="1" t="n">
        <v>45807</v>
      </c>
      <c r="D918" t="inlineStr">
        <is>
          <t>VÄSTERBOTTENS LÄN</t>
        </is>
      </c>
      <c r="E918" t="inlineStr">
        <is>
          <t>SKELLEFTEÅ</t>
        </is>
      </c>
      <c r="G918" t="n">
        <v>2.1</v>
      </c>
      <c r="H918" t="n">
        <v>0</v>
      </c>
      <c r="I918" t="n">
        <v>0</v>
      </c>
      <c r="J918" t="n">
        <v>0</v>
      </c>
      <c r="K918" t="n">
        <v>0</v>
      </c>
      <c r="L918" t="n">
        <v>0</v>
      </c>
      <c r="M918" t="n">
        <v>0</v>
      </c>
      <c r="N918" t="n">
        <v>0</v>
      </c>
      <c r="O918" t="n">
        <v>0</v>
      </c>
      <c r="P918" t="n">
        <v>0</v>
      </c>
      <c r="Q918" t="n">
        <v>0</v>
      </c>
      <c r="R918" s="2" t="inlineStr"/>
    </row>
    <row r="919" ht="15" customHeight="1">
      <c r="A919" t="inlineStr">
        <is>
          <t>A 29407-2021</t>
        </is>
      </c>
      <c r="B919" s="1" t="n">
        <v>44361</v>
      </c>
      <c r="C919" s="1" t="n">
        <v>45807</v>
      </c>
      <c r="D919" t="inlineStr">
        <is>
          <t>VÄSTERBOTTENS LÄN</t>
        </is>
      </c>
      <c r="E919" t="inlineStr">
        <is>
          <t>SKELLEFTEÅ</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29687-2021</t>
        </is>
      </c>
      <c r="B920" s="1" t="n">
        <v>44362</v>
      </c>
      <c r="C920" s="1" t="n">
        <v>45807</v>
      </c>
      <c r="D920" t="inlineStr">
        <is>
          <t>VÄSTERBOTTENS LÄN</t>
        </is>
      </c>
      <c r="E920" t="inlineStr">
        <is>
          <t>SKELLEFTEÅ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29649-2021</t>
        </is>
      </c>
      <c r="B921" s="1" t="n">
        <v>44362</v>
      </c>
      <c r="C921" s="1" t="n">
        <v>45807</v>
      </c>
      <c r="D921" t="inlineStr">
        <is>
          <t>VÄSTERBOTTENS LÄN</t>
        </is>
      </c>
      <c r="E921" t="inlineStr">
        <is>
          <t>SKELLEFTEÅ</t>
        </is>
      </c>
      <c r="G921" t="n">
        <v>1.7</v>
      </c>
      <c r="H921" t="n">
        <v>0</v>
      </c>
      <c r="I921" t="n">
        <v>0</v>
      </c>
      <c r="J921" t="n">
        <v>0</v>
      </c>
      <c r="K921" t="n">
        <v>0</v>
      </c>
      <c r="L921" t="n">
        <v>0</v>
      </c>
      <c r="M921" t="n">
        <v>0</v>
      </c>
      <c r="N921" t="n">
        <v>0</v>
      </c>
      <c r="O921" t="n">
        <v>0</v>
      </c>
      <c r="P921" t="n">
        <v>0</v>
      </c>
      <c r="Q921" t="n">
        <v>0</v>
      </c>
      <c r="R921" s="2" t="inlineStr"/>
    </row>
    <row r="922" ht="15" customHeight="1">
      <c r="A922" t="inlineStr">
        <is>
          <t>A 29731-2021</t>
        </is>
      </c>
      <c r="B922" s="1" t="n">
        <v>44362</v>
      </c>
      <c r="C922" s="1" t="n">
        <v>45807</v>
      </c>
      <c r="D922" t="inlineStr">
        <is>
          <t>VÄSTERBOTTENS LÄN</t>
        </is>
      </c>
      <c r="E922" t="inlineStr">
        <is>
          <t>SKELLEFTEÅ</t>
        </is>
      </c>
      <c r="F922" t="inlineStr">
        <is>
          <t>Holmen skog AB</t>
        </is>
      </c>
      <c r="G922" t="n">
        <v>15.1</v>
      </c>
      <c r="H922" t="n">
        <v>0</v>
      </c>
      <c r="I922" t="n">
        <v>0</v>
      </c>
      <c r="J922" t="n">
        <v>0</v>
      </c>
      <c r="K922" t="n">
        <v>0</v>
      </c>
      <c r="L922" t="n">
        <v>0</v>
      </c>
      <c r="M922" t="n">
        <v>0</v>
      </c>
      <c r="N922" t="n">
        <v>0</v>
      </c>
      <c r="O922" t="n">
        <v>0</v>
      </c>
      <c r="P922" t="n">
        <v>0</v>
      </c>
      <c r="Q922" t="n">
        <v>0</v>
      </c>
      <c r="R922" s="2" t="inlineStr"/>
    </row>
    <row r="923" ht="15" customHeight="1">
      <c r="A923" t="inlineStr">
        <is>
          <t>A 30086-2021</t>
        </is>
      </c>
      <c r="B923" s="1" t="n">
        <v>44363</v>
      </c>
      <c r="C923" s="1" t="n">
        <v>45807</v>
      </c>
      <c r="D923" t="inlineStr">
        <is>
          <t>VÄSTERBOTTENS LÄN</t>
        </is>
      </c>
      <c r="E923" t="inlineStr">
        <is>
          <t>SKELLEFTEÅ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30194-2021</t>
        </is>
      </c>
      <c r="B924" s="1" t="n">
        <v>44363</v>
      </c>
      <c r="C924" s="1" t="n">
        <v>45807</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30449-2021</t>
        </is>
      </c>
      <c r="B925" s="1" t="n">
        <v>44364</v>
      </c>
      <c r="C925" s="1" t="n">
        <v>45807</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30332-2021</t>
        </is>
      </c>
      <c r="B926" s="1" t="n">
        <v>44364</v>
      </c>
      <c r="C926" s="1" t="n">
        <v>45807</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30744-2021</t>
        </is>
      </c>
      <c r="B927" s="1" t="n">
        <v>44365</v>
      </c>
      <c r="C927" s="1" t="n">
        <v>45807</v>
      </c>
      <c r="D927" t="inlineStr">
        <is>
          <t>VÄSTERBOTTENS LÄN</t>
        </is>
      </c>
      <c r="E927" t="inlineStr">
        <is>
          <t>SKELLEFTEÅ</t>
        </is>
      </c>
      <c r="G927" t="n">
        <v>38.3</v>
      </c>
      <c r="H927" t="n">
        <v>0</v>
      </c>
      <c r="I927" t="n">
        <v>0</v>
      </c>
      <c r="J927" t="n">
        <v>0</v>
      </c>
      <c r="K927" t="n">
        <v>0</v>
      </c>
      <c r="L927" t="n">
        <v>0</v>
      </c>
      <c r="M927" t="n">
        <v>0</v>
      </c>
      <c r="N927" t="n">
        <v>0</v>
      </c>
      <c r="O927" t="n">
        <v>0</v>
      </c>
      <c r="P927" t="n">
        <v>0</v>
      </c>
      <c r="Q927" t="n">
        <v>0</v>
      </c>
      <c r="R927" s="2" t="inlineStr"/>
    </row>
    <row r="928" ht="15" customHeight="1">
      <c r="A928" t="inlineStr">
        <is>
          <t>A 30719-2021</t>
        </is>
      </c>
      <c r="B928" s="1" t="n">
        <v>44365</v>
      </c>
      <c r="C928" s="1" t="n">
        <v>45807</v>
      </c>
      <c r="D928" t="inlineStr">
        <is>
          <t>VÄSTERBOTTENS LÄN</t>
        </is>
      </c>
      <c r="E928" t="inlineStr">
        <is>
          <t>SKELLEFTEÅ</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30704-2021</t>
        </is>
      </c>
      <c r="B929" s="1" t="n">
        <v>44365</v>
      </c>
      <c r="C929" s="1" t="n">
        <v>45807</v>
      </c>
      <c r="D929" t="inlineStr">
        <is>
          <t>VÄSTERBOTTENS LÄN</t>
        </is>
      </c>
      <c r="E929" t="inlineStr">
        <is>
          <t>SKELLEFTEÅ</t>
        </is>
      </c>
      <c r="G929" t="n">
        <v>20.2</v>
      </c>
      <c r="H929" t="n">
        <v>0</v>
      </c>
      <c r="I929" t="n">
        <v>0</v>
      </c>
      <c r="J929" t="n">
        <v>0</v>
      </c>
      <c r="K929" t="n">
        <v>0</v>
      </c>
      <c r="L929" t="n">
        <v>0</v>
      </c>
      <c r="M929" t="n">
        <v>0</v>
      </c>
      <c r="N929" t="n">
        <v>0</v>
      </c>
      <c r="O929" t="n">
        <v>0</v>
      </c>
      <c r="P929" t="n">
        <v>0</v>
      </c>
      <c r="Q929" t="n">
        <v>0</v>
      </c>
      <c r="R929" s="2" t="inlineStr"/>
    </row>
    <row r="930" ht="15" customHeight="1">
      <c r="A930" t="inlineStr">
        <is>
          <t>A 30754-2021</t>
        </is>
      </c>
      <c r="B930" s="1" t="n">
        <v>44365</v>
      </c>
      <c r="C930" s="1" t="n">
        <v>45807</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30870-2021</t>
        </is>
      </c>
      <c r="B931" s="1" t="n">
        <v>44365</v>
      </c>
      <c r="C931" s="1" t="n">
        <v>45807</v>
      </c>
      <c r="D931" t="inlineStr">
        <is>
          <t>VÄSTERBOTTENS LÄN</t>
        </is>
      </c>
      <c r="E931" t="inlineStr">
        <is>
          <t>SKELLEFTEÅ</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30959-2021</t>
        </is>
      </c>
      <c r="B932" s="1" t="n">
        <v>44365</v>
      </c>
      <c r="C932" s="1" t="n">
        <v>45807</v>
      </c>
      <c r="D932" t="inlineStr">
        <is>
          <t>VÄSTERBOTTENS LÄN</t>
        </is>
      </c>
      <c r="E932" t="inlineStr">
        <is>
          <t>SKELLEFTEÅ</t>
        </is>
      </c>
      <c r="G932" t="n">
        <v>2.7</v>
      </c>
      <c r="H932" t="n">
        <v>0</v>
      </c>
      <c r="I932" t="n">
        <v>0</v>
      </c>
      <c r="J932" t="n">
        <v>0</v>
      </c>
      <c r="K932" t="n">
        <v>0</v>
      </c>
      <c r="L932" t="n">
        <v>0</v>
      </c>
      <c r="M932" t="n">
        <v>0</v>
      </c>
      <c r="N932" t="n">
        <v>0</v>
      </c>
      <c r="O932" t="n">
        <v>0</v>
      </c>
      <c r="P932" t="n">
        <v>0</v>
      </c>
      <c r="Q932" t="n">
        <v>0</v>
      </c>
      <c r="R932" s="2" t="inlineStr"/>
    </row>
    <row r="933" ht="15" customHeight="1">
      <c r="A933" t="inlineStr">
        <is>
          <t>A 31185-2021</t>
        </is>
      </c>
      <c r="B933" s="1" t="n">
        <v>44367</v>
      </c>
      <c r="C933" s="1" t="n">
        <v>45807</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31186-2021</t>
        </is>
      </c>
      <c r="B934" s="1" t="n">
        <v>44368</v>
      </c>
      <c r="C934" s="1" t="n">
        <v>45807</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31181-2021</t>
        </is>
      </c>
      <c r="B935" s="1" t="n">
        <v>44368</v>
      </c>
      <c r="C935" s="1" t="n">
        <v>45807</v>
      </c>
      <c r="D935" t="inlineStr">
        <is>
          <t>VÄSTERBOTTENS LÄN</t>
        </is>
      </c>
      <c r="E935" t="inlineStr">
        <is>
          <t>SKELLEFTEÅ</t>
        </is>
      </c>
      <c r="G935" t="n">
        <v>6.3</v>
      </c>
      <c r="H935" t="n">
        <v>0</v>
      </c>
      <c r="I935" t="n">
        <v>0</v>
      </c>
      <c r="J935" t="n">
        <v>0</v>
      </c>
      <c r="K935" t="n">
        <v>0</v>
      </c>
      <c r="L935" t="n">
        <v>0</v>
      </c>
      <c r="M935" t="n">
        <v>0</v>
      </c>
      <c r="N935" t="n">
        <v>0</v>
      </c>
      <c r="O935" t="n">
        <v>0</v>
      </c>
      <c r="P935" t="n">
        <v>0</v>
      </c>
      <c r="Q935" t="n">
        <v>0</v>
      </c>
      <c r="R935" s="2" t="inlineStr"/>
    </row>
    <row r="936" ht="15" customHeight="1">
      <c r="A936" t="inlineStr">
        <is>
          <t>A 31197-2021</t>
        </is>
      </c>
      <c r="B936" s="1" t="n">
        <v>44368</v>
      </c>
      <c r="C936" s="1" t="n">
        <v>45807</v>
      </c>
      <c r="D936" t="inlineStr">
        <is>
          <t>VÄSTERBOTTENS LÄN</t>
        </is>
      </c>
      <c r="E936" t="inlineStr">
        <is>
          <t>SKELLEFTEÅ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31251-2021</t>
        </is>
      </c>
      <c r="B937" s="1" t="n">
        <v>44368</v>
      </c>
      <c r="C937" s="1" t="n">
        <v>45807</v>
      </c>
      <c r="D937" t="inlineStr">
        <is>
          <t>VÄSTERBOTTENS LÄN</t>
        </is>
      </c>
      <c r="E937" t="inlineStr">
        <is>
          <t>SKELLEFTEÅ</t>
        </is>
      </c>
      <c r="G937" t="n">
        <v>0.5</v>
      </c>
      <c r="H937" t="n">
        <v>0</v>
      </c>
      <c r="I937" t="n">
        <v>0</v>
      </c>
      <c r="J937" t="n">
        <v>0</v>
      </c>
      <c r="K937" t="n">
        <v>0</v>
      </c>
      <c r="L937" t="n">
        <v>0</v>
      </c>
      <c r="M937" t="n">
        <v>0</v>
      </c>
      <c r="N937" t="n">
        <v>0</v>
      </c>
      <c r="O937" t="n">
        <v>0</v>
      </c>
      <c r="P937" t="n">
        <v>0</v>
      </c>
      <c r="Q937" t="n">
        <v>0</v>
      </c>
      <c r="R937" s="2" t="inlineStr"/>
    </row>
    <row r="938" ht="15" customHeight="1">
      <c r="A938" t="inlineStr">
        <is>
          <t>A 31419-2021</t>
        </is>
      </c>
      <c r="B938" s="1" t="n">
        <v>44368</v>
      </c>
      <c r="C938" s="1" t="n">
        <v>45807</v>
      </c>
      <c r="D938" t="inlineStr">
        <is>
          <t>VÄSTERBOTTENS LÄN</t>
        </is>
      </c>
      <c r="E938" t="inlineStr">
        <is>
          <t>SKELLEFTEÅ</t>
        </is>
      </c>
      <c r="G938" t="n">
        <v>29</v>
      </c>
      <c r="H938" t="n">
        <v>0</v>
      </c>
      <c r="I938" t="n">
        <v>0</v>
      </c>
      <c r="J938" t="n">
        <v>0</v>
      </c>
      <c r="K938" t="n">
        <v>0</v>
      </c>
      <c r="L938" t="n">
        <v>0</v>
      </c>
      <c r="M938" t="n">
        <v>0</v>
      </c>
      <c r="N938" t="n">
        <v>0</v>
      </c>
      <c r="O938" t="n">
        <v>0</v>
      </c>
      <c r="P938" t="n">
        <v>0</v>
      </c>
      <c r="Q938" t="n">
        <v>0</v>
      </c>
      <c r="R938" s="2" t="inlineStr"/>
    </row>
    <row r="939" ht="15" customHeight="1">
      <c r="A939" t="inlineStr">
        <is>
          <t>A 31395-2021</t>
        </is>
      </c>
      <c r="B939" s="1" t="n">
        <v>44369</v>
      </c>
      <c r="C939" s="1" t="n">
        <v>45807</v>
      </c>
      <c r="D939" t="inlineStr">
        <is>
          <t>VÄSTERBOTTENS LÄN</t>
        </is>
      </c>
      <c r="E939" t="inlineStr">
        <is>
          <t>SKELLEFTEÅ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31766-2021</t>
        </is>
      </c>
      <c r="B940" s="1" t="n">
        <v>44369</v>
      </c>
      <c r="C940" s="1" t="n">
        <v>45807</v>
      </c>
      <c r="D940" t="inlineStr">
        <is>
          <t>VÄSTERBOTTENS LÄN</t>
        </is>
      </c>
      <c r="E940" t="inlineStr">
        <is>
          <t>SKELLEFTEÅ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32114-2021</t>
        </is>
      </c>
      <c r="B941" s="1" t="n">
        <v>44371</v>
      </c>
      <c r="C941" s="1" t="n">
        <v>45807</v>
      </c>
      <c r="D941" t="inlineStr">
        <is>
          <t>VÄSTERBOTTENS LÄN</t>
        </is>
      </c>
      <c r="E941" t="inlineStr">
        <is>
          <t>SKELLEFTEÅ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32439-2021</t>
        </is>
      </c>
      <c r="B942" s="1" t="n">
        <v>44371</v>
      </c>
      <c r="C942" s="1" t="n">
        <v>45807</v>
      </c>
      <c r="D942" t="inlineStr">
        <is>
          <t>VÄSTERBOTTENS LÄN</t>
        </is>
      </c>
      <c r="E942" t="inlineStr">
        <is>
          <t>SKELLEFTEÅ</t>
        </is>
      </c>
      <c r="G942" t="n">
        <v>2.5</v>
      </c>
      <c r="H942" t="n">
        <v>0</v>
      </c>
      <c r="I942" t="n">
        <v>0</v>
      </c>
      <c r="J942" t="n">
        <v>0</v>
      </c>
      <c r="K942" t="n">
        <v>0</v>
      </c>
      <c r="L942" t="n">
        <v>0</v>
      </c>
      <c r="M942" t="n">
        <v>0</v>
      </c>
      <c r="N942" t="n">
        <v>0</v>
      </c>
      <c r="O942" t="n">
        <v>0</v>
      </c>
      <c r="P942" t="n">
        <v>0</v>
      </c>
      <c r="Q942" t="n">
        <v>0</v>
      </c>
      <c r="R942" s="2" t="inlineStr"/>
    </row>
    <row r="943" ht="15" customHeight="1">
      <c r="A943" t="inlineStr">
        <is>
          <t>A 32438-2021</t>
        </is>
      </c>
      <c r="B943" s="1" t="n">
        <v>44371</v>
      </c>
      <c r="C943" s="1" t="n">
        <v>45807</v>
      </c>
      <c r="D943" t="inlineStr">
        <is>
          <t>VÄSTERBOTTENS LÄN</t>
        </is>
      </c>
      <c r="E943" t="inlineStr">
        <is>
          <t>SKELLEFTEÅ</t>
        </is>
      </c>
      <c r="G943" t="n">
        <v>4.7</v>
      </c>
      <c r="H943" t="n">
        <v>0</v>
      </c>
      <c r="I943" t="n">
        <v>0</v>
      </c>
      <c r="J943" t="n">
        <v>0</v>
      </c>
      <c r="K943" t="n">
        <v>0</v>
      </c>
      <c r="L943" t="n">
        <v>0</v>
      </c>
      <c r="M943" t="n">
        <v>0</v>
      </c>
      <c r="N943" t="n">
        <v>0</v>
      </c>
      <c r="O943" t="n">
        <v>0</v>
      </c>
      <c r="P943" t="n">
        <v>0</v>
      </c>
      <c r="Q943" t="n">
        <v>0</v>
      </c>
      <c r="R943" s="2" t="inlineStr"/>
    </row>
    <row r="944" ht="15" customHeight="1">
      <c r="A944" t="inlineStr">
        <is>
          <t>A 32616-2021</t>
        </is>
      </c>
      <c r="B944" s="1" t="n">
        <v>44371</v>
      </c>
      <c r="C944" s="1" t="n">
        <v>45807</v>
      </c>
      <c r="D944" t="inlineStr">
        <is>
          <t>VÄSTERBOTTENS LÄN</t>
        </is>
      </c>
      <c r="E944" t="inlineStr">
        <is>
          <t>SKELLEFTEÅ</t>
        </is>
      </c>
      <c r="G944" t="n">
        <v>2.4</v>
      </c>
      <c r="H944" t="n">
        <v>0</v>
      </c>
      <c r="I944" t="n">
        <v>0</v>
      </c>
      <c r="J944" t="n">
        <v>0</v>
      </c>
      <c r="K944" t="n">
        <v>0</v>
      </c>
      <c r="L944" t="n">
        <v>0</v>
      </c>
      <c r="M944" t="n">
        <v>0</v>
      </c>
      <c r="N944" t="n">
        <v>0</v>
      </c>
      <c r="O944" t="n">
        <v>0</v>
      </c>
      <c r="P944" t="n">
        <v>0</v>
      </c>
      <c r="Q944" t="n">
        <v>0</v>
      </c>
      <c r="R944" s="2" t="inlineStr"/>
    </row>
    <row r="945" ht="15" customHeight="1">
      <c r="A945" t="inlineStr">
        <is>
          <t>A 32585-2021</t>
        </is>
      </c>
      <c r="B945" s="1" t="n">
        <v>44375</v>
      </c>
      <c r="C945" s="1" t="n">
        <v>45807</v>
      </c>
      <c r="D945" t="inlineStr">
        <is>
          <t>VÄSTERBOTTENS LÄN</t>
        </is>
      </c>
      <c r="E945" t="inlineStr">
        <is>
          <t>SKELLEFTEÅ</t>
        </is>
      </c>
      <c r="F945" t="inlineStr">
        <is>
          <t>Holmen skog AB</t>
        </is>
      </c>
      <c r="G945" t="n">
        <v>4.6</v>
      </c>
      <c r="H945" t="n">
        <v>0</v>
      </c>
      <c r="I945" t="n">
        <v>0</v>
      </c>
      <c r="J945" t="n">
        <v>0</v>
      </c>
      <c r="K945" t="n">
        <v>0</v>
      </c>
      <c r="L945" t="n">
        <v>0</v>
      </c>
      <c r="M945" t="n">
        <v>0</v>
      </c>
      <c r="N945" t="n">
        <v>0</v>
      </c>
      <c r="O945" t="n">
        <v>0</v>
      </c>
      <c r="P945" t="n">
        <v>0</v>
      </c>
      <c r="Q945" t="n">
        <v>0</v>
      </c>
      <c r="R945" s="2" t="inlineStr"/>
    </row>
    <row r="946" ht="15" customHeight="1">
      <c r="A946" t="inlineStr">
        <is>
          <t>A 32917-2021</t>
        </is>
      </c>
      <c r="B946" s="1" t="n">
        <v>44375</v>
      </c>
      <c r="C946" s="1" t="n">
        <v>45807</v>
      </c>
      <c r="D946" t="inlineStr">
        <is>
          <t>VÄSTERBOTTENS LÄN</t>
        </is>
      </c>
      <c r="E946" t="inlineStr">
        <is>
          <t>SKELLEFTEÅ</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33236-2021</t>
        </is>
      </c>
      <c r="B947" s="1" t="n">
        <v>44376</v>
      </c>
      <c r="C947" s="1" t="n">
        <v>45807</v>
      </c>
      <c r="D947" t="inlineStr">
        <is>
          <t>VÄSTERBOTTENS LÄN</t>
        </is>
      </c>
      <c r="E947" t="inlineStr">
        <is>
          <t>SKELLEFTEÅ</t>
        </is>
      </c>
      <c r="G947" t="n">
        <v>5.4</v>
      </c>
      <c r="H947" t="n">
        <v>0</v>
      </c>
      <c r="I947" t="n">
        <v>0</v>
      </c>
      <c r="J947" t="n">
        <v>0</v>
      </c>
      <c r="K947" t="n">
        <v>0</v>
      </c>
      <c r="L947" t="n">
        <v>0</v>
      </c>
      <c r="M947" t="n">
        <v>0</v>
      </c>
      <c r="N947" t="n">
        <v>0</v>
      </c>
      <c r="O947" t="n">
        <v>0</v>
      </c>
      <c r="P947" t="n">
        <v>0</v>
      </c>
      <c r="Q947" t="n">
        <v>0</v>
      </c>
      <c r="R947" s="2" t="inlineStr"/>
    </row>
    <row r="948" ht="15" customHeight="1">
      <c r="A948" t="inlineStr">
        <is>
          <t>A 33283-2021</t>
        </is>
      </c>
      <c r="B948" s="1" t="n">
        <v>44377</v>
      </c>
      <c r="C948" s="1" t="n">
        <v>45807</v>
      </c>
      <c r="D948" t="inlineStr">
        <is>
          <t>VÄSTERBOTTENS LÄN</t>
        </is>
      </c>
      <c r="E948" t="inlineStr">
        <is>
          <t>SKELLEFTEÅ</t>
        </is>
      </c>
      <c r="G948" t="n">
        <v>1.8</v>
      </c>
      <c r="H948" t="n">
        <v>0</v>
      </c>
      <c r="I948" t="n">
        <v>0</v>
      </c>
      <c r="J948" t="n">
        <v>0</v>
      </c>
      <c r="K948" t="n">
        <v>0</v>
      </c>
      <c r="L948" t="n">
        <v>0</v>
      </c>
      <c r="M948" t="n">
        <v>0</v>
      </c>
      <c r="N948" t="n">
        <v>0</v>
      </c>
      <c r="O948" t="n">
        <v>0</v>
      </c>
      <c r="P948" t="n">
        <v>0</v>
      </c>
      <c r="Q948" t="n">
        <v>0</v>
      </c>
      <c r="R948" s="2" t="inlineStr"/>
    </row>
    <row r="949" ht="15" customHeight="1">
      <c r="A949" t="inlineStr">
        <is>
          <t>A 33284-2021</t>
        </is>
      </c>
      <c r="B949" s="1" t="n">
        <v>44377</v>
      </c>
      <c r="C949" s="1" t="n">
        <v>45807</v>
      </c>
      <c r="D949" t="inlineStr">
        <is>
          <t>VÄSTERBOTTENS LÄN</t>
        </is>
      </c>
      <c r="E949" t="inlineStr">
        <is>
          <t>SKELLEFTEÅ</t>
        </is>
      </c>
      <c r="G949" t="n">
        <v>3.6</v>
      </c>
      <c r="H949" t="n">
        <v>0</v>
      </c>
      <c r="I949" t="n">
        <v>0</v>
      </c>
      <c r="J949" t="n">
        <v>0</v>
      </c>
      <c r="K949" t="n">
        <v>0</v>
      </c>
      <c r="L949" t="n">
        <v>0</v>
      </c>
      <c r="M949" t="n">
        <v>0</v>
      </c>
      <c r="N949" t="n">
        <v>0</v>
      </c>
      <c r="O949" t="n">
        <v>0</v>
      </c>
      <c r="P949" t="n">
        <v>0</v>
      </c>
      <c r="Q949" t="n">
        <v>0</v>
      </c>
      <c r="R949" s="2" t="inlineStr"/>
    </row>
    <row r="950" ht="15" customHeight="1">
      <c r="A950" t="inlineStr">
        <is>
          <t>A 33373-2021</t>
        </is>
      </c>
      <c r="B950" s="1" t="n">
        <v>44377</v>
      </c>
      <c r="C950" s="1" t="n">
        <v>45807</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33473-2021</t>
        </is>
      </c>
      <c r="B951" s="1" t="n">
        <v>44377</v>
      </c>
      <c r="C951" s="1" t="n">
        <v>45807</v>
      </c>
      <c r="D951" t="inlineStr">
        <is>
          <t>VÄSTERBOTTENS LÄN</t>
        </is>
      </c>
      <c r="E951" t="inlineStr">
        <is>
          <t>SKELLEFTEÅ</t>
        </is>
      </c>
      <c r="G951" t="n">
        <v>5.3</v>
      </c>
      <c r="H951" t="n">
        <v>0</v>
      </c>
      <c r="I951" t="n">
        <v>0</v>
      </c>
      <c r="J951" t="n">
        <v>0</v>
      </c>
      <c r="K951" t="n">
        <v>0</v>
      </c>
      <c r="L951" t="n">
        <v>0</v>
      </c>
      <c r="M951" t="n">
        <v>0</v>
      </c>
      <c r="N951" t="n">
        <v>0</v>
      </c>
      <c r="O951" t="n">
        <v>0</v>
      </c>
      <c r="P951" t="n">
        <v>0</v>
      </c>
      <c r="Q951" t="n">
        <v>0</v>
      </c>
      <c r="R951" s="2" t="inlineStr"/>
    </row>
    <row r="952" ht="15" customHeight="1">
      <c r="A952" t="inlineStr">
        <is>
          <t>A 33520-2021</t>
        </is>
      </c>
      <c r="B952" s="1" t="n">
        <v>44377</v>
      </c>
      <c r="C952" s="1" t="n">
        <v>45807</v>
      </c>
      <c r="D952" t="inlineStr">
        <is>
          <t>VÄSTERBOTTENS LÄN</t>
        </is>
      </c>
      <c r="E952" t="inlineStr">
        <is>
          <t>SKELLEFTEÅ</t>
        </is>
      </c>
      <c r="G952" t="n">
        <v>3</v>
      </c>
      <c r="H952" t="n">
        <v>0</v>
      </c>
      <c r="I952" t="n">
        <v>0</v>
      </c>
      <c r="J952" t="n">
        <v>0</v>
      </c>
      <c r="K952" t="n">
        <v>0</v>
      </c>
      <c r="L952" t="n">
        <v>0</v>
      </c>
      <c r="M952" t="n">
        <v>0</v>
      </c>
      <c r="N952" t="n">
        <v>0</v>
      </c>
      <c r="O952" t="n">
        <v>0</v>
      </c>
      <c r="P952" t="n">
        <v>0</v>
      </c>
      <c r="Q952" t="n">
        <v>0</v>
      </c>
      <c r="R952" s="2" t="inlineStr"/>
    </row>
    <row r="953" ht="15" customHeight="1">
      <c r="A953" t="inlineStr">
        <is>
          <t>A 33576-2021</t>
        </is>
      </c>
      <c r="B953" s="1" t="n">
        <v>44378</v>
      </c>
      <c r="C953" s="1" t="n">
        <v>45807</v>
      </c>
      <c r="D953" t="inlineStr">
        <is>
          <t>VÄSTERBOTTENS LÄN</t>
        </is>
      </c>
      <c r="E953" t="inlineStr">
        <is>
          <t>SKELLEFTEÅ</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33519-2021</t>
        </is>
      </c>
      <c r="B954" s="1" t="n">
        <v>44377</v>
      </c>
      <c r="C954" s="1" t="n">
        <v>45807</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33680-2021</t>
        </is>
      </c>
      <c r="B955" s="1" t="n">
        <v>44378</v>
      </c>
      <c r="C955" s="1" t="n">
        <v>45807</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33661-2021</t>
        </is>
      </c>
      <c r="B956" s="1" t="n">
        <v>44378</v>
      </c>
      <c r="C956" s="1" t="n">
        <v>45807</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33687-2021</t>
        </is>
      </c>
      <c r="B957" s="1" t="n">
        <v>44378</v>
      </c>
      <c r="C957" s="1" t="n">
        <v>45807</v>
      </c>
      <c r="D957" t="inlineStr">
        <is>
          <t>VÄSTERBOTTENS LÄN</t>
        </is>
      </c>
      <c r="E957" t="inlineStr">
        <is>
          <t>SKELLEFTEÅ</t>
        </is>
      </c>
      <c r="G957" t="n">
        <v>0.1</v>
      </c>
      <c r="H957" t="n">
        <v>0</v>
      </c>
      <c r="I957" t="n">
        <v>0</v>
      </c>
      <c r="J957" t="n">
        <v>0</v>
      </c>
      <c r="K957" t="n">
        <v>0</v>
      </c>
      <c r="L957" t="n">
        <v>0</v>
      </c>
      <c r="M957" t="n">
        <v>0</v>
      </c>
      <c r="N957" t="n">
        <v>0</v>
      </c>
      <c r="O957" t="n">
        <v>0</v>
      </c>
      <c r="P957" t="n">
        <v>0</v>
      </c>
      <c r="Q957" t="n">
        <v>0</v>
      </c>
      <c r="R957" s="2" t="inlineStr"/>
    </row>
    <row r="958" ht="15" customHeight="1">
      <c r="A958" t="inlineStr">
        <is>
          <t>A 33841-2021</t>
        </is>
      </c>
      <c r="B958" s="1" t="n">
        <v>44378</v>
      </c>
      <c r="C958" s="1" t="n">
        <v>45807</v>
      </c>
      <c r="D958" t="inlineStr">
        <is>
          <t>VÄSTERBOTTENS LÄN</t>
        </is>
      </c>
      <c r="E958" t="inlineStr">
        <is>
          <t>SKELLEFTEÅ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34111-2021</t>
        </is>
      </c>
      <c r="B959" s="1" t="n">
        <v>44379</v>
      </c>
      <c r="C959" s="1" t="n">
        <v>45807</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34633-2021</t>
        </is>
      </c>
      <c r="B960" s="1" t="n">
        <v>44382</v>
      </c>
      <c r="C960" s="1" t="n">
        <v>45807</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34773-2021</t>
        </is>
      </c>
      <c r="B961" s="1" t="n">
        <v>44382</v>
      </c>
      <c r="C961" s="1" t="n">
        <v>45807</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35049-2021</t>
        </is>
      </c>
      <c r="B962" s="1" t="n">
        <v>44384</v>
      </c>
      <c r="C962" s="1" t="n">
        <v>45807</v>
      </c>
      <c r="D962" t="inlineStr">
        <is>
          <t>VÄSTERBOTTENS LÄN</t>
        </is>
      </c>
      <c r="E962" t="inlineStr">
        <is>
          <t>SKELLEFTEÅ</t>
        </is>
      </c>
      <c r="G962" t="n">
        <v>2.6</v>
      </c>
      <c r="H962" t="n">
        <v>0</v>
      </c>
      <c r="I962" t="n">
        <v>0</v>
      </c>
      <c r="J962" t="n">
        <v>0</v>
      </c>
      <c r="K962" t="n">
        <v>0</v>
      </c>
      <c r="L962" t="n">
        <v>0</v>
      </c>
      <c r="M962" t="n">
        <v>0</v>
      </c>
      <c r="N962" t="n">
        <v>0</v>
      </c>
      <c r="O962" t="n">
        <v>0</v>
      </c>
      <c r="P962" t="n">
        <v>0</v>
      </c>
      <c r="Q962" t="n">
        <v>0</v>
      </c>
      <c r="R962" s="2" t="inlineStr"/>
    </row>
    <row r="963" ht="15" customHeight="1">
      <c r="A963" t="inlineStr">
        <is>
          <t>A 35087-2021</t>
        </is>
      </c>
      <c r="B963" s="1" t="n">
        <v>44383</v>
      </c>
      <c r="C963" s="1" t="n">
        <v>45807</v>
      </c>
      <c r="D963" t="inlineStr">
        <is>
          <t>VÄSTERBOTTENS LÄN</t>
        </is>
      </c>
      <c r="E963" t="inlineStr">
        <is>
          <t>SKELLEFTEÅ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35078-2021</t>
        </is>
      </c>
      <c r="B964" s="1" t="n">
        <v>44384</v>
      </c>
      <c r="C964" s="1" t="n">
        <v>45807</v>
      </c>
      <c r="D964" t="inlineStr">
        <is>
          <t>VÄSTERBOTTENS LÄN</t>
        </is>
      </c>
      <c r="E964" t="inlineStr">
        <is>
          <t>SKELLEFTEÅ</t>
        </is>
      </c>
      <c r="G964" t="n">
        <v>3.2</v>
      </c>
      <c r="H964" t="n">
        <v>0</v>
      </c>
      <c r="I964" t="n">
        <v>0</v>
      </c>
      <c r="J964" t="n">
        <v>0</v>
      </c>
      <c r="K964" t="n">
        <v>0</v>
      </c>
      <c r="L964" t="n">
        <v>0</v>
      </c>
      <c r="M964" t="n">
        <v>0</v>
      </c>
      <c r="N964" t="n">
        <v>0</v>
      </c>
      <c r="O964" t="n">
        <v>0</v>
      </c>
      <c r="P964" t="n">
        <v>0</v>
      </c>
      <c r="Q964" t="n">
        <v>0</v>
      </c>
      <c r="R964" s="2" t="inlineStr"/>
    </row>
    <row r="965" ht="15" customHeight="1">
      <c r="A965" t="inlineStr">
        <is>
          <t>A 35442-2021</t>
        </is>
      </c>
      <c r="B965" s="1" t="n">
        <v>44384</v>
      </c>
      <c r="C965" s="1" t="n">
        <v>45807</v>
      </c>
      <c r="D965" t="inlineStr">
        <is>
          <t>VÄSTERBOTTENS LÄN</t>
        </is>
      </c>
      <c r="E965" t="inlineStr">
        <is>
          <t>SKELLEFTEÅ</t>
        </is>
      </c>
      <c r="G965" t="n">
        <v>1.6</v>
      </c>
      <c r="H965" t="n">
        <v>0</v>
      </c>
      <c r="I965" t="n">
        <v>0</v>
      </c>
      <c r="J965" t="n">
        <v>0</v>
      </c>
      <c r="K965" t="n">
        <v>0</v>
      </c>
      <c r="L965" t="n">
        <v>0</v>
      </c>
      <c r="M965" t="n">
        <v>0</v>
      </c>
      <c r="N965" t="n">
        <v>0</v>
      </c>
      <c r="O965" t="n">
        <v>0</v>
      </c>
      <c r="P965" t="n">
        <v>0</v>
      </c>
      <c r="Q965" t="n">
        <v>0</v>
      </c>
      <c r="R965" s="2" t="inlineStr"/>
    </row>
    <row r="966" ht="15" customHeight="1">
      <c r="A966" t="inlineStr">
        <is>
          <t>A 35435-2021</t>
        </is>
      </c>
      <c r="B966" s="1" t="n">
        <v>44385</v>
      </c>
      <c r="C966" s="1" t="n">
        <v>45807</v>
      </c>
      <c r="D966" t="inlineStr">
        <is>
          <t>VÄSTERBOTTENS LÄN</t>
        </is>
      </c>
      <c r="E966" t="inlineStr">
        <is>
          <t>SKELLEFTEÅ</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35578-2021</t>
        </is>
      </c>
      <c r="B967" s="1" t="n">
        <v>44386</v>
      </c>
      <c r="C967" s="1" t="n">
        <v>45807</v>
      </c>
      <c r="D967" t="inlineStr">
        <is>
          <t>VÄSTERBOTTENS LÄN</t>
        </is>
      </c>
      <c r="E967" t="inlineStr">
        <is>
          <t>SKELLEFTEÅ</t>
        </is>
      </c>
      <c r="F967" t="inlineStr">
        <is>
          <t>Sveaskog</t>
        </is>
      </c>
      <c r="G967" t="n">
        <v>15.5</v>
      </c>
      <c r="H967" t="n">
        <v>0</v>
      </c>
      <c r="I967" t="n">
        <v>0</v>
      </c>
      <c r="J967" t="n">
        <v>0</v>
      </c>
      <c r="K967" t="n">
        <v>0</v>
      </c>
      <c r="L967" t="n">
        <v>0</v>
      </c>
      <c r="M967" t="n">
        <v>0</v>
      </c>
      <c r="N967" t="n">
        <v>0</v>
      </c>
      <c r="O967" t="n">
        <v>0</v>
      </c>
      <c r="P967" t="n">
        <v>0</v>
      </c>
      <c r="Q967" t="n">
        <v>0</v>
      </c>
      <c r="R967" s="2" t="inlineStr"/>
    </row>
    <row r="968" ht="15" customHeight="1">
      <c r="A968" t="inlineStr">
        <is>
          <t>A 35650-2021</t>
        </is>
      </c>
      <c r="B968" s="1" t="n">
        <v>44386</v>
      </c>
      <c r="C968" s="1" t="n">
        <v>45807</v>
      </c>
      <c r="D968" t="inlineStr">
        <is>
          <t>VÄSTERBOTTENS LÄN</t>
        </is>
      </c>
      <c r="E968" t="inlineStr">
        <is>
          <t>SKELLEFTEÅ</t>
        </is>
      </c>
      <c r="F968" t="inlineStr">
        <is>
          <t>Holmen skog AB</t>
        </is>
      </c>
      <c r="G968" t="n">
        <v>5.5</v>
      </c>
      <c r="H968" t="n">
        <v>0</v>
      </c>
      <c r="I968" t="n">
        <v>0</v>
      </c>
      <c r="J968" t="n">
        <v>0</v>
      </c>
      <c r="K968" t="n">
        <v>0</v>
      </c>
      <c r="L968" t="n">
        <v>0</v>
      </c>
      <c r="M968" t="n">
        <v>0</v>
      </c>
      <c r="N968" t="n">
        <v>0</v>
      </c>
      <c r="O968" t="n">
        <v>0</v>
      </c>
      <c r="P968" t="n">
        <v>0</v>
      </c>
      <c r="Q968" t="n">
        <v>0</v>
      </c>
      <c r="R968" s="2" t="inlineStr"/>
    </row>
    <row r="969" ht="15" customHeight="1">
      <c r="A969" t="inlineStr">
        <is>
          <t>A 36086-2021</t>
        </is>
      </c>
      <c r="B969" s="1" t="n">
        <v>44386</v>
      </c>
      <c r="C969" s="1" t="n">
        <v>45807</v>
      </c>
      <c r="D969" t="inlineStr">
        <is>
          <t>VÄSTERBOTTENS LÄN</t>
        </is>
      </c>
      <c r="E969" t="inlineStr">
        <is>
          <t>SKELLEFTEÅ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36564-2021</t>
        </is>
      </c>
      <c r="B970" s="1" t="n">
        <v>44391</v>
      </c>
      <c r="C970" s="1" t="n">
        <v>45807</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36588-2021</t>
        </is>
      </c>
      <c r="B971" s="1" t="n">
        <v>44391</v>
      </c>
      <c r="C971" s="1" t="n">
        <v>45807</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36603-2021</t>
        </is>
      </c>
      <c r="B972" s="1" t="n">
        <v>44391</v>
      </c>
      <c r="C972" s="1" t="n">
        <v>45807</v>
      </c>
      <c r="D972" t="inlineStr">
        <is>
          <t>VÄSTERBOTTENS LÄN</t>
        </is>
      </c>
      <c r="E972" t="inlineStr">
        <is>
          <t>SKELLEFTEÅ</t>
        </is>
      </c>
      <c r="G972" t="n">
        <v>2.7</v>
      </c>
      <c r="H972" t="n">
        <v>0</v>
      </c>
      <c r="I972" t="n">
        <v>0</v>
      </c>
      <c r="J972" t="n">
        <v>0</v>
      </c>
      <c r="K972" t="n">
        <v>0</v>
      </c>
      <c r="L972" t="n">
        <v>0</v>
      </c>
      <c r="M972" t="n">
        <v>0</v>
      </c>
      <c r="N972" t="n">
        <v>0</v>
      </c>
      <c r="O972" t="n">
        <v>0</v>
      </c>
      <c r="P972" t="n">
        <v>0</v>
      </c>
      <c r="Q972" t="n">
        <v>0</v>
      </c>
      <c r="R972" s="2" t="inlineStr"/>
    </row>
    <row r="973" ht="15" customHeight="1">
      <c r="A973" t="inlineStr">
        <is>
          <t>A 36609-2021</t>
        </is>
      </c>
      <c r="B973" s="1" t="n">
        <v>44391</v>
      </c>
      <c r="C973" s="1" t="n">
        <v>45807</v>
      </c>
      <c r="D973" t="inlineStr">
        <is>
          <t>VÄSTERBOTTENS LÄN</t>
        </is>
      </c>
      <c r="E973" t="inlineStr">
        <is>
          <t>SKELLEFTEÅ</t>
        </is>
      </c>
      <c r="G973" t="n">
        <v>10.6</v>
      </c>
      <c r="H973" t="n">
        <v>0</v>
      </c>
      <c r="I973" t="n">
        <v>0</v>
      </c>
      <c r="J973" t="n">
        <v>0</v>
      </c>
      <c r="K973" t="n">
        <v>0</v>
      </c>
      <c r="L973" t="n">
        <v>0</v>
      </c>
      <c r="M973" t="n">
        <v>0</v>
      </c>
      <c r="N973" t="n">
        <v>0</v>
      </c>
      <c r="O973" t="n">
        <v>0</v>
      </c>
      <c r="P973" t="n">
        <v>0</v>
      </c>
      <c r="Q973" t="n">
        <v>0</v>
      </c>
      <c r="R973" s="2" t="inlineStr"/>
    </row>
    <row r="974" ht="15" customHeight="1">
      <c r="A974" t="inlineStr">
        <is>
          <t>A 37210-2021</t>
        </is>
      </c>
      <c r="B974" s="1" t="n">
        <v>44396</v>
      </c>
      <c r="C974" s="1" t="n">
        <v>45807</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37211-2021</t>
        </is>
      </c>
      <c r="B975" s="1" t="n">
        <v>44396</v>
      </c>
      <c r="C975" s="1" t="n">
        <v>45807</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37208-2021</t>
        </is>
      </c>
      <c r="B976" s="1" t="n">
        <v>44396</v>
      </c>
      <c r="C976" s="1" t="n">
        <v>45807</v>
      </c>
      <c r="D976" t="inlineStr">
        <is>
          <t>VÄSTERBOTTENS LÄN</t>
        </is>
      </c>
      <c r="E976" t="inlineStr">
        <is>
          <t>SKELLEFTEÅ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37498-2021</t>
        </is>
      </c>
      <c r="B977" s="1" t="n">
        <v>44399</v>
      </c>
      <c r="C977" s="1" t="n">
        <v>45807</v>
      </c>
      <c r="D977" t="inlineStr">
        <is>
          <t>VÄSTERBOTTENS LÄN</t>
        </is>
      </c>
      <c r="E977" t="inlineStr">
        <is>
          <t>SKELLEFTEÅ</t>
        </is>
      </c>
      <c r="G977" t="n">
        <v>12.8</v>
      </c>
      <c r="H977" t="n">
        <v>0</v>
      </c>
      <c r="I977" t="n">
        <v>0</v>
      </c>
      <c r="J977" t="n">
        <v>0</v>
      </c>
      <c r="K977" t="n">
        <v>0</v>
      </c>
      <c r="L977" t="n">
        <v>0</v>
      </c>
      <c r="M977" t="n">
        <v>0</v>
      </c>
      <c r="N977" t="n">
        <v>0</v>
      </c>
      <c r="O977" t="n">
        <v>0</v>
      </c>
      <c r="P977" t="n">
        <v>0</v>
      </c>
      <c r="Q977" t="n">
        <v>0</v>
      </c>
      <c r="R977" s="2" t="inlineStr"/>
    </row>
    <row r="978" ht="15" customHeight="1">
      <c r="A978" t="inlineStr">
        <is>
          <t>A 37792-2021</t>
        </is>
      </c>
      <c r="B978" s="1" t="n">
        <v>44401</v>
      </c>
      <c r="C978" s="1" t="n">
        <v>45807</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37937-2021</t>
        </is>
      </c>
      <c r="B979" s="1" t="n">
        <v>44403</v>
      </c>
      <c r="C979" s="1" t="n">
        <v>45807</v>
      </c>
      <c r="D979" t="inlineStr">
        <is>
          <t>VÄSTERBOTTENS LÄN</t>
        </is>
      </c>
      <c r="E979" t="inlineStr">
        <is>
          <t>SKELLEFTEÅ</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37938-2021</t>
        </is>
      </c>
      <c r="B980" s="1" t="n">
        <v>44403</v>
      </c>
      <c r="C980" s="1" t="n">
        <v>45807</v>
      </c>
      <c r="D980" t="inlineStr">
        <is>
          <t>VÄSTERBOTTENS LÄN</t>
        </is>
      </c>
      <c r="E980" t="inlineStr">
        <is>
          <t>SKELLEFTEÅ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38026-2021</t>
        </is>
      </c>
      <c r="B981" s="1" t="n">
        <v>44404</v>
      </c>
      <c r="C981" s="1" t="n">
        <v>45807</v>
      </c>
      <c r="D981" t="inlineStr">
        <is>
          <t>VÄSTERBOTTENS LÄN</t>
        </is>
      </c>
      <c r="E981" t="inlineStr">
        <is>
          <t>SKELLEFTEÅ</t>
        </is>
      </c>
      <c r="F981" t="inlineStr">
        <is>
          <t>Holmen skog AB</t>
        </is>
      </c>
      <c r="G981" t="n">
        <v>7.8</v>
      </c>
      <c r="H981" t="n">
        <v>0</v>
      </c>
      <c r="I981" t="n">
        <v>0</v>
      </c>
      <c r="J981" t="n">
        <v>0</v>
      </c>
      <c r="K981" t="n">
        <v>0</v>
      </c>
      <c r="L981" t="n">
        <v>0</v>
      </c>
      <c r="M981" t="n">
        <v>0</v>
      </c>
      <c r="N981" t="n">
        <v>0</v>
      </c>
      <c r="O981" t="n">
        <v>0</v>
      </c>
      <c r="P981" t="n">
        <v>0</v>
      </c>
      <c r="Q981" t="n">
        <v>0</v>
      </c>
      <c r="R981" s="2" t="inlineStr"/>
    </row>
    <row r="982" ht="15" customHeight="1">
      <c r="A982" t="inlineStr">
        <is>
          <t>A 38260-2021</t>
        </is>
      </c>
      <c r="B982" s="1" t="n">
        <v>44405</v>
      </c>
      <c r="C982" s="1" t="n">
        <v>45807</v>
      </c>
      <c r="D982" t="inlineStr">
        <is>
          <t>VÄSTERBOTTENS LÄN</t>
        </is>
      </c>
      <c r="E982" t="inlineStr">
        <is>
          <t>SKELLEFTEÅ</t>
        </is>
      </c>
      <c r="G982" t="n">
        <v>8.5</v>
      </c>
      <c r="H982" t="n">
        <v>0</v>
      </c>
      <c r="I982" t="n">
        <v>0</v>
      </c>
      <c r="J982" t="n">
        <v>0</v>
      </c>
      <c r="K982" t="n">
        <v>0</v>
      </c>
      <c r="L982" t="n">
        <v>0</v>
      </c>
      <c r="M982" t="n">
        <v>0</v>
      </c>
      <c r="N982" t="n">
        <v>0</v>
      </c>
      <c r="O982" t="n">
        <v>0</v>
      </c>
      <c r="P982" t="n">
        <v>0</v>
      </c>
      <c r="Q982" t="n">
        <v>0</v>
      </c>
      <c r="R982" s="2" t="inlineStr"/>
    </row>
    <row r="983" ht="15" customHeight="1">
      <c r="A983" t="inlineStr">
        <is>
          <t>A 38504-2021</t>
        </is>
      </c>
      <c r="B983" s="1" t="n">
        <v>44407</v>
      </c>
      <c r="C983" s="1" t="n">
        <v>45807</v>
      </c>
      <c r="D983" t="inlineStr">
        <is>
          <t>VÄSTERBOTTENS LÄN</t>
        </is>
      </c>
      <c r="E983" t="inlineStr">
        <is>
          <t>SKELLEFTEÅ</t>
        </is>
      </c>
      <c r="G983" t="n">
        <v>4.2</v>
      </c>
      <c r="H983" t="n">
        <v>0</v>
      </c>
      <c r="I983" t="n">
        <v>0</v>
      </c>
      <c r="J983" t="n">
        <v>0</v>
      </c>
      <c r="K983" t="n">
        <v>0</v>
      </c>
      <c r="L983" t="n">
        <v>0</v>
      </c>
      <c r="M983" t="n">
        <v>0</v>
      </c>
      <c r="N983" t="n">
        <v>0</v>
      </c>
      <c r="O983" t="n">
        <v>0</v>
      </c>
      <c r="P983" t="n">
        <v>0</v>
      </c>
      <c r="Q983" t="n">
        <v>0</v>
      </c>
      <c r="R983" s="2" t="inlineStr"/>
    </row>
    <row r="984" ht="15" customHeight="1">
      <c r="A984" t="inlineStr">
        <is>
          <t>A 38506-2021</t>
        </is>
      </c>
      <c r="B984" s="1" t="n">
        <v>44407</v>
      </c>
      <c r="C984" s="1" t="n">
        <v>45807</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38505-2021</t>
        </is>
      </c>
      <c r="B985" s="1" t="n">
        <v>44407</v>
      </c>
      <c r="C985" s="1" t="n">
        <v>45807</v>
      </c>
      <c r="D985" t="inlineStr">
        <is>
          <t>VÄSTERBOTTENS LÄN</t>
        </is>
      </c>
      <c r="E985" t="inlineStr">
        <is>
          <t>SKELLEFTEÅ</t>
        </is>
      </c>
      <c r="G985" t="n">
        <v>2.7</v>
      </c>
      <c r="H985" t="n">
        <v>0</v>
      </c>
      <c r="I985" t="n">
        <v>0</v>
      </c>
      <c r="J985" t="n">
        <v>0</v>
      </c>
      <c r="K985" t="n">
        <v>0</v>
      </c>
      <c r="L985" t="n">
        <v>0</v>
      </c>
      <c r="M985" t="n">
        <v>0</v>
      </c>
      <c r="N985" t="n">
        <v>0</v>
      </c>
      <c r="O985" t="n">
        <v>0</v>
      </c>
      <c r="P985" t="n">
        <v>0</v>
      </c>
      <c r="Q985" t="n">
        <v>0</v>
      </c>
      <c r="R985" s="2" t="inlineStr"/>
    </row>
    <row r="986" ht="15" customHeight="1">
      <c r="A986" t="inlineStr">
        <is>
          <t>A 39035-2021</t>
        </is>
      </c>
      <c r="B986" s="1" t="n">
        <v>44411</v>
      </c>
      <c r="C986" s="1" t="n">
        <v>45807</v>
      </c>
      <c r="D986" t="inlineStr">
        <is>
          <t>VÄSTERBOTTENS LÄN</t>
        </is>
      </c>
      <c r="E986" t="inlineStr">
        <is>
          <t>SKELLEFTEÅ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39623-2021</t>
        </is>
      </c>
      <c r="B987" s="1" t="n">
        <v>44413</v>
      </c>
      <c r="C987" s="1" t="n">
        <v>45807</v>
      </c>
      <c r="D987" t="inlineStr">
        <is>
          <t>VÄSTERBOTTENS LÄN</t>
        </is>
      </c>
      <c r="E987" t="inlineStr">
        <is>
          <t>SKELLEFTEÅ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39185-2021</t>
        </is>
      </c>
      <c r="B988" s="1" t="n">
        <v>44413</v>
      </c>
      <c r="C988" s="1" t="n">
        <v>45807</v>
      </c>
      <c r="D988" t="inlineStr">
        <is>
          <t>VÄSTERBOTTENS LÄN</t>
        </is>
      </c>
      <c r="E988" t="inlineStr">
        <is>
          <t>SKELLEFTEÅ</t>
        </is>
      </c>
      <c r="G988" t="n">
        <v>2.6</v>
      </c>
      <c r="H988" t="n">
        <v>0</v>
      </c>
      <c r="I988" t="n">
        <v>0</v>
      </c>
      <c r="J988" t="n">
        <v>0</v>
      </c>
      <c r="K988" t="n">
        <v>0</v>
      </c>
      <c r="L988" t="n">
        <v>0</v>
      </c>
      <c r="M988" t="n">
        <v>0</v>
      </c>
      <c r="N988" t="n">
        <v>0</v>
      </c>
      <c r="O988" t="n">
        <v>0</v>
      </c>
      <c r="P988" t="n">
        <v>0</v>
      </c>
      <c r="Q988" t="n">
        <v>0</v>
      </c>
      <c r="R988" s="2" t="inlineStr"/>
    </row>
    <row r="989" ht="15" customHeight="1">
      <c r="A989" t="inlineStr">
        <is>
          <t>A 39277-2021</t>
        </is>
      </c>
      <c r="B989" s="1" t="n">
        <v>44413</v>
      </c>
      <c r="C989" s="1" t="n">
        <v>45807</v>
      </c>
      <c r="D989" t="inlineStr">
        <is>
          <t>VÄSTERBOTTENS LÄN</t>
        </is>
      </c>
      <c r="E989" t="inlineStr">
        <is>
          <t>SKELLEFTEÅ</t>
        </is>
      </c>
      <c r="F989" t="inlineStr">
        <is>
          <t>Holmen skog AB</t>
        </is>
      </c>
      <c r="G989" t="n">
        <v>6.3</v>
      </c>
      <c r="H989" t="n">
        <v>0</v>
      </c>
      <c r="I989" t="n">
        <v>0</v>
      </c>
      <c r="J989" t="n">
        <v>0</v>
      </c>
      <c r="K989" t="n">
        <v>0</v>
      </c>
      <c r="L989" t="n">
        <v>0</v>
      </c>
      <c r="M989" t="n">
        <v>0</v>
      </c>
      <c r="N989" t="n">
        <v>0</v>
      </c>
      <c r="O989" t="n">
        <v>0</v>
      </c>
      <c r="P989" t="n">
        <v>0</v>
      </c>
      <c r="Q989" t="n">
        <v>0</v>
      </c>
      <c r="R989" s="2" t="inlineStr"/>
    </row>
    <row r="990" ht="15" customHeight="1">
      <c r="A990" t="inlineStr">
        <is>
          <t>A 39192-2021</t>
        </is>
      </c>
      <c r="B990" s="1" t="n">
        <v>44413</v>
      </c>
      <c r="C990" s="1" t="n">
        <v>45807</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39226-2021</t>
        </is>
      </c>
      <c r="B991" s="1" t="n">
        <v>44413</v>
      </c>
      <c r="C991" s="1" t="n">
        <v>45807</v>
      </c>
      <c r="D991" t="inlineStr">
        <is>
          <t>VÄSTERBOTTENS LÄN</t>
        </is>
      </c>
      <c r="E991" t="inlineStr">
        <is>
          <t>SKELLEFTEÅ</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39589-2021</t>
        </is>
      </c>
      <c r="B992" s="1" t="n">
        <v>44413</v>
      </c>
      <c r="C992" s="1" t="n">
        <v>45807</v>
      </c>
      <c r="D992" t="inlineStr">
        <is>
          <t>VÄSTERBOTTENS LÄN</t>
        </is>
      </c>
      <c r="E992" t="inlineStr">
        <is>
          <t>SKELLEFTEÅ</t>
        </is>
      </c>
      <c r="G992" t="n">
        <v>0.9</v>
      </c>
      <c r="H992" t="n">
        <v>0</v>
      </c>
      <c r="I992" t="n">
        <v>0</v>
      </c>
      <c r="J992" t="n">
        <v>0</v>
      </c>
      <c r="K992" t="n">
        <v>0</v>
      </c>
      <c r="L992" t="n">
        <v>0</v>
      </c>
      <c r="M992" t="n">
        <v>0</v>
      </c>
      <c r="N992" t="n">
        <v>0</v>
      </c>
      <c r="O992" t="n">
        <v>0</v>
      </c>
      <c r="P992" t="n">
        <v>0</v>
      </c>
      <c r="Q992" t="n">
        <v>0</v>
      </c>
      <c r="R992" s="2" t="inlineStr"/>
    </row>
    <row r="993" ht="15" customHeight="1">
      <c r="A993" t="inlineStr">
        <is>
          <t>A 39590-2021</t>
        </is>
      </c>
      <c r="B993" s="1" t="n">
        <v>44413</v>
      </c>
      <c r="C993" s="1" t="n">
        <v>45807</v>
      </c>
      <c r="D993" t="inlineStr">
        <is>
          <t>VÄSTERBOTTENS LÄN</t>
        </is>
      </c>
      <c r="E993" t="inlineStr">
        <is>
          <t>SKELLEFTEÅ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39553-2021</t>
        </is>
      </c>
      <c r="B994" s="1" t="n">
        <v>44416</v>
      </c>
      <c r="C994" s="1" t="n">
        <v>45807</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39827-2021</t>
        </is>
      </c>
      <c r="B995" s="1" t="n">
        <v>44417</v>
      </c>
      <c r="C995" s="1" t="n">
        <v>45807</v>
      </c>
      <c r="D995" t="inlineStr">
        <is>
          <t>VÄSTERBOTTENS LÄN</t>
        </is>
      </c>
      <c r="E995" t="inlineStr">
        <is>
          <t>SKELLEFTEÅ</t>
        </is>
      </c>
      <c r="G995" t="n">
        <v>3.8</v>
      </c>
      <c r="H995" t="n">
        <v>0</v>
      </c>
      <c r="I995" t="n">
        <v>0</v>
      </c>
      <c r="J995" t="n">
        <v>0</v>
      </c>
      <c r="K995" t="n">
        <v>0</v>
      </c>
      <c r="L995" t="n">
        <v>0</v>
      </c>
      <c r="M995" t="n">
        <v>0</v>
      </c>
      <c r="N995" t="n">
        <v>0</v>
      </c>
      <c r="O995" t="n">
        <v>0</v>
      </c>
      <c r="P995" t="n">
        <v>0</v>
      </c>
      <c r="Q995" t="n">
        <v>0</v>
      </c>
      <c r="R995" s="2" t="inlineStr"/>
    </row>
    <row r="996" ht="15" customHeight="1">
      <c r="A996" t="inlineStr">
        <is>
          <t>A 40683-2021</t>
        </is>
      </c>
      <c r="B996" s="1" t="n">
        <v>44420</v>
      </c>
      <c r="C996" s="1" t="n">
        <v>45807</v>
      </c>
      <c r="D996" t="inlineStr">
        <is>
          <t>VÄSTERBOTTENS LÄN</t>
        </is>
      </c>
      <c r="E996" t="inlineStr">
        <is>
          <t>SKELLEFTEÅ</t>
        </is>
      </c>
      <c r="G996" t="n">
        <v>37</v>
      </c>
      <c r="H996" t="n">
        <v>0</v>
      </c>
      <c r="I996" t="n">
        <v>0</v>
      </c>
      <c r="J996" t="n">
        <v>0</v>
      </c>
      <c r="K996" t="n">
        <v>0</v>
      </c>
      <c r="L996" t="n">
        <v>0</v>
      </c>
      <c r="M996" t="n">
        <v>0</v>
      </c>
      <c r="N996" t="n">
        <v>0</v>
      </c>
      <c r="O996" t="n">
        <v>0</v>
      </c>
      <c r="P996" t="n">
        <v>0</v>
      </c>
      <c r="Q996" t="n">
        <v>0</v>
      </c>
      <c r="R996" s="2" t="inlineStr"/>
    </row>
    <row r="997" ht="15" customHeight="1">
      <c r="A997" t="inlineStr">
        <is>
          <t>A 40828-2021</t>
        </is>
      </c>
      <c r="B997" s="1" t="n">
        <v>44421</v>
      </c>
      <c r="C997" s="1" t="n">
        <v>45807</v>
      </c>
      <c r="D997" t="inlineStr">
        <is>
          <t>VÄSTERBOTTENS LÄN</t>
        </is>
      </c>
      <c r="E997" t="inlineStr">
        <is>
          <t>SKELLEFTEÅ</t>
        </is>
      </c>
      <c r="G997" t="n">
        <v>23</v>
      </c>
      <c r="H997" t="n">
        <v>0</v>
      </c>
      <c r="I997" t="n">
        <v>0</v>
      </c>
      <c r="J997" t="n">
        <v>0</v>
      </c>
      <c r="K997" t="n">
        <v>0</v>
      </c>
      <c r="L997" t="n">
        <v>0</v>
      </c>
      <c r="M997" t="n">
        <v>0</v>
      </c>
      <c r="N997" t="n">
        <v>0</v>
      </c>
      <c r="O997" t="n">
        <v>0</v>
      </c>
      <c r="P997" t="n">
        <v>0</v>
      </c>
      <c r="Q997" t="n">
        <v>0</v>
      </c>
      <c r="R997" s="2" t="inlineStr"/>
    </row>
    <row r="998" ht="15" customHeight="1">
      <c r="A998" t="inlineStr">
        <is>
          <t>A 40906-2021</t>
        </is>
      </c>
      <c r="B998" s="1" t="n">
        <v>44421</v>
      </c>
      <c r="C998" s="1" t="n">
        <v>45807</v>
      </c>
      <c r="D998" t="inlineStr">
        <is>
          <t>VÄSTERBOTTENS LÄN</t>
        </is>
      </c>
      <c r="E998" t="inlineStr">
        <is>
          <t>SKELLEFTEÅ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40929-2021</t>
        </is>
      </c>
      <c r="B999" s="1" t="n">
        <v>44421</v>
      </c>
      <c r="C999" s="1" t="n">
        <v>45807</v>
      </c>
      <c r="D999" t="inlineStr">
        <is>
          <t>VÄSTERBOTTENS LÄN</t>
        </is>
      </c>
      <c r="E999" t="inlineStr">
        <is>
          <t>SKELLEFTEÅ</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40898-2021</t>
        </is>
      </c>
      <c r="B1000" s="1" t="n">
        <v>44421</v>
      </c>
      <c r="C1000" s="1" t="n">
        <v>45807</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41464-2021</t>
        </is>
      </c>
      <c r="B1001" s="1" t="n">
        <v>44424</v>
      </c>
      <c r="C1001" s="1" t="n">
        <v>45807</v>
      </c>
      <c r="D1001" t="inlineStr">
        <is>
          <t>VÄSTERBOTTENS LÄN</t>
        </is>
      </c>
      <c r="E1001" t="inlineStr">
        <is>
          <t>SKELLEFTEÅ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41507-2021</t>
        </is>
      </c>
      <c r="B1002" s="1" t="n">
        <v>44425</v>
      </c>
      <c r="C1002" s="1" t="n">
        <v>45807</v>
      </c>
      <c r="D1002" t="inlineStr">
        <is>
          <t>VÄSTERBOTTENS LÄN</t>
        </is>
      </c>
      <c r="E1002" t="inlineStr">
        <is>
          <t>SKELLEFTEÅ</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42057-2021</t>
        </is>
      </c>
      <c r="B1003" s="1" t="n">
        <v>44426</v>
      </c>
      <c r="C1003" s="1" t="n">
        <v>45807</v>
      </c>
      <c r="D1003" t="inlineStr">
        <is>
          <t>VÄSTERBOTTENS LÄN</t>
        </is>
      </c>
      <c r="E1003" t="inlineStr">
        <is>
          <t>SKELLEFTEÅ</t>
        </is>
      </c>
      <c r="F1003" t="inlineStr">
        <is>
          <t>Sveaskog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41993-2021</t>
        </is>
      </c>
      <c r="B1004" s="1" t="n">
        <v>44426</v>
      </c>
      <c r="C1004" s="1" t="n">
        <v>45807</v>
      </c>
      <c r="D1004" t="inlineStr">
        <is>
          <t>VÄSTERBOTTENS LÄN</t>
        </is>
      </c>
      <c r="E1004" t="inlineStr">
        <is>
          <t>SKELLEFTEÅ</t>
        </is>
      </c>
      <c r="F1004" t="inlineStr">
        <is>
          <t>Sveaskog</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42026-2021</t>
        </is>
      </c>
      <c r="B1005" s="1" t="n">
        <v>44426</v>
      </c>
      <c r="C1005" s="1" t="n">
        <v>45807</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42323-2021</t>
        </is>
      </c>
      <c r="B1006" s="1" t="n">
        <v>44426</v>
      </c>
      <c r="C1006" s="1" t="n">
        <v>45807</v>
      </c>
      <c r="D1006" t="inlineStr">
        <is>
          <t>VÄSTERBOTTENS LÄN</t>
        </is>
      </c>
      <c r="E1006" t="inlineStr">
        <is>
          <t>SKELLEFTEÅ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42367-2021</t>
        </is>
      </c>
      <c r="B1007" s="1" t="n">
        <v>44427</v>
      </c>
      <c r="C1007" s="1" t="n">
        <v>45807</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42557-2021</t>
        </is>
      </c>
      <c r="B1008" s="1" t="n">
        <v>44428</v>
      </c>
      <c r="C1008" s="1" t="n">
        <v>45807</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42609-2021</t>
        </is>
      </c>
      <c r="B1009" s="1" t="n">
        <v>44428</v>
      </c>
      <c r="C1009" s="1" t="n">
        <v>45807</v>
      </c>
      <c r="D1009" t="inlineStr">
        <is>
          <t>VÄSTERBOTTENS LÄN</t>
        </is>
      </c>
      <c r="E1009" t="inlineStr">
        <is>
          <t>SKELLEFTEÅ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43228-2021</t>
        </is>
      </c>
      <c r="B1010" s="1" t="n">
        <v>44432</v>
      </c>
      <c r="C1010" s="1" t="n">
        <v>45807</v>
      </c>
      <c r="D1010" t="inlineStr">
        <is>
          <t>VÄSTERBOTTENS LÄN</t>
        </is>
      </c>
      <c r="E1010" t="inlineStr">
        <is>
          <t>SKELLEFTEÅ</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43252-2021</t>
        </is>
      </c>
      <c r="B1011" s="1" t="n">
        <v>44432</v>
      </c>
      <c r="C1011" s="1" t="n">
        <v>45807</v>
      </c>
      <c r="D1011" t="inlineStr">
        <is>
          <t>VÄSTERBOTTENS LÄN</t>
        </is>
      </c>
      <c r="E1011" t="inlineStr">
        <is>
          <t>SKELLEFTEÅ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43863-2021</t>
        </is>
      </c>
      <c r="B1012" s="1" t="n">
        <v>44433</v>
      </c>
      <c r="C1012" s="1" t="n">
        <v>45807</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44090-2021</t>
        </is>
      </c>
      <c r="B1013" s="1" t="n">
        <v>44434</v>
      </c>
      <c r="C1013" s="1" t="n">
        <v>45807</v>
      </c>
      <c r="D1013" t="inlineStr">
        <is>
          <t>VÄSTERBOTTENS LÄN</t>
        </is>
      </c>
      <c r="E1013" t="inlineStr">
        <is>
          <t>SKELLEFTEÅ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44570-2021</t>
        </is>
      </c>
      <c r="B1014" s="1" t="n">
        <v>44435</v>
      </c>
      <c r="C1014" s="1" t="n">
        <v>45807</v>
      </c>
      <c r="D1014" t="inlineStr">
        <is>
          <t>VÄSTERBOTTENS LÄN</t>
        </is>
      </c>
      <c r="E1014" t="inlineStr">
        <is>
          <t>SKELLEFTEÅ</t>
        </is>
      </c>
      <c r="F1014" t="inlineStr">
        <is>
          <t>Sveaskog</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45043-2021</t>
        </is>
      </c>
      <c r="B1015" s="1" t="n">
        <v>44438</v>
      </c>
      <c r="C1015" s="1" t="n">
        <v>45807</v>
      </c>
      <c r="D1015" t="inlineStr">
        <is>
          <t>VÄSTERBOTTENS LÄN</t>
        </is>
      </c>
      <c r="E1015" t="inlineStr">
        <is>
          <t>SKELLEFTEÅ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45036-2021</t>
        </is>
      </c>
      <c r="B1016" s="1" t="n">
        <v>44438</v>
      </c>
      <c r="C1016" s="1" t="n">
        <v>45807</v>
      </c>
      <c r="D1016" t="inlineStr">
        <is>
          <t>VÄSTERBOTTENS LÄN</t>
        </is>
      </c>
      <c r="E1016" t="inlineStr">
        <is>
          <t>SKELLEFTEÅ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45384-2021</t>
        </is>
      </c>
      <c r="B1017" s="1" t="n">
        <v>44440</v>
      </c>
      <c r="C1017" s="1" t="n">
        <v>45807</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45406-2021</t>
        </is>
      </c>
      <c r="B1018" s="1" t="n">
        <v>44440</v>
      </c>
      <c r="C1018" s="1" t="n">
        <v>45807</v>
      </c>
      <c r="D1018" t="inlineStr">
        <is>
          <t>VÄSTERBOTTENS LÄN</t>
        </is>
      </c>
      <c r="E1018" t="inlineStr">
        <is>
          <t>SKELLEFTEÅ</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45389-2021</t>
        </is>
      </c>
      <c r="B1019" s="1" t="n">
        <v>44440</v>
      </c>
      <c r="C1019" s="1" t="n">
        <v>45807</v>
      </c>
      <c r="D1019" t="inlineStr">
        <is>
          <t>VÄSTERBOTTENS LÄN</t>
        </is>
      </c>
      <c r="E1019" t="inlineStr">
        <is>
          <t>SKELLEFTEÅ</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46005-2021</t>
        </is>
      </c>
      <c r="B1020" s="1" t="n">
        <v>44441</v>
      </c>
      <c r="C1020" s="1" t="n">
        <v>45807</v>
      </c>
      <c r="D1020" t="inlineStr">
        <is>
          <t>VÄSTERBOTTENS LÄN</t>
        </is>
      </c>
      <c r="E1020" t="inlineStr">
        <is>
          <t>SKELLEFTEÅ</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46006-2021</t>
        </is>
      </c>
      <c r="B1021" s="1" t="n">
        <v>44441</v>
      </c>
      <c r="C1021" s="1" t="n">
        <v>45807</v>
      </c>
      <c r="D1021" t="inlineStr">
        <is>
          <t>VÄSTERBOTTENS LÄN</t>
        </is>
      </c>
      <c r="E1021" t="inlineStr">
        <is>
          <t>SKELLEFTEÅ</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46178-2021</t>
        </is>
      </c>
      <c r="B1022" s="1" t="n">
        <v>44441</v>
      </c>
      <c r="C1022" s="1" t="n">
        <v>45807</v>
      </c>
      <c r="D1022" t="inlineStr">
        <is>
          <t>VÄSTERBOTTENS LÄN</t>
        </is>
      </c>
      <c r="E1022" t="inlineStr">
        <is>
          <t>SKELLEFTEÅ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46619-2021</t>
        </is>
      </c>
      <c r="B1023" s="1" t="n">
        <v>44442</v>
      </c>
      <c r="C1023" s="1" t="n">
        <v>45807</v>
      </c>
      <c r="D1023" t="inlineStr">
        <is>
          <t>VÄSTERBOTTENS LÄN</t>
        </is>
      </c>
      <c r="E1023" t="inlineStr">
        <is>
          <t>SKELLEFTEÅ</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46628-2021</t>
        </is>
      </c>
      <c r="B1024" s="1" t="n">
        <v>44445</v>
      </c>
      <c r="C1024" s="1" t="n">
        <v>45807</v>
      </c>
      <c r="D1024" t="inlineStr">
        <is>
          <t>VÄSTERBOTTENS LÄN</t>
        </is>
      </c>
      <c r="E1024" t="inlineStr">
        <is>
          <t>SKELLEFTEÅ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47039-2021</t>
        </is>
      </c>
      <c r="B1025" s="1" t="n">
        <v>44446</v>
      </c>
      <c r="C1025" s="1" t="n">
        <v>45807</v>
      </c>
      <c r="D1025" t="inlineStr">
        <is>
          <t>VÄSTERBOTTENS LÄN</t>
        </is>
      </c>
      <c r="E1025" t="inlineStr">
        <is>
          <t>SKELLEFTEÅ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47610-2021</t>
        </is>
      </c>
      <c r="B1026" s="1" t="n">
        <v>44448</v>
      </c>
      <c r="C1026" s="1" t="n">
        <v>45807</v>
      </c>
      <c r="D1026" t="inlineStr">
        <is>
          <t>VÄSTERBOTTENS LÄN</t>
        </is>
      </c>
      <c r="E1026" t="inlineStr">
        <is>
          <t>SKELLEFTEÅ</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47974-2021</t>
        </is>
      </c>
      <c r="B1027" s="1" t="n">
        <v>44448</v>
      </c>
      <c r="C1027" s="1" t="n">
        <v>45807</v>
      </c>
      <c r="D1027" t="inlineStr">
        <is>
          <t>VÄSTERBOTTENS LÄN</t>
        </is>
      </c>
      <c r="E1027" t="inlineStr">
        <is>
          <t>SKELLEFTEÅ</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48015-2021</t>
        </is>
      </c>
      <c r="B1028" s="1" t="n">
        <v>44449</v>
      </c>
      <c r="C1028" s="1" t="n">
        <v>45807</v>
      </c>
      <c r="D1028" t="inlineStr">
        <is>
          <t>VÄSTERBOTTENS LÄN</t>
        </is>
      </c>
      <c r="E1028" t="inlineStr">
        <is>
          <t>SKELLEFTEÅ</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48538-2021</t>
        </is>
      </c>
      <c r="B1029" s="1" t="n">
        <v>44451</v>
      </c>
      <c r="C1029" s="1" t="n">
        <v>45807</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50603-2021</t>
        </is>
      </c>
      <c r="B1030" s="1" t="n">
        <v>44459</v>
      </c>
      <c r="C1030" s="1" t="n">
        <v>45807</v>
      </c>
      <c r="D1030" t="inlineStr">
        <is>
          <t>VÄSTERBOTTENS LÄN</t>
        </is>
      </c>
      <c r="E1030" t="inlineStr">
        <is>
          <t>SKELLEFTEÅ</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50772-2021</t>
        </is>
      </c>
      <c r="B1031" s="1" t="n">
        <v>44460</v>
      </c>
      <c r="C1031" s="1" t="n">
        <v>45807</v>
      </c>
      <c r="D1031" t="inlineStr">
        <is>
          <t>VÄSTERBOTTENS LÄN</t>
        </is>
      </c>
      <c r="E1031" t="inlineStr">
        <is>
          <t>SKELLEFTEÅ</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51789-2021</t>
        </is>
      </c>
      <c r="B1032" s="1" t="n">
        <v>44461</v>
      </c>
      <c r="C1032" s="1" t="n">
        <v>45807</v>
      </c>
      <c r="D1032" t="inlineStr">
        <is>
          <t>VÄSTERBOTTENS LÄN</t>
        </is>
      </c>
      <c r="E1032" t="inlineStr">
        <is>
          <t>SKELLEFTEÅ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51734-2021</t>
        </is>
      </c>
      <c r="B1033" s="1" t="n">
        <v>44461</v>
      </c>
      <c r="C1033" s="1" t="n">
        <v>45807</v>
      </c>
      <c r="D1033" t="inlineStr">
        <is>
          <t>VÄSTERBOTTENS LÄN</t>
        </is>
      </c>
      <c r="E1033" t="inlineStr">
        <is>
          <t>SKELLEFTEÅ</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51476-2021</t>
        </is>
      </c>
      <c r="B1034" s="1" t="n">
        <v>44462</v>
      </c>
      <c r="C1034" s="1" t="n">
        <v>45807</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51587-2021</t>
        </is>
      </c>
      <c r="B1035" s="1" t="n">
        <v>44462</v>
      </c>
      <c r="C1035" s="1" t="n">
        <v>45807</v>
      </c>
      <c r="D1035" t="inlineStr">
        <is>
          <t>VÄSTERBOTTENS LÄN</t>
        </is>
      </c>
      <c r="E1035" t="inlineStr">
        <is>
          <t>SKELLEFTEÅ</t>
        </is>
      </c>
      <c r="F1035" t="inlineStr">
        <is>
          <t>Holmen skog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51544-2021</t>
        </is>
      </c>
      <c r="B1036" s="1" t="n">
        <v>44462</v>
      </c>
      <c r="C1036" s="1" t="n">
        <v>45807</v>
      </c>
      <c r="D1036" t="inlineStr">
        <is>
          <t>VÄSTERBOTTENS LÄN</t>
        </is>
      </c>
      <c r="E1036" t="inlineStr">
        <is>
          <t>SKELLEFTEÅ</t>
        </is>
      </c>
      <c r="F1036" t="inlineStr">
        <is>
          <t>Holmen skog AB</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52069-2021</t>
        </is>
      </c>
      <c r="B1037" s="1" t="n">
        <v>44462</v>
      </c>
      <c r="C1037" s="1" t="n">
        <v>45807</v>
      </c>
      <c r="D1037" t="inlineStr">
        <is>
          <t>VÄSTERBOTTENS LÄN</t>
        </is>
      </c>
      <c r="E1037" t="inlineStr">
        <is>
          <t>SKELLEFTEÅ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52080-2021</t>
        </is>
      </c>
      <c r="B1038" s="1" t="n">
        <v>44463</v>
      </c>
      <c r="C1038" s="1" t="n">
        <v>45807</v>
      </c>
      <c r="D1038" t="inlineStr">
        <is>
          <t>VÄSTERBOTTENS LÄN</t>
        </is>
      </c>
      <c r="E1038" t="inlineStr">
        <is>
          <t>SKELLEFTEÅ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52086-2021</t>
        </is>
      </c>
      <c r="B1039" s="1" t="n">
        <v>44463</v>
      </c>
      <c r="C1039" s="1" t="n">
        <v>45807</v>
      </c>
      <c r="D1039" t="inlineStr">
        <is>
          <t>VÄSTERBOTTENS LÄN</t>
        </is>
      </c>
      <c r="E1039" t="inlineStr">
        <is>
          <t>SKELLEFTEÅ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52453-2021</t>
        </is>
      </c>
      <c r="B1040" s="1" t="n">
        <v>44463</v>
      </c>
      <c r="C1040" s="1" t="n">
        <v>45807</v>
      </c>
      <c r="D1040" t="inlineStr">
        <is>
          <t>VÄSTERBOTTENS LÄN</t>
        </is>
      </c>
      <c r="E1040" t="inlineStr">
        <is>
          <t>SKELLEFTEÅ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52462-2021</t>
        </is>
      </c>
      <c r="B1041" s="1" t="n">
        <v>44463</v>
      </c>
      <c r="C1041" s="1" t="n">
        <v>45807</v>
      </c>
      <c r="D1041" t="inlineStr">
        <is>
          <t>VÄSTERBOTTENS LÄN</t>
        </is>
      </c>
      <c r="E1041" t="inlineStr">
        <is>
          <t>SKELLEFTEÅ</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52746-2021</t>
        </is>
      </c>
      <c r="B1042" s="1" t="n">
        <v>44467</v>
      </c>
      <c r="C1042" s="1" t="n">
        <v>45807</v>
      </c>
      <c r="D1042" t="inlineStr">
        <is>
          <t>VÄSTERBOTTENS LÄN</t>
        </is>
      </c>
      <c r="E1042" t="inlineStr">
        <is>
          <t>SKELLEFTEÅ</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53152-2021</t>
        </is>
      </c>
      <c r="B1043" s="1" t="n">
        <v>44468</v>
      </c>
      <c r="C1043" s="1" t="n">
        <v>45807</v>
      </c>
      <c r="D1043" t="inlineStr">
        <is>
          <t>VÄSTERBOTTENS LÄN</t>
        </is>
      </c>
      <c r="E1043" t="inlineStr">
        <is>
          <t>SKELLEFTEÅ</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54193-2021</t>
        </is>
      </c>
      <c r="B1044" s="1" t="n">
        <v>44470</v>
      </c>
      <c r="C1044" s="1" t="n">
        <v>45807</v>
      </c>
      <c r="D1044" t="inlineStr">
        <is>
          <t>VÄSTERBOTTENS LÄN</t>
        </is>
      </c>
      <c r="E1044" t="inlineStr">
        <is>
          <t>SKELLEFTEÅ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54280-2021</t>
        </is>
      </c>
      <c r="B1045" s="1" t="n">
        <v>44470</v>
      </c>
      <c r="C1045" s="1" t="n">
        <v>45807</v>
      </c>
      <c r="D1045" t="inlineStr">
        <is>
          <t>VÄSTERBOTTENS LÄN</t>
        </is>
      </c>
      <c r="E1045" t="inlineStr">
        <is>
          <t>SKELLEFTEÅ</t>
        </is>
      </c>
      <c r="F1045" t="inlineStr">
        <is>
          <t>Sveaskog</t>
        </is>
      </c>
      <c r="G1045" t="n">
        <v>22.6</v>
      </c>
      <c r="H1045" t="n">
        <v>0</v>
      </c>
      <c r="I1045" t="n">
        <v>0</v>
      </c>
      <c r="J1045" t="n">
        <v>0</v>
      </c>
      <c r="K1045" t="n">
        <v>0</v>
      </c>
      <c r="L1045" t="n">
        <v>0</v>
      </c>
      <c r="M1045" t="n">
        <v>0</v>
      </c>
      <c r="N1045" t="n">
        <v>0</v>
      </c>
      <c r="O1045" t="n">
        <v>0</v>
      </c>
      <c r="P1045" t="n">
        <v>0</v>
      </c>
      <c r="Q1045" t="n">
        <v>0</v>
      </c>
      <c r="R1045" s="2" t="inlineStr"/>
    </row>
    <row r="1046" ht="15" customHeight="1">
      <c r="A1046" t="inlineStr">
        <is>
          <t>A 54288-2021</t>
        </is>
      </c>
      <c r="B1046" s="1" t="n">
        <v>44471</v>
      </c>
      <c r="C1046" s="1" t="n">
        <v>45807</v>
      </c>
      <c r="D1046" t="inlineStr">
        <is>
          <t>VÄSTERBOTTENS LÄN</t>
        </is>
      </c>
      <c r="E1046" t="inlineStr">
        <is>
          <t>SKELLEFTEÅ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54287-2021</t>
        </is>
      </c>
      <c r="B1047" s="1" t="n">
        <v>44471</v>
      </c>
      <c r="C1047" s="1" t="n">
        <v>45807</v>
      </c>
      <c r="D1047" t="inlineStr">
        <is>
          <t>VÄSTERBOTTENS LÄN</t>
        </is>
      </c>
      <c r="E1047" t="inlineStr">
        <is>
          <t>SKELLEFTEÅ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54384-2021</t>
        </is>
      </c>
      <c r="B1048" s="1" t="n">
        <v>44473</v>
      </c>
      <c r="C1048" s="1" t="n">
        <v>45807</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54863-2021</t>
        </is>
      </c>
      <c r="B1049" s="1" t="n">
        <v>44473</v>
      </c>
      <c r="C1049" s="1" t="n">
        <v>45807</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54850-2021</t>
        </is>
      </c>
      <c r="B1050" s="1" t="n">
        <v>44473</v>
      </c>
      <c r="C1050" s="1" t="n">
        <v>45807</v>
      </c>
      <c r="D1050" t="inlineStr">
        <is>
          <t>VÄSTERBOTTENS LÄN</t>
        </is>
      </c>
      <c r="E1050" t="inlineStr">
        <is>
          <t>SKELLEFTEÅ</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55067-2021</t>
        </is>
      </c>
      <c r="B1051" s="1" t="n">
        <v>44474</v>
      </c>
      <c r="C1051" s="1" t="n">
        <v>45807</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55032-2021</t>
        </is>
      </c>
      <c r="B1052" s="1" t="n">
        <v>44474</v>
      </c>
      <c r="C1052" s="1" t="n">
        <v>45807</v>
      </c>
      <c r="D1052" t="inlineStr">
        <is>
          <t>VÄSTERBOTTENS LÄN</t>
        </is>
      </c>
      <c r="E1052" t="inlineStr">
        <is>
          <t>SKELLEFTEÅ</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55168-2021</t>
        </is>
      </c>
      <c r="B1053" s="1" t="n">
        <v>44475</v>
      </c>
      <c r="C1053" s="1" t="n">
        <v>45807</v>
      </c>
      <c r="D1053" t="inlineStr">
        <is>
          <t>VÄSTERBOTTENS LÄN</t>
        </is>
      </c>
      <c r="E1053" t="inlineStr">
        <is>
          <t>SKELLEFTEÅ</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55206-2021</t>
        </is>
      </c>
      <c r="B1054" s="1" t="n">
        <v>44475</v>
      </c>
      <c r="C1054" s="1" t="n">
        <v>45807</v>
      </c>
      <c r="D1054" t="inlineStr">
        <is>
          <t>VÄSTERBOTTENS LÄN</t>
        </is>
      </c>
      <c r="E1054" t="inlineStr">
        <is>
          <t>SKELLEFTEÅ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55182-2021</t>
        </is>
      </c>
      <c r="B1055" s="1" t="n">
        <v>44475</v>
      </c>
      <c r="C1055" s="1" t="n">
        <v>45807</v>
      </c>
      <c r="D1055" t="inlineStr">
        <is>
          <t>VÄSTERBOTTENS LÄN</t>
        </is>
      </c>
      <c r="E1055" t="inlineStr">
        <is>
          <t>SKELLEFTEÅ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55471-2021</t>
        </is>
      </c>
      <c r="B1056" s="1" t="n">
        <v>44475</v>
      </c>
      <c r="C1056" s="1" t="n">
        <v>45807</v>
      </c>
      <c r="D1056" t="inlineStr">
        <is>
          <t>VÄSTERBOTTENS LÄN</t>
        </is>
      </c>
      <c r="E1056" t="inlineStr">
        <is>
          <t>SKELLEFTEÅ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55568-2021</t>
        </is>
      </c>
      <c r="B1057" s="1" t="n">
        <v>44475</v>
      </c>
      <c r="C1057" s="1" t="n">
        <v>45807</v>
      </c>
      <c r="D1057" t="inlineStr">
        <is>
          <t>VÄSTERBOTTENS LÄN</t>
        </is>
      </c>
      <c r="E1057" t="inlineStr">
        <is>
          <t>SKELLEFTEÅ</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55814-2021</t>
        </is>
      </c>
      <c r="B1058" s="1" t="n">
        <v>44476</v>
      </c>
      <c r="C1058" s="1" t="n">
        <v>45807</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56084-2021</t>
        </is>
      </c>
      <c r="B1059" s="1" t="n">
        <v>44477</v>
      </c>
      <c r="C1059" s="1" t="n">
        <v>45807</v>
      </c>
      <c r="D1059" t="inlineStr">
        <is>
          <t>VÄSTERBOTTENS LÄN</t>
        </is>
      </c>
      <c r="E1059" t="inlineStr">
        <is>
          <t>SKELLEFTEÅ</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56134-2021</t>
        </is>
      </c>
      <c r="B1060" s="1" t="n">
        <v>44477</v>
      </c>
      <c r="C1060" s="1" t="n">
        <v>45807</v>
      </c>
      <c r="D1060" t="inlineStr">
        <is>
          <t>VÄSTERBOTTENS LÄN</t>
        </is>
      </c>
      <c r="E1060" t="inlineStr">
        <is>
          <t>SKELLEFTEÅ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56001-2021</t>
        </is>
      </c>
      <c r="B1061" s="1" t="n">
        <v>44477</v>
      </c>
      <c r="C1061" s="1" t="n">
        <v>45807</v>
      </c>
      <c r="D1061" t="inlineStr">
        <is>
          <t>VÄSTERBOTTENS LÄN</t>
        </is>
      </c>
      <c r="E1061" t="inlineStr">
        <is>
          <t>SKELLEFTEÅ</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56536-2021</t>
        </is>
      </c>
      <c r="B1062" s="1" t="n">
        <v>44480</v>
      </c>
      <c r="C1062" s="1" t="n">
        <v>45807</v>
      </c>
      <c r="D1062" t="inlineStr">
        <is>
          <t>VÄSTERBOTTENS LÄN</t>
        </is>
      </c>
      <c r="E1062" t="inlineStr">
        <is>
          <t>SKELLEFTEÅ</t>
        </is>
      </c>
      <c r="F1062" t="inlineStr">
        <is>
          <t>Holmen skog AB</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56540-2021</t>
        </is>
      </c>
      <c r="B1063" s="1" t="n">
        <v>44480</v>
      </c>
      <c r="C1063" s="1" t="n">
        <v>45807</v>
      </c>
      <c r="D1063" t="inlineStr">
        <is>
          <t>VÄSTERBOTTENS LÄN</t>
        </is>
      </c>
      <c r="E1063" t="inlineStr">
        <is>
          <t>SKELLEFTEÅ</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56627-2021</t>
        </is>
      </c>
      <c r="B1064" s="1" t="n">
        <v>44480</v>
      </c>
      <c r="C1064" s="1" t="n">
        <v>45807</v>
      </c>
      <c r="D1064" t="inlineStr">
        <is>
          <t>VÄSTERBOTTENS LÄN</t>
        </is>
      </c>
      <c r="E1064" t="inlineStr">
        <is>
          <t>SKELLEFTEÅ</t>
        </is>
      </c>
      <c r="F1064" t="inlineStr">
        <is>
          <t>Sveaskog</t>
        </is>
      </c>
      <c r="G1064" t="n">
        <v>20.1</v>
      </c>
      <c r="H1064" t="n">
        <v>0</v>
      </c>
      <c r="I1064" t="n">
        <v>0</v>
      </c>
      <c r="J1064" t="n">
        <v>0</v>
      </c>
      <c r="K1064" t="n">
        <v>0</v>
      </c>
      <c r="L1064" t="n">
        <v>0</v>
      </c>
      <c r="M1064" t="n">
        <v>0</v>
      </c>
      <c r="N1064" t="n">
        <v>0</v>
      </c>
      <c r="O1064" t="n">
        <v>0</v>
      </c>
      <c r="P1064" t="n">
        <v>0</v>
      </c>
      <c r="Q1064" t="n">
        <v>0</v>
      </c>
      <c r="R1064" s="2" t="inlineStr"/>
    </row>
    <row r="1065" ht="15" customHeight="1">
      <c r="A1065" t="inlineStr">
        <is>
          <t>A 57197-2021</t>
        </is>
      </c>
      <c r="B1065" s="1" t="n">
        <v>44483</v>
      </c>
      <c r="C1065" s="1" t="n">
        <v>45807</v>
      </c>
      <c r="D1065" t="inlineStr">
        <is>
          <t>VÄSTERBOTTENS LÄN</t>
        </is>
      </c>
      <c r="E1065" t="inlineStr">
        <is>
          <t>SKELLEFTEÅ</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57370-2021</t>
        </is>
      </c>
      <c r="B1066" s="1" t="n">
        <v>44483</v>
      </c>
      <c r="C1066" s="1" t="n">
        <v>45807</v>
      </c>
      <c r="D1066" t="inlineStr">
        <is>
          <t>VÄSTERBOTTENS LÄN</t>
        </is>
      </c>
      <c r="E1066" t="inlineStr">
        <is>
          <t>SKELLEFTEÅ</t>
        </is>
      </c>
      <c r="F1066" t="inlineStr">
        <is>
          <t>Holmen skog AB</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57530-2021</t>
        </is>
      </c>
      <c r="B1067" s="1" t="n">
        <v>44483</v>
      </c>
      <c r="C1067" s="1" t="n">
        <v>45807</v>
      </c>
      <c r="D1067" t="inlineStr">
        <is>
          <t>VÄSTERBOTTENS LÄN</t>
        </is>
      </c>
      <c r="E1067" t="inlineStr">
        <is>
          <t>SKELLEFTEÅ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57978-2021</t>
        </is>
      </c>
      <c r="B1068" s="1" t="n">
        <v>44484</v>
      </c>
      <c r="C1068" s="1" t="n">
        <v>45807</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57714-2021</t>
        </is>
      </c>
      <c r="B1069" s="1" t="n">
        <v>44484</v>
      </c>
      <c r="C1069" s="1" t="n">
        <v>45807</v>
      </c>
      <c r="D1069" t="inlineStr">
        <is>
          <t>VÄSTERBOTTENS LÄN</t>
        </is>
      </c>
      <c r="E1069" t="inlineStr">
        <is>
          <t>SKELLEFTEÅ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57966-2021</t>
        </is>
      </c>
      <c r="B1070" s="1" t="n">
        <v>44484</v>
      </c>
      <c r="C1070" s="1" t="n">
        <v>45807</v>
      </c>
      <c r="D1070" t="inlineStr">
        <is>
          <t>VÄSTERBOTTENS LÄN</t>
        </is>
      </c>
      <c r="E1070" t="inlineStr">
        <is>
          <t>SKELLEFTEÅ</t>
        </is>
      </c>
      <c r="F1070" t="inlineStr">
        <is>
          <t>Holmen skog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58303-2021</t>
        </is>
      </c>
      <c r="B1071" s="1" t="n">
        <v>44488</v>
      </c>
      <c r="C1071" s="1" t="n">
        <v>45807</v>
      </c>
      <c r="D1071" t="inlineStr">
        <is>
          <t>VÄSTERBOTTENS LÄN</t>
        </is>
      </c>
      <c r="E1071" t="inlineStr">
        <is>
          <t>SKELLEFTEÅ</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58570-2021</t>
        </is>
      </c>
      <c r="B1072" s="1" t="n">
        <v>44489</v>
      </c>
      <c r="C1072" s="1" t="n">
        <v>45807</v>
      </c>
      <c r="D1072" t="inlineStr">
        <is>
          <t>VÄSTERBOTTENS LÄN</t>
        </is>
      </c>
      <c r="E1072" t="inlineStr">
        <is>
          <t>SKELLEFTEÅ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58808-2021</t>
        </is>
      </c>
      <c r="B1073" s="1" t="n">
        <v>44489</v>
      </c>
      <c r="C1073" s="1" t="n">
        <v>45807</v>
      </c>
      <c r="D1073" t="inlineStr">
        <is>
          <t>VÄSTERBOTTENS LÄN</t>
        </is>
      </c>
      <c r="E1073" t="inlineStr">
        <is>
          <t>SKELLEFTEÅ</t>
        </is>
      </c>
      <c r="F1073" t="inlineStr">
        <is>
          <t>Sveaskog</t>
        </is>
      </c>
      <c r="G1073" t="n">
        <v>15.5</v>
      </c>
      <c r="H1073" t="n">
        <v>0</v>
      </c>
      <c r="I1073" t="n">
        <v>0</v>
      </c>
      <c r="J1073" t="n">
        <v>0</v>
      </c>
      <c r="K1073" t="n">
        <v>0</v>
      </c>
      <c r="L1073" t="n">
        <v>0</v>
      </c>
      <c r="M1073" t="n">
        <v>0</v>
      </c>
      <c r="N1073" t="n">
        <v>0</v>
      </c>
      <c r="O1073" t="n">
        <v>0</v>
      </c>
      <c r="P1073" t="n">
        <v>0</v>
      </c>
      <c r="Q1073" t="n">
        <v>0</v>
      </c>
      <c r="R1073" s="2" t="inlineStr"/>
    </row>
    <row r="1074" ht="15" customHeight="1">
      <c r="A1074" t="inlineStr">
        <is>
          <t>A 58844-2021</t>
        </is>
      </c>
      <c r="B1074" s="1" t="n">
        <v>44489</v>
      </c>
      <c r="C1074" s="1" t="n">
        <v>45807</v>
      </c>
      <c r="D1074" t="inlineStr">
        <is>
          <t>VÄSTERBOTTENS LÄN</t>
        </is>
      </c>
      <c r="E1074" t="inlineStr">
        <is>
          <t>SKELLEFTEÅ</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58813-2021</t>
        </is>
      </c>
      <c r="B1075" s="1" t="n">
        <v>44489</v>
      </c>
      <c r="C1075" s="1" t="n">
        <v>45807</v>
      </c>
      <c r="D1075" t="inlineStr">
        <is>
          <t>VÄSTERBOTTENS LÄN</t>
        </is>
      </c>
      <c r="E1075" t="inlineStr">
        <is>
          <t>SKELLEFTEÅ</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58847-2021</t>
        </is>
      </c>
      <c r="B1076" s="1" t="n">
        <v>44489</v>
      </c>
      <c r="C1076" s="1" t="n">
        <v>45807</v>
      </c>
      <c r="D1076" t="inlineStr">
        <is>
          <t>VÄSTERBOTTENS LÄN</t>
        </is>
      </c>
      <c r="E1076" t="inlineStr">
        <is>
          <t>SKELLEFTEÅ</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58872-2021</t>
        </is>
      </c>
      <c r="B1077" s="1" t="n">
        <v>44489</v>
      </c>
      <c r="C1077" s="1" t="n">
        <v>45807</v>
      </c>
      <c r="D1077" t="inlineStr">
        <is>
          <t>VÄSTERBOTTENS LÄN</t>
        </is>
      </c>
      <c r="E1077" t="inlineStr">
        <is>
          <t>SKELLEFTEÅ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58811-2021</t>
        </is>
      </c>
      <c r="B1078" s="1" t="n">
        <v>44489</v>
      </c>
      <c r="C1078" s="1" t="n">
        <v>45807</v>
      </c>
      <c r="D1078" t="inlineStr">
        <is>
          <t>VÄSTERBOTTENS LÄN</t>
        </is>
      </c>
      <c r="E1078" t="inlineStr">
        <is>
          <t>SKELLEFTEÅ</t>
        </is>
      </c>
      <c r="F1078" t="inlineStr">
        <is>
          <t>Holmen skog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59180-2021</t>
        </is>
      </c>
      <c r="B1079" s="1" t="n">
        <v>44489</v>
      </c>
      <c r="C1079" s="1" t="n">
        <v>45807</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59171-2021</t>
        </is>
      </c>
      <c r="B1080" s="1" t="n">
        <v>44489</v>
      </c>
      <c r="C1080" s="1" t="n">
        <v>45807</v>
      </c>
      <c r="D1080" t="inlineStr">
        <is>
          <t>VÄSTERBOTTENS LÄN</t>
        </is>
      </c>
      <c r="E1080" t="inlineStr">
        <is>
          <t>SKELLEFTEÅ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58892-2021</t>
        </is>
      </c>
      <c r="B1081" s="1" t="n">
        <v>44489</v>
      </c>
      <c r="C1081" s="1" t="n">
        <v>45807</v>
      </c>
      <c r="D1081" t="inlineStr">
        <is>
          <t>VÄSTERBOTTENS LÄN</t>
        </is>
      </c>
      <c r="E1081" t="inlineStr">
        <is>
          <t>SKELLEFTEÅ</t>
        </is>
      </c>
      <c r="F1081" t="inlineStr">
        <is>
          <t>Sveaskog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59457-2021</t>
        </is>
      </c>
      <c r="B1082" s="1" t="n">
        <v>44491</v>
      </c>
      <c r="C1082" s="1" t="n">
        <v>45807</v>
      </c>
      <c r="D1082" t="inlineStr">
        <is>
          <t>VÄSTERBOTTENS LÄN</t>
        </is>
      </c>
      <c r="E1082" t="inlineStr">
        <is>
          <t>SKELLEFTEÅ</t>
        </is>
      </c>
      <c r="F1082" t="inlineStr">
        <is>
          <t>Sveaskog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59372-2021</t>
        </is>
      </c>
      <c r="B1083" s="1" t="n">
        <v>44491</v>
      </c>
      <c r="C1083" s="1" t="n">
        <v>45807</v>
      </c>
      <c r="D1083" t="inlineStr">
        <is>
          <t>VÄSTERBOTTENS LÄN</t>
        </is>
      </c>
      <c r="E1083" t="inlineStr">
        <is>
          <t>SKELLEFTEÅ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59851-2021</t>
        </is>
      </c>
      <c r="B1084" s="1" t="n">
        <v>44491</v>
      </c>
      <c r="C1084" s="1" t="n">
        <v>45807</v>
      </c>
      <c r="D1084" t="inlineStr">
        <is>
          <t>VÄSTERBOTTENS LÄN</t>
        </is>
      </c>
      <c r="E1084" t="inlineStr">
        <is>
          <t>SKELLEFTEÅ</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59522-2021</t>
        </is>
      </c>
      <c r="B1085" s="1" t="n">
        <v>44491</v>
      </c>
      <c r="C1085" s="1" t="n">
        <v>45807</v>
      </c>
      <c r="D1085" t="inlineStr">
        <is>
          <t>VÄSTERBOTTENS LÄN</t>
        </is>
      </c>
      <c r="E1085" t="inlineStr">
        <is>
          <t>SKELLEFTEÅ</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59659-2021</t>
        </is>
      </c>
      <c r="B1086" s="1" t="n">
        <v>44491</v>
      </c>
      <c r="C1086" s="1" t="n">
        <v>45807</v>
      </c>
      <c r="D1086" t="inlineStr">
        <is>
          <t>VÄSTERBOTTENS LÄN</t>
        </is>
      </c>
      <c r="E1086" t="inlineStr">
        <is>
          <t>SKELLEFTEÅ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59647-2021</t>
        </is>
      </c>
      <c r="B1087" s="1" t="n">
        <v>44493</v>
      </c>
      <c r="C1087" s="1" t="n">
        <v>45807</v>
      </c>
      <c r="D1087" t="inlineStr">
        <is>
          <t>VÄSTERBOTTENS LÄN</t>
        </is>
      </c>
      <c r="E1087" t="inlineStr">
        <is>
          <t>SKELLEFTEÅ</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59711-2021</t>
        </is>
      </c>
      <c r="B1088" s="1" t="n">
        <v>44494</v>
      </c>
      <c r="C1088" s="1" t="n">
        <v>45807</v>
      </c>
      <c r="D1088" t="inlineStr">
        <is>
          <t>VÄSTERBOTTENS LÄN</t>
        </is>
      </c>
      <c r="E1088" t="inlineStr">
        <is>
          <t>SKELLEFTEÅ</t>
        </is>
      </c>
      <c r="F1088" t="inlineStr">
        <is>
          <t>Sveaskog</t>
        </is>
      </c>
      <c r="G1088" t="n">
        <v>33.9</v>
      </c>
      <c r="H1088" t="n">
        <v>0</v>
      </c>
      <c r="I1088" t="n">
        <v>0</v>
      </c>
      <c r="J1088" t="n">
        <v>0</v>
      </c>
      <c r="K1088" t="n">
        <v>0</v>
      </c>
      <c r="L1088" t="n">
        <v>0</v>
      </c>
      <c r="M1088" t="n">
        <v>0</v>
      </c>
      <c r="N1088" t="n">
        <v>0</v>
      </c>
      <c r="O1088" t="n">
        <v>0</v>
      </c>
      <c r="P1088" t="n">
        <v>0</v>
      </c>
      <c r="Q1088" t="n">
        <v>0</v>
      </c>
      <c r="R1088" s="2" t="inlineStr"/>
    </row>
    <row r="1089" ht="15" customHeight="1">
      <c r="A1089" t="inlineStr">
        <is>
          <t>A 59748-2021</t>
        </is>
      </c>
      <c r="B1089" s="1" t="n">
        <v>44494</v>
      </c>
      <c r="C1089" s="1" t="n">
        <v>45807</v>
      </c>
      <c r="D1089" t="inlineStr">
        <is>
          <t>VÄSTERBOTTENS LÄN</t>
        </is>
      </c>
      <c r="E1089" t="inlineStr">
        <is>
          <t>SKELLEFTEÅ</t>
        </is>
      </c>
      <c r="F1089" t="inlineStr">
        <is>
          <t>Sveaskog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59717-2021</t>
        </is>
      </c>
      <c r="B1090" s="1" t="n">
        <v>44494</v>
      </c>
      <c r="C1090" s="1" t="n">
        <v>45807</v>
      </c>
      <c r="D1090" t="inlineStr">
        <is>
          <t>VÄSTERBOTTENS LÄN</t>
        </is>
      </c>
      <c r="E1090" t="inlineStr">
        <is>
          <t>SKELLEFTEÅ</t>
        </is>
      </c>
      <c r="F1090" t="inlineStr">
        <is>
          <t>Sveaskog</t>
        </is>
      </c>
      <c r="G1090" t="n">
        <v>16.2</v>
      </c>
      <c r="H1090" t="n">
        <v>0</v>
      </c>
      <c r="I1090" t="n">
        <v>0</v>
      </c>
      <c r="J1090" t="n">
        <v>0</v>
      </c>
      <c r="K1090" t="n">
        <v>0</v>
      </c>
      <c r="L1090" t="n">
        <v>0</v>
      </c>
      <c r="M1090" t="n">
        <v>0</v>
      </c>
      <c r="N1090" t="n">
        <v>0</v>
      </c>
      <c r="O1090" t="n">
        <v>0</v>
      </c>
      <c r="P1090" t="n">
        <v>0</v>
      </c>
      <c r="Q1090" t="n">
        <v>0</v>
      </c>
      <c r="R1090" s="2" t="inlineStr"/>
    </row>
    <row r="1091" ht="15" customHeight="1">
      <c r="A1091" t="inlineStr">
        <is>
          <t>A 59736-2021</t>
        </is>
      </c>
      <c r="B1091" s="1" t="n">
        <v>44494</v>
      </c>
      <c r="C1091" s="1" t="n">
        <v>45807</v>
      </c>
      <c r="D1091" t="inlineStr">
        <is>
          <t>VÄSTERBOTTENS LÄN</t>
        </is>
      </c>
      <c r="E1091" t="inlineStr">
        <is>
          <t>SKELLEFTEÅ</t>
        </is>
      </c>
      <c r="F1091" t="inlineStr">
        <is>
          <t>Sveaskog</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59859-2021</t>
        </is>
      </c>
      <c r="B1092" s="1" t="n">
        <v>44494</v>
      </c>
      <c r="C1092" s="1" t="n">
        <v>45807</v>
      </c>
      <c r="D1092" t="inlineStr">
        <is>
          <t>VÄSTERBOTTENS LÄN</t>
        </is>
      </c>
      <c r="E1092" t="inlineStr">
        <is>
          <t>SKELLEFTEÅ</t>
        </is>
      </c>
      <c r="F1092" t="inlineStr">
        <is>
          <t>Holmen skog AB</t>
        </is>
      </c>
      <c r="G1092" t="n">
        <v>13.8</v>
      </c>
      <c r="H1092" t="n">
        <v>0</v>
      </c>
      <c r="I1092" t="n">
        <v>0</v>
      </c>
      <c r="J1092" t="n">
        <v>0</v>
      </c>
      <c r="K1092" t="n">
        <v>0</v>
      </c>
      <c r="L1092" t="n">
        <v>0</v>
      </c>
      <c r="M1092" t="n">
        <v>0</v>
      </c>
      <c r="N1092" t="n">
        <v>0</v>
      </c>
      <c r="O1092" t="n">
        <v>0</v>
      </c>
      <c r="P1092" t="n">
        <v>0</v>
      </c>
      <c r="Q1092" t="n">
        <v>0</v>
      </c>
      <c r="R1092" s="2" t="inlineStr"/>
    </row>
    <row r="1093" ht="15" customHeight="1">
      <c r="A1093" t="inlineStr">
        <is>
          <t>A 60066-2021</t>
        </is>
      </c>
      <c r="B1093" s="1" t="n">
        <v>44494</v>
      </c>
      <c r="C1093" s="1" t="n">
        <v>45807</v>
      </c>
      <c r="D1093" t="inlineStr">
        <is>
          <t>VÄSTERBOTTENS LÄN</t>
        </is>
      </c>
      <c r="E1093" t="inlineStr">
        <is>
          <t>SKELLEFTEÅ</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60107-2021</t>
        </is>
      </c>
      <c r="B1094" s="1" t="n">
        <v>44495</v>
      </c>
      <c r="C1094" s="1" t="n">
        <v>45807</v>
      </c>
      <c r="D1094" t="inlineStr">
        <is>
          <t>VÄSTERBOTTENS LÄN</t>
        </is>
      </c>
      <c r="E1094" t="inlineStr">
        <is>
          <t>SKELLEFTEÅ</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60539-2021</t>
        </is>
      </c>
      <c r="B1095" s="1" t="n">
        <v>44495</v>
      </c>
      <c r="C1095" s="1" t="n">
        <v>45807</v>
      </c>
      <c r="D1095" t="inlineStr">
        <is>
          <t>VÄSTERBOTTENS LÄN</t>
        </is>
      </c>
      <c r="E1095" t="inlineStr">
        <is>
          <t>SKELLEFTEÅ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61656-2021</t>
        </is>
      </c>
      <c r="B1096" s="1" t="n">
        <v>44501</v>
      </c>
      <c r="C1096" s="1" t="n">
        <v>45807</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61811-2021</t>
        </is>
      </c>
      <c r="B1097" s="1" t="n">
        <v>44501</v>
      </c>
      <c r="C1097" s="1" t="n">
        <v>45807</v>
      </c>
      <c r="D1097" t="inlineStr">
        <is>
          <t>VÄSTERBOTTENS LÄN</t>
        </is>
      </c>
      <c r="E1097" t="inlineStr">
        <is>
          <t>SKELLEFTEÅ</t>
        </is>
      </c>
      <c r="F1097" t="inlineStr">
        <is>
          <t>Sveaskog</t>
        </is>
      </c>
      <c r="G1097" t="n">
        <v>12.8</v>
      </c>
      <c r="H1097" t="n">
        <v>0</v>
      </c>
      <c r="I1097" t="n">
        <v>0</v>
      </c>
      <c r="J1097" t="n">
        <v>0</v>
      </c>
      <c r="K1097" t="n">
        <v>0</v>
      </c>
      <c r="L1097" t="n">
        <v>0</v>
      </c>
      <c r="M1097" t="n">
        <v>0</v>
      </c>
      <c r="N1097" t="n">
        <v>0</v>
      </c>
      <c r="O1097" t="n">
        <v>0</v>
      </c>
      <c r="P1097" t="n">
        <v>0</v>
      </c>
      <c r="Q1097" t="n">
        <v>0</v>
      </c>
      <c r="R1097" s="2" t="inlineStr"/>
    </row>
    <row r="1098" ht="15" customHeight="1">
      <c r="A1098" t="inlineStr">
        <is>
          <t>A 61844-2021</t>
        </is>
      </c>
      <c r="B1098" s="1" t="n">
        <v>44501</v>
      </c>
      <c r="C1098" s="1" t="n">
        <v>45807</v>
      </c>
      <c r="D1098" t="inlineStr">
        <is>
          <t>VÄSTERBOTTENS LÄN</t>
        </is>
      </c>
      <c r="E1098" t="inlineStr">
        <is>
          <t>SKELLEFTEÅ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62227-2021</t>
        </is>
      </c>
      <c r="B1099" s="1" t="n">
        <v>44501</v>
      </c>
      <c r="C1099" s="1" t="n">
        <v>45807</v>
      </c>
      <c r="D1099" t="inlineStr">
        <is>
          <t>VÄSTERBOTTENS LÄN</t>
        </is>
      </c>
      <c r="E1099" t="inlineStr">
        <is>
          <t>SKELLEFTEÅ</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62345-2021</t>
        </is>
      </c>
      <c r="B1100" s="1" t="n">
        <v>44503</v>
      </c>
      <c r="C1100" s="1" t="n">
        <v>45807</v>
      </c>
      <c r="D1100" t="inlineStr">
        <is>
          <t>VÄSTERBOTTENS LÄN</t>
        </is>
      </c>
      <c r="E1100" t="inlineStr">
        <is>
          <t>SKELLEFTEÅ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62486-2021</t>
        </is>
      </c>
      <c r="B1101" s="1" t="n">
        <v>44503</v>
      </c>
      <c r="C1101" s="1" t="n">
        <v>45807</v>
      </c>
      <c r="D1101" t="inlineStr">
        <is>
          <t>VÄSTERBOTTENS LÄN</t>
        </is>
      </c>
      <c r="E1101" t="inlineStr">
        <is>
          <t>SKELLEFTEÅ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62651-2021</t>
        </is>
      </c>
      <c r="B1102" s="1" t="n">
        <v>44503</v>
      </c>
      <c r="C1102" s="1" t="n">
        <v>45807</v>
      </c>
      <c r="D1102" t="inlineStr">
        <is>
          <t>VÄSTERBOTTENS LÄN</t>
        </is>
      </c>
      <c r="E1102" t="inlineStr">
        <is>
          <t>SKELLEFTEÅ</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63145-2021</t>
        </is>
      </c>
      <c r="B1103" s="1" t="n">
        <v>44505</v>
      </c>
      <c r="C1103" s="1" t="n">
        <v>45807</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63171-2021</t>
        </is>
      </c>
      <c r="B1104" s="1" t="n">
        <v>44506</v>
      </c>
      <c r="C1104" s="1" t="n">
        <v>45807</v>
      </c>
      <c r="D1104" t="inlineStr">
        <is>
          <t>VÄSTERBOTTENS LÄN</t>
        </is>
      </c>
      <c r="E1104" t="inlineStr">
        <is>
          <t>SKELLEFTEÅ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63502-2021</t>
        </is>
      </c>
      <c r="B1105" s="1" t="n">
        <v>44508</v>
      </c>
      <c r="C1105" s="1" t="n">
        <v>45807</v>
      </c>
      <c r="D1105" t="inlineStr">
        <is>
          <t>VÄSTERBOTTENS LÄN</t>
        </is>
      </c>
      <c r="E1105" t="inlineStr">
        <is>
          <t>SKELLEFTEÅ</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63801-2021</t>
        </is>
      </c>
      <c r="B1106" s="1" t="n">
        <v>44508</v>
      </c>
      <c r="C1106" s="1" t="n">
        <v>45807</v>
      </c>
      <c r="D1106" t="inlineStr">
        <is>
          <t>VÄSTERBOTTENS LÄN</t>
        </is>
      </c>
      <c r="E1106" t="inlineStr">
        <is>
          <t>SKELLEFTEÅ</t>
        </is>
      </c>
      <c r="G1106" t="n">
        <v>22.6</v>
      </c>
      <c r="H1106" t="n">
        <v>0</v>
      </c>
      <c r="I1106" t="n">
        <v>0</v>
      </c>
      <c r="J1106" t="n">
        <v>0</v>
      </c>
      <c r="K1106" t="n">
        <v>0</v>
      </c>
      <c r="L1106" t="n">
        <v>0</v>
      </c>
      <c r="M1106" t="n">
        <v>0</v>
      </c>
      <c r="N1106" t="n">
        <v>0</v>
      </c>
      <c r="O1106" t="n">
        <v>0</v>
      </c>
      <c r="P1106" t="n">
        <v>0</v>
      </c>
      <c r="Q1106" t="n">
        <v>0</v>
      </c>
      <c r="R1106" s="2" t="inlineStr"/>
    </row>
    <row r="1107" ht="15" customHeight="1">
      <c r="A1107" t="inlineStr">
        <is>
          <t>A 63620-2021</t>
        </is>
      </c>
      <c r="B1107" s="1" t="n">
        <v>44509</v>
      </c>
      <c r="C1107" s="1" t="n">
        <v>45807</v>
      </c>
      <c r="D1107" t="inlineStr">
        <is>
          <t>VÄSTERBOTTENS LÄN</t>
        </is>
      </c>
      <c r="E1107" t="inlineStr">
        <is>
          <t>SKELLEFTEÅ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64087-2021</t>
        </is>
      </c>
      <c r="B1108" s="1" t="n">
        <v>44509</v>
      </c>
      <c r="C1108" s="1" t="n">
        <v>45807</v>
      </c>
      <c r="D1108" t="inlineStr">
        <is>
          <t>VÄSTERBOTTENS LÄN</t>
        </is>
      </c>
      <c r="E1108" t="inlineStr">
        <is>
          <t>SKELLEFTEÅ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64409-2021</t>
        </is>
      </c>
      <c r="B1109" s="1" t="n">
        <v>44510</v>
      </c>
      <c r="C1109" s="1" t="n">
        <v>45807</v>
      </c>
      <c r="D1109" t="inlineStr">
        <is>
          <t>VÄSTERBOTTENS LÄN</t>
        </is>
      </c>
      <c r="E1109" t="inlineStr">
        <is>
          <t>SKELLEFTEÅ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64316-2021</t>
        </is>
      </c>
      <c r="B1110" s="1" t="n">
        <v>44510</v>
      </c>
      <c r="C1110" s="1" t="n">
        <v>45807</v>
      </c>
      <c r="D1110" t="inlineStr">
        <is>
          <t>VÄSTERBOTTENS LÄN</t>
        </is>
      </c>
      <c r="E1110" t="inlineStr">
        <is>
          <t>SKELLEFTEÅ</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64391-2021</t>
        </is>
      </c>
      <c r="B1111" s="1" t="n">
        <v>44511</v>
      </c>
      <c r="C1111" s="1" t="n">
        <v>45807</v>
      </c>
      <c r="D1111" t="inlineStr">
        <is>
          <t>VÄSTERBOTTENS LÄN</t>
        </is>
      </c>
      <c r="E1111" t="inlineStr">
        <is>
          <t>SKELLEFTEÅ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64399-2021</t>
        </is>
      </c>
      <c r="B1112" s="1" t="n">
        <v>44511</v>
      </c>
      <c r="C1112" s="1" t="n">
        <v>45807</v>
      </c>
      <c r="D1112" t="inlineStr">
        <is>
          <t>VÄSTERBOTTENS LÄN</t>
        </is>
      </c>
      <c r="E1112" t="inlineStr">
        <is>
          <t>SKELLEFTEÅ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64593-2021</t>
        </is>
      </c>
      <c r="B1113" s="1" t="n">
        <v>44511</v>
      </c>
      <c r="C1113" s="1" t="n">
        <v>45807</v>
      </c>
      <c r="D1113" t="inlineStr">
        <is>
          <t>VÄSTERBOTTENS LÄN</t>
        </is>
      </c>
      <c r="E1113" t="inlineStr">
        <is>
          <t>SKELLEFTEÅ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64580-2021</t>
        </is>
      </c>
      <c r="B1114" s="1" t="n">
        <v>44511</v>
      </c>
      <c r="C1114" s="1" t="n">
        <v>45807</v>
      </c>
      <c r="D1114" t="inlineStr">
        <is>
          <t>VÄSTERBOTTENS LÄN</t>
        </is>
      </c>
      <c r="E1114" t="inlineStr">
        <is>
          <t>SKELLEFTEÅ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64761-2021</t>
        </is>
      </c>
      <c r="B1115" s="1" t="n">
        <v>44511</v>
      </c>
      <c r="C1115" s="1" t="n">
        <v>45807</v>
      </c>
      <c r="D1115" t="inlineStr">
        <is>
          <t>VÄSTERBOTTENS LÄN</t>
        </is>
      </c>
      <c r="E1115" t="inlineStr">
        <is>
          <t>SKELLEFTEÅ</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64765-2021</t>
        </is>
      </c>
      <c r="B1116" s="1" t="n">
        <v>44511</v>
      </c>
      <c r="C1116" s="1" t="n">
        <v>45807</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65455-2021</t>
        </is>
      </c>
      <c r="B1117" s="1" t="n">
        <v>44516</v>
      </c>
      <c r="C1117" s="1" t="n">
        <v>45807</v>
      </c>
      <c r="D1117" t="inlineStr">
        <is>
          <t>VÄSTERBOTTENS LÄN</t>
        </is>
      </c>
      <c r="E1117" t="inlineStr">
        <is>
          <t>SKELLEFTEÅ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66250-2021</t>
        </is>
      </c>
      <c r="B1118" s="1" t="n">
        <v>44518</v>
      </c>
      <c r="C1118" s="1" t="n">
        <v>45807</v>
      </c>
      <c r="D1118" t="inlineStr">
        <is>
          <t>VÄSTERBOTTENS LÄN</t>
        </is>
      </c>
      <c r="E1118" t="inlineStr">
        <is>
          <t>SKELLEFTEÅ</t>
        </is>
      </c>
      <c r="F1118" t="inlineStr">
        <is>
          <t>Holmen skog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66463-2021</t>
        </is>
      </c>
      <c r="B1119" s="1" t="n">
        <v>44518</v>
      </c>
      <c r="C1119" s="1" t="n">
        <v>45807</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66465-2021</t>
        </is>
      </c>
      <c r="B1120" s="1" t="n">
        <v>44518</v>
      </c>
      <c r="C1120" s="1" t="n">
        <v>45807</v>
      </c>
      <c r="D1120" t="inlineStr">
        <is>
          <t>VÄSTERBOTTENS LÄN</t>
        </is>
      </c>
      <c r="E1120" t="inlineStr">
        <is>
          <t>SKELLEFTEÅ</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66501-2021</t>
        </is>
      </c>
      <c r="B1121" s="1" t="n">
        <v>44519</v>
      </c>
      <c r="C1121" s="1" t="n">
        <v>45807</v>
      </c>
      <c r="D1121" t="inlineStr">
        <is>
          <t>VÄSTERBOTTENS LÄN</t>
        </is>
      </c>
      <c r="E1121" t="inlineStr">
        <is>
          <t>SKELLEFTEÅ</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66500-2021</t>
        </is>
      </c>
      <c r="B1122" s="1" t="n">
        <v>44519</v>
      </c>
      <c r="C1122" s="1" t="n">
        <v>45807</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66499-2021</t>
        </is>
      </c>
      <c r="B1123" s="1" t="n">
        <v>44519</v>
      </c>
      <c r="C1123" s="1" t="n">
        <v>45807</v>
      </c>
      <c r="D1123" t="inlineStr">
        <is>
          <t>VÄSTERBOTTENS LÄN</t>
        </is>
      </c>
      <c r="E1123" t="inlineStr">
        <is>
          <t>SKELLEFTEÅ</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66502-2021</t>
        </is>
      </c>
      <c r="B1124" s="1" t="n">
        <v>44519</v>
      </c>
      <c r="C1124" s="1" t="n">
        <v>45807</v>
      </c>
      <c r="D1124" t="inlineStr">
        <is>
          <t>VÄSTERBOTTENS LÄN</t>
        </is>
      </c>
      <c r="E1124" t="inlineStr">
        <is>
          <t>SKELLEFTEÅ</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66756-2021</t>
        </is>
      </c>
      <c r="B1125" s="1" t="n">
        <v>44521</v>
      </c>
      <c r="C1125" s="1" t="n">
        <v>45807</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66949-2021</t>
        </is>
      </c>
      <c r="B1126" s="1" t="n">
        <v>44522</v>
      </c>
      <c r="C1126" s="1" t="n">
        <v>45807</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c r="U1126">
        <f>HYPERLINK("https://klasma.github.io/Logging_2482/knärot/A 66949-2021 karta knärot.png", "A 66949-2021")</f>
        <v/>
      </c>
      <c r="V1126">
        <f>HYPERLINK("https://klasma.github.io/Logging_2482/klagomål/A 66949-2021 FSC-klagomål.docx", "A 66949-2021")</f>
        <v/>
      </c>
      <c r="W1126">
        <f>HYPERLINK("https://klasma.github.io/Logging_2482/klagomålsmail/A 66949-2021 FSC-klagomål mail.docx", "A 66949-2021")</f>
        <v/>
      </c>
      <c r="X1126">
        <f>HYPERLINK("https://klasma.github.io/Logging_2482/tillsyn/A 66949-2021 tillsynsbegäran.docx", "A 66949-2021")</f>
        <v/>
      </c>
      <c r="Y1126">
        <f>HYPERLINK("https://klasma.github.io/Logging_2482/tillsynsmail/A 66949-2021 tillsynsbegäran mail.docx", "A 66949-2021")</f>
        <v/>
      </c>
    </row>
    <row r="1127" ht="15" customHeight="1">
      <c r="A1127" t="inlineStr">
        <is>
          <t>A 67450-2021</t>
        </is>
      </c>
      <c r="B1127" s="1" t="n">
        <v>44524</v>
      </c>
      <c r="C1127" s="1" t="n">
        <v>45807</v>
      </c>
      <c r="D1127" t="inlineStr">
        <is>
          <t>VÄSTERBOTTENS LÄN</t>
        </is>
      </c>
      <c r="E1127" t="inlineStr">
        <is>
          <t>SKELLEFTEÅ</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67893-2021</t>
        </is>
      </c>
      <c r="B1128" s="1" t="n">
        <v>44525</v>
      </c>
      <c r="C1128" s="1" t="n">
        <v>45807</v>
      </c>
      <c r="D1128" t="inlineStr">
        <is>
          <t>VÄSTERBOTTENS LÄN</t>
        </is>
      </c>
      <c r="E1128" t="inlineStr">
        <is>
          <t>SKELLEFTEÅ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68251-2021</t>
        </is>
      </c>
      <c r="B1129" s="1" t="n">
        <v>44525</v>
      </c>
      <c r="C1129" s="1" t="n">
        <v>45807</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68334-2021</t>
        </is>
      </c>
      <c r="B1130" s="1" t="n">
        <v>44527</v>
      </c>
      <c r="C1130" s="1" t="n">
        <v>45807</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69106-2021</t>
        </is>
      </c>
      <c r="B1131" s="1" t="n">
        <v>44530</v>
      </c>
      <c r="C1131" s="1" t="n">
        <v>45807</v>
      </c>
      <c r="D1131" t="inlineStr">
        <is>
          <t>VÄSTERBOTTENS LÄN</t>
        </is>
      </c>
      <c r="E1131" t="inlineStr">
        <is>
          <t>SKELLEFTEÅ</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69262-2021</t>
        </is>
      </c>
      <c r="B1132" s="1" t="n">
        <v>44531</v>
      </c>
      <c r="C1132" s="1" t="n">
        <v>45807</v>
      </c>
      <c r="D1132" t="inlineStr">
        <is>
          <t>VÄSTERBOTTENS LÄN</t>
        </is>
      </c>
      <c r="E1132" t="inlineStr">
        <is>
          <t>SKELLEFTEÅ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69315-2021</t>
        </is>
      </c>
      <c r="B1133" s="1" t="n">
        <v>44531</v>
      </c>
      <c r="C1133" s="1" t="n">
        <v>45807</v>
      </c>
      <c r="D1133" t="inlineStr">
        <is>
          <t>VÄSTERBOTTENS LÄN</t>
        </is>
      </c>
      <c r="E1133" t="inlineStr">
        <is>
          <t>SKELLEFTEÅ</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70168-2021</t>
        </is>
      </c>
      <c r="B1134" s="1" t="n">
        <v>44533</v>
      </c>
      <c r="C1134" s="1" t="n">
        <v>45807</v>
      </c>
      <c r="D1134" t="inlineStr">
        <is>
          <t>VÄSTERBOTTENS LÄN</t>
        </is>
      </c>
      <c r="E1134" t="inlineStr">
        <is>
          <t>SKELLEFTEÅ</t>
        </is>
      </c>
      <c r="F1134" t="inlineStr">
        <is>
          <t>Sveaskog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70176-2021</t>
        </is>
      </c>
      <c r="B1135" s="1" t="n">
        <v>44533</v>
      </c>
      <c r="C1135" s="1" t="n">
        <v>45807</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70029-2021</t>
        </is>
      </c>
      <c r="B1136" s="1" t="n">
        <v>44533</v>
      </c>
      <c r="C1136" s="1" t="n">
        <v>45807</v>
      </c>
      <c r="D1136" t="inlineStr">
        <is>
          <t>VÄSTERBOTTENS LÄN</t>
        </is>
      </c>
      <c r="E1136" t="inlineStr">
        <is>
          <t>SKELLEFTEÅ</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69992-2021</t>
        </is>
      </c>
      <c r="B1137" s="1" t="n">
        <v>44533</v>
      </c>
      <c r="C1137" s="1" t="n">
        <v>45807</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69996-2021</t>
        </is>
      </c>
      <c r="B1138" s="1" t="n">
        <v>44533</v>
      </c>
      <c r="C1138" s="1" t="n">
        <v>45807</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69991-2021</t>
        </is>
      </c>
      <c r="B1139" s="1" t="n">
        <v>44533</v>
      </c>
      <c r="C1139" s="1" t="n">
        <v>45807</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69978-2021</t>
        </is>
      </c>
      <c r="B1140" s="1" t="n">
        <v>44533</v>
      </c>
      <c r="C1140" s="1" t="n">
        <v>45807</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70229-2021</t>
        </is>
      </c>
      <c r="B1141" s="1" t="n">
        <v>44533</v>
      </c>
      <c r="C1141" s="1" t="n">
        <v>45807</v>
      </c>
      <c r="D1141" t="inlineStr">
        <is>
          <t>VÄSTERBOTTENS LÄN</t>
        </is>
      </c>
      <c r="E1141" t="inlineStr">
        <is>
          <t>SKELLEFTEÅ</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70272-2021</t>
        </is>
      </c>
      <c r="B1142" s="1" t="n">
        <v>44536</v>
      </c>
      <c r="C1142" s="1" t="n">
        <v>45807</v>
      </c>
      <c r="D1142" t="inlineStr">
        <is>
          <t>VÄSTERBOTTENS LÄN</t>
        </is>
      </c>
      <c r="E1142" t="inlineStr">
        <is>
          <t>SKELLEFTEÅ</t>
        </is>
      </c>
      <c r="F1142" t="inlineStr">
        <is>
          <t>Kyrkan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70339-2021</t>
        </is>
      </c>
      <c r="B1143" s="1" t="n">
        <v>44536</v>
      </c>
      <c r="C1143" s="1" t="n">
        <v>45807</v>
      </c>
      <c r="D1143" t="inlineStr">
        <is>
          <t>VÄSTERBOTTENS LÄN</t>
        </is>
      </c>
      <c r="E1143" t="inlineStr">
        <is>
          <t>SKELLEFTEÅ</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70508-2021</t>
        </is>
      </c>
      <c r="B1144" s="1" t="n">
        <v>44536</v>
      </c>
      <c r="C1144" s="1" t="n">
        <v>45807</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70703-2021</t>
        </is>
      </c>
      <c r="B1145" s="1" t="n">
        <v>44536</v>
      </c>
      <c r="C1145" s="1" t="n">
        <v>45807</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70718-2021</t>
        </is>
      </c>
      <c r="B1146" s="1" t="n">
        <v>44536</v>
      </c>
      <c r="C1146" s="1" t="n">
        <v>45807</v>
      </c>
      <c r="D1146" t="inlineStr">
        <is>
          <t>VÄSTERBOTTENS LÄN</t>
        </is>
      </c>
      <c r="E1146" t="inlineStr">
        <is>
          <t>SKELLEFTEÅ</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70851-2021</t>
        </is>
      </c>
      <c r="B1147" s="1" t="n">
        <v>44536</v>
      </c>
      <c r="C1147" s="1" t="n">
        <v>45807</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70558-2021</t>
        </is>
      </c>
      <c r="B1148" s="1" t="n">
        <v>44537</v>
      </c>
      <c r="C1148" s="1" t="n">
        <v>45807</v>
      </c>
      <c r="D1148" t="inlineStr">
        <is>
          <t>VÄSTERBOTTENS LÄN</t>
        </is>
      </c>
      <c r="E1148" t="inlineStr">
        <is>
          <t>SKELLEFTEÅ</t>
        </is>
      </c>
      <c r="F1148" t="inlineStr">
        <is>
          <t>Sveaskog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70748-2021</t>
        </is>
      </c>
      <c r="B1149" s="1" t="n">
        <v>44537</v>
      </c>
      <c r="C1149" s="1" t="n">
        <v>45807</v>
      </c>
      <c r="D1149" t="inlineStr">
        <is>
          <t>VÄSTERBOTTENS LÄN</t>
        </is>
      </c>
      <c r="E1149" t="inlineStr">
        <is>
          <t>SKELLEFTEÅ</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71019-2021</t>
        </is>
      </c>
      <c r="B1150" s="1" t="n">
        <v>44538</v>
      </c>
      <c r="C1150" s="1" t="n">
        <v>45807</v>
      </c>
      <c r="D1150" t="inlineStr">
        <is>
          <t>VÄSTERBOTTENS LÄN</t>
        </is>
      </c>
      <c r="E1150" t="inlineStr">
        <is>
          <t>SKELLEFTEÅ</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71410-2021</t>
        </is>
      </c>
      <c r="B1151" s="1" t="n">
        <v>44540</v>
      </c>
      <c r="C1151" s="1" t="n">
        <v>45807</v>
      </c>
      <c r="D1151" t="inlineStr">
        <is>
          <t>VÄSTERBOTTENS LÄN</t>
        </is>
      </c>
      <c r="E1151" t="inlineStr">
        <is>
          <t>SKELLEFTEÅ</t>
        </is>
      </c>
      <c r="F1151" t="inlineStr">
        <is>
          <t>Sveaskog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71422-2021</t>
        </is>
      </c>
      <c r="B1152" s="1" t="n">
        <v>44540</v>
      </c>
      <c r="C1152" s="1" t="n">
        <v>45807</v>
      </c>
      <c r="D1152" t="inlineStr">
        <is>
          <t>VÄSTERBOTTENS LÄN</t>
        </is>
      </c>
      <c r="E1152" t="inlineStr">
        <is>
          <t>SKELLEFTEÅ</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71445-2021</t>
        </is>
      </c>
      <c r="B1153" s="1" t="n">
        <v>44540</v>
      </c>
      <c r="C1153" s="1" t="n">
        <v>45807</v>
      </c>
      <c r="D1153" t="inlineStr">
        <is>
          <t>VÄSTERBOTTENS LÄN</t>
        </is>
      </c>
      <c r="E1153" t="inlineStr">
        <is>
          <t>SKELLEFTEÅ</t>
        </is>
      </c>
      <c r="F1153" t="inlineStr">
        <is>
          <t>Sveaskog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71464-2021</t>
        </is>
      </c>
      <c r="B1154" s="1" t="n">
        <v>44540</v>
      </c>
      <c r="C1154" s="1" t="n">
        <v>45807</v>
      </c>
      <c r="D1154" t="inlineStr">
        <is>
          <t>VÄSTERBOTTENS LÄN</t>
        </is>
      </c>
      <c r="E1154" t="inlineStr">
        <is>
          <t>SKELLEFTEÅ</t>
        </is>
      </c>
      <c r="F1154" t="inlineStr">
        <is>
          <t>Sveaskog</t>
        </is>
      </c>
      <c r="G1154" t="n">
        <v>10.9</v>
      </c>
      <c r="H1154" t="n">
        <v>0</v>
      </c>
      <c r="I1154" t="n">
        <v>0</v>
      </c>
      <c r="J1154" t="n">
        <v>0</v>
      </c>
      <c r="K1154" t="n">
        <v>0</v>
      </c>
      <c r="L1154" t="n">
        <v>0</v>
      </c>
      <c r="M1154" t="n">
        <v>0</v>
      </c>
      <c r="N1154" t="n">
        <v>0</v>
      </c>
      <c r="O1154" t="n">
        <v>0</v>
      </c>
      <c r="P1154" t="n">
        <v>0</v>
      </c>
      <c r="Q1154" t="n">
        <v>0</v>
      </c>
      <c r="R1154" s="2" t="inlineStr"/>
    </row>
    <row r="1155" ht="15" customHeight="1">
      <c r="A1155" t="inlineStr">
        <is>
          <t>A 71434-2021</t>
        </is>
      </c>
      <c r="B1155" s="1" t="n">
        <v>44540</v>
      </c>
      <c r="C1155" s="1" t="n">
        <v>45807</v>
      </c>
      <c r="D1155" t="inlineStr">
        <is>
          <t>VÄSTERBOTTENS LÄN</t>
        </is>
      </c>
      <c r="E1155" t="inlineStr">
        <is>
          <t>SKELLEFTEÅ</t>
        </is>
      </c>
      <c r="F1155" t="inlineStr">
        <is>
          <t>Sveaskog</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71565-2021</t>
        </is>
      </c>
      <c r="B1156" s="1" t="n">
        <v>44540</v>
      </c>
      <c r="C1156" s="1" t="n">
        <v>45807</v>
      </c>
      <c r="D1156" t="inlineStr">
        <is>
          <t>VÄSTERBOTTENS LÄN</t>
        </is>
      </c>
      <c r="E1156" t="inlineStr">
        <is>
          <t>SKELLEFTEÅ</t>
        </is>
      </c>
      <c r="F1156" t="inlineStr">
        <is>
          <t>Sveaskog</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71400-2021</t>
        </is>
      </c>
      <c r="B1157" s="1" t="n">
        <v>44540</v>
      </c>
      <c r="C1157" s="1" t="n">
        <v>45807</v>
      </c>
      <c r="D1157" t="inlineStr">
        <is>
          <t>VÄSTERBOTTENS LÄN</t>
        </is>
      </c>
      <c r="E1157" t="inlineStr">
        <is>
          <t>SKELLEFTEÅ</t>
        </is>
      </c>
      <c r="F1157" t="inlineStr">
        <is>
          <t>Sveaskog</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71460-2021</t>
        </is>
      </c>
      <c r="B1158" s="1" t="n">
        <v>44540</v>
      </c>
      <c r="C1158" s="1" t="n">
        <v>45807</v>
      </c>
      <c r="D1158" t="inlineStr">
        <is>
          <t>VÄSTERBOTTENS LÄN</t>
        </is>
      </c>
      <c r="E1158" t="inlineStr">
        <is>
          <t>SKELLEFTEÅ</t>
        </is>
      </c>
      <c r="F1158" t="inlineStr">
        <is>
          <t>Sveaskog</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71459-2021</t>
        </is>
      </c>
      <c r="B1159" s="1" t="n">
        <v>44540</v>
      </c>
      <c r="C1159" s="1" t="n">
        <v>45807</v>
      </c>
      <c r="D1159" t="inlineStr">
        <is>
          <t>VÄSTERBOTTENS LÄN</t>
        </is>
      </c>
      <c r="E1159" t="inlineStr">
        <is>
          <t>SKELLEFTEÅ</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71798-2021</t>
        </is>
      </c>
      <c r="B1160" s="1" t="n">
        <v>44543</v>
      </c>
      <c r="C1160" s="1" t="n">
        <v>45807</v>
      </c>
      <c r="D1160" t="inlineStr">
        <is>
          <t>VÄSTERBOTTENS LÄN</t>
        </is>
      </c>
      <c r="E1160" t="inlineStr">
        <is>
          <t>SKELLEFTEÅ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71924-2021</t>
        </is>
      </c>
      <c r="B1161" s="1" t="n">
        <v>44543</v>
      </c>
      <c r="C1161" s="1" t="n">
        <v>45807</v>
      </c>
      <c r="D1161" t="inlineStr">
        <is>
          <t>VÄSTERBOTTENS LÄN</t>
        </is>
      </c>
      <c r="E1161" t="inlineStr">
        <is>
          <t>SKELLEFTEÅ</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71943-2021</t>
        </is>
      </c>
      <c r="B1162" s="1" t="n">
        <v>44543</v>
      </c>
      <c r="C1162" s="1" t="n">
        <v>45807</v>
      </c>
      <c r="D1162" t="inlineStr">
        <is>
          <t>VÄSTERBOTTENS LÄN</t>
        </is>
      </c>
      <c r="E1162" t="inlineStr">
        <is>
          <t>SKELLEFTEÅ</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71931-2021</t>
        </is>
      </c>
      <c r="B1163" s="1" t="n">
        <v>44543</v>
      </c>
      <c r="C1163" s="1" t="n">
        <v>45807</v>
      </c>
      <c r="D1163" t="inlineStr">
        <is>
          <t>VÄSTERBOTTENS LÄN</t>
        </is>
      </c>
      <c r="E1163" t="inlineStr">
        <is>
          <t>SKELLEFTEÅ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72203-2021</t>
        </is>
      </c>
      <c r="B1164" s="1" t="n">
        <v>44543</v>
      </c>
      <c r="C1164" s="1" t="n">
        <v>45807</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71934-2021</t>
        </is>
      </c>
      <c r="B1165" s="1" t="n">
        <v>44543</v>
      </c>
      <c r="C1165" s="1" t="n">
        <v>45807</v>
      </c>
      <c r="D1165" t="inlineStr">
        <is>
          <t>VÄSTERBOTTENS LÄN</t>
        </is>
      </c>
      <c r="E1165" t="inlineStr">
        <is>
          <t>SKELLEFTEÅ</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72033-2021</t>
        </is>
      </c>
      <c r="B1166" s="1" t="n">
        <v>44544</v>
      </c>
      <c r="C1166" s="1" t="n">
        <v>45807</v>
      </c>
      <c r="D1166" t="inlineStr">
        <is>
          <t>VÄSTERBOTTENS LÄN</t>
        </is>
      </c>
      <c r="E1166" t="inlineStr">
        <is>
          <t>SKELLEFTEÅ</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72183-2021</t>
        </is>
      </c>
      <c r="B1167" s="1" t="n">
        <v>44544</v>
      </c>
      <c r="C1167" s="1" t="n">
        <v>45807</v>
      </c>
      <c r="D1167" t="inlineStr">
        <is>
          <t>VÄSTERBOTTENS LÄN</t>
        </is>
      </c>
      <c r="E1167" t="inlineStr">
        <is>
          <t>SKELLEFTEÅ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72692-2021</t>
        </is>
      </c>
      <c r="B1168" s="1" t="n">
        <v>44545</v>
      </c>
      <c r="C1168" s="1" t="n">
        <v>45807</v>
      </c>
      <c r="D1168" t="inlineStr">
        <is>
          <t>VÄSTERBOTTENS LÄN</t>
        </is>
      </c>
      <c r="E1168" t="inlineStr">
        <is>
          <t>SKELLEFTEÅ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72545-2021</t>
        </is>
      </c>
      <c r="B1169" s="1" t="n">
        <v>44546</v>
      </c>
      <c r="C1169" s="1" t="n">
        <v>45807</v>
      </c>
      <c r="D1169" t="inlineStr">
        <is>
          <t>VÄSTERBOTTENS LÄN</t>
        </is>
      </c>
      <c r="E1169" t="inlineStr">
        <is>
          <t>SKELLEFTEÅ</t>
        </is>
      </c>
      <c r="F1169" t="inlineStr">
        <is>
          <t>Holmen skog AB</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73159-2021</t>
        </is>
      </c>
      <c r="B1170" s="1" t="n">
        <v>44550</v>
      </c>
      <c r="C1170" s="1" t="n">
        <v>45807</v>
      </c>
      <c r="D1170" t="inlineStr">
        <is>
          <t>VÄSTERBOTTENS LÄN</t>
        </is>
      </c>
      <c r="E1170" t="inlineStr">
        <is>
          <t>SKELLEFTEÅ</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73556-2021</t>
        </is>
      </c>
      <c r="B1171" s="1" t="n">
        <v>44551</v>
      </c>
      <c r="C1171" s="1" t="n">
        <v>45807</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73614-2021</t>
        </is>
      </c>
      <c r="B1172" s="1" t="n">
        <v>44551</v>
      </c>
      <c r="C1172" s="1" t="n">
        <v>45807</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73684-2021</t>
        </is>
      </c>
      <c r="B1173" s="1" t="n">
        <v>44551</v>
      </c>
      <c r="C1173" s="1" t="n">
        <v>45807</v>
      </c>
      <c r="D1173" t="inlineStr">
        <is>
          <t>VÄSTERBOTTENS LÄN</t>
        </is>
      </c>
      <c r="E1173" t="inlineStr">
        <is>
          <t>SKELLEFTEÅ</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73833-2021</t>
        </is>
      </c>
      <c r="B1174" s="1" t="n">
        <v>44552</v>
      </c>
      <c r="C1174" s="1" t="n">
        <v>45807</v>
      </c>
      <c r="D1174" t="inlineStr">
        <is>
          <t>VÄSTERBOTTENS LÄN</t>
        </is>
      </c>
      <c r="E1174" t="inlineStr">
        <is>
          <t>SKELLEFTEÅ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73956-2021</t>
        </is>
      </c>
      <c r="B1175" s="1" t="n">
        <v>44553</v>
      </c>
      <c r="C1175" s="1" t="n">
        <v>45807</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73957-2021</t>
        </is>
      </c>
      <c r="B1176" s="1" t="n">
        <v>44553</v>
      </c>
      <c r="C1176" s="1" t="n">
        <v>45807</v>
      </c>
      <c r="D1176" t="inlineStr">
        <is>
          <t>VÄSTERBOTTENS LÄN</t>
        </is>
      </c>
      <c r="E1176" t="inlineStr">
        <is>
          <t>SKELLEFTEÅ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73950-2021</t>
        </is>
      </c>
      <c r="B1177" s="1" t="n">
        <v>44553</v>
      </c>
      <c r="C1177" s="1" t="n">
        <v>45807</v>
      </c>
      <c r="D1177" t="inlineStr">
        <is>
          <t>VÄSTERBOTTENS LÄN</t>
        </is>
      </c>
      <c r="E1177" t="inlineStr">
        <is>
          <t>SKELLEFTEÅ</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73985-2021</t>
        </is>
      </c>
      <c r="B1178" s="1" t="n">
        <v>44555</v>
      </c>
      <c r="C1178" s="1" t="n">
        <v>45807</v>
      </c>
      <c r="D1178" t="inlineStr">
        <is>
          <t>VÄSTERBOTTENS LÄN</t>
        </is>
      </c>
      <c r="E1178" t="inlineStr">
        <is>
          <t>SKELLEFTEÅ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74077-2021</t>
        </is>
      </c>
      <c r="B1179" s="1" t="n">
        <v>44557</v>
      </c>
      <c r="C1179" s="1" t="n">
        <v>45807</v>
      </c>
      <c r="D1179" t="inlineStr">
        <is>
          <t>VÄSTERBOTTENS LÄN</t>
        </is>
      </c>
      <c r="E1179" t="inlineStr">
        <is>
          <t>SKELLEFTEÅ</t>
        </is>
      </c>
      <c r="F1179" t="inlineStr">
        <is>
          <t>Holmen skog AB</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74205-2021</t>
        </is>
      </c>
      <c r="B1180" s="1" t="n">
        <v>44558</v>
      </c>
      <c r="C1180" s="1" t="n">
        <v>45807</v>
      </c>
      <c r="D1180" t="inlineStr">
        <is>
          <t>VÄSTERBOTTENS LÄN</t>
        </is>
      </c>
      <c r="E1180" t="inlineStr">
        <is>
          <t>SKELLEFTEÅ</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528-2022</t>
        </is>
      </c>
      <c r="B1181" s="1" t="n">
        <v>44566</v>
      </c>
      <c r="C1181" s="1" t="n">
        <v>45807</v>
      </c>
      <c r="D1181" t="inlineStr">
        <is>
          <t>VÄSTERBOTTENS LÄN</t>
        </is>
      </c>
      <c r="E1181" t="inlineStr">
        <is>
          <t>SKELLEFTEÅ</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808-2022</t>
        </is>
      </c>
      <c r="B1182" s="1" t="n">
        <v>44568</v>
      </c>
      <c r="C1182" s="1" t="n">
        <v>45807</v>
      </c>
      <c r="D1182" t="inlineStr">
        <is>
          <t>VÄSTERBOTTENS LÄN</t>
        </is>
      </c>
      <c r="E1182" t="inlineStr">
        <is>
          <t>SKELLEFTEÅ</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1626-2022</t>
        </is>
      </c>
      <c r="B1183" s="1" t="n">
        <v>44573</v>
      </c>
      <c r="C1183" s="1" t="n">
        <v>45807</v>
      </c>
      <c r="D1183" t="inlineStr">
        <is>
          <t>VÄSTERBOTTENS LÄN</t>
        </is>
      </c>
      <c r="E1183" t="inlineStr">
        <is>
          <t>SKELLEFTEÅ</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1750-2022</t>
        </is>
      </c>
      <c r="B1184" s="1" t="n">
        <v>44574</v>
      </c>
      <c r="C1184" s="1" t="n">
        <v>45807</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1834-2022</t>
        </is>
      </c>
      <c r="B1185" s="1" t="n">
        <v>44574</v>
      </c>
      <c r="C1185" s="1" t="n">
        <v>45807</v>
      </c>
      <c r="D1185" t="inlineStr">
        <is>
          <t>VÄSTERBOTTENS LÄN</t>
        </is>
      </c>
      <c r="E1185" t="inlineStr">
        <is>
          <t>SKELLEFTEÅ</t>
        </is>
      </c>
      <c r="G1185" t="n">
        <v>9.9</v>
      </c>
      <c r="H1185" t="n">
        <v>0</v>
      </c>
      <c r="I1185" t="n">
        <v>0</v>
      </c>
      <c r="J1185" t="n">
        <v>0</v>
      </c>
      <c r="K1185" t="n">
        <v>0</v>
      </c>
      <c r="L1185" t="n">
        <v>0</v>
      </c>
      <c r="M1185" t="n">
        <v>0</v>
      </c>
      <c r="N1185" t="n">
        <v>0</v>
      </c>
      <c r="O1185" t="n">
        <v>0</v>
      </c>
      <c r="P1185" t="n">
        <v>0</v>
      </c>
      <c r="Q1185" t="n">
        <v>0</v>
      </c>
      <c r="R1185" s="2" t="inlineStr"/>
    </row>
    <row r="1186" ht="15" customHeight="1">
      <c r="A1186" t="inlineStr">
        <is>
          <t>A 2486-2022</t>
        </is>
      </c>
      <c r="B1186" s="1" t="n">
        <v>44579</v>
      </c>
      <c r="C1186" s="1" t="n">
        <v>45807</v>
      </c>
      <c r="D1186" t="inlineStr">
        <is>
          <t>VÄSTERBOTTENS LÄN</t>
        </is>
      </c>
      <c r="E1186" t="inlineStr">
        <is>
          <t>SKELLEFTEÅ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2607-2022</t>
        </is>
      </c>
      <c r="B1187" s="1" t="n">
        <v>44580</v>
      </c>
      <c r="C1187" s="1" t="n">
        <v>45807</v>
      </c>
      <c r="D1187" t="inlineStr">
        <is>
          <t>VÄSTERBOTTENS LÄN</t>
        </is>
      </c>
      <c r="E1187" t="inlineStr">
        <is>
          <t>SKELLEFTEÅ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2813-2022</t>
        </is>
      </c>
      <c r="B1188" s="1" t="n">
        <v>44580</v>
      </c>
      <c r="C1188" s="1" t="n">
        <v>45807</v>
      </c>
      <c r="D1188" t="inlineStr">
        <is>
          <t>VÄSTERBOTTENS LÄN</t>
        </is>
      </c>
      <c r="E1188" t="inlineStr">
        <is>
          <t>SKELLEFTEÅ</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3006-2022</t>
        </is>
      </c>
      <c r="B1189" s="1" t="n">
        <v>44581</v>
      </c>
      <c r="C1189" s="1" t="n">
        <v>45807</v>
      </c>
      <c r="D1189" t="inlineStr">
        <is>
          <t>VÄSTERBOTTENS LÄN</t>
        </is>
      </c>
      <c r="E1189" t="inlineStr">
        <is>
          <t>SKELLEFTEÅ</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3009-2022</t>
        </is>
      </c>
      <c r="B1190" s="1" t="n">
        <v>44581</v>
      </c>
      <c r="C1190" s="1" t="n">
        <v>45807</v>
      </c>
      <c r="D1190" t="inlineStr">
        <is>
          <t>VÄSTERBOTTENS LÄN</t>
        </is>
      </c>
      <c r="E1190" t="inlineStr">
        <is>
          <t>SKELLEFTEÅ</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3268-2022</t>
        </is>
      </c>
      <c r="B1191" s="1" t="n">
        <v>44583</v>
      </c>
      <c r="C1191" s="1" t="n">
        <v>45807</v>
      </c>
      <c r="D1191" t="inlineStr">
        <is>
          <t>VÄSTERBOTTENS LÄN</t>
        </is>
      </c>
      <c r="E1191" t="inlineStr">
        <is>
          <t>SKELLEFTEÅ</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3265-2022</t>
        </is>
      </c>
      <c r="B1192" s="1" t="n">
        <v>44583</v>
      </c>
      <c r="C1192" s="1" t="n">
        <v>45807</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3266-2022</t>
        </is>
      </c>
      <c r="B1193" s="1" t="n">
        <v>44583</v>
      </c>
      <c r="C1193" s="1" t="n">
        <v>45807</v>
      </c>
      <c r="D1193" t="inlineStr">
        <is>
          <t>VÄSTERBOTTENS LÄN</t>
        </is>
      </c>
      <c r="E1193" t="inlineStr">
        <is>
          <t>SKELLEFTEÅ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3362-2022</t>
        </is>
      </c>
      <c r="B1194" s="1" t="n">
        <v>44585</v>
      </c>
      <c r="C1194" s="1" t="n">
        <v>45807</v>
      </c>
      <c r="D1194" t="inlineStr">
        <is>
          <t>VÄSTERBOTTENS LÄN</t>
        </is>
      </c>
      <c r="E1194" t="inlineStr">
        <is>
          <t>SKELLEFTEÅ</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3616-2022</t>
        </is>
      </c>
      <c r="B1195" s="1" t="n">
        <v>44586</v>
      </c>
      <c r="C1195" s="1" t="n">
        <v>45807</v>
      </c>
      <c r="D1195" t="inlineStr">
        <is>
          <t>VÄSTERBOTTENS LÄN</t>
        </is>
      </c>
      <c r="E1195" t="inlineStr">
        <is>
          <t>SKELLEFTEÅ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3600-2022</t>
        </is>
      </c>
      <c r="B1196" s="1" t="n">
        <v>44586</v>
      </c>
      <c r="C1196" s="1" t="n">
        <v>45807</v>
      </c>
      <c r="D1196" t="inlineStr">
        <is>
          <t>VÄSTERBOTTENS LÄN</t>
        </is>
      </c>
      <c r="E1196" t="inlineStr">
        <is>
          <t>SKELLEFTEÅ</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3876-2022</t>
        </is>
      </c>
      <c r="B1197" s="1" t="n">
        <v>44587</v>
      </c>
      <c r="C1197" s="1" t="n">
        <v>45807</v>
      </c>
      <c r="D1197" t="inlineStr">
        <is>
          <t>VÄSTERBOTTENS LÄN</t>
        </is>
      </c>
      <c r="E1197" t="inlineStr">
        <is>
          <t>SKELLEFTEÅ</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3924-2022</t>
        </is>
      </c>
      <c r="B1198" s="1" t="n">
        <v>44587</v>
      </c>
      <c r="C1198" s="1" t="n">
        <v>45807</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3882-2022</t>
        </is>
      </c>
      <c r="B1199" s="1" t="n">
        <v>44587</v>
      </c>
      <c r="C1199" s="1" t="n">
        <v>45807</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3944-2022</t>
        </is>
      </c>
      <c r="B1200" s="1" t="n">
        <v>44587</v>
      </c>
      <c r="C1200" s="1" t="n">
        <v>45807</v>
      </c>
      <c r="D1200" t="inlineStr">
        <is>
          <t>VÄSTERBOTTENS LÄN</t>
        </is>
      </c>
      <c r="E1200" t="inlineStr">
        <is>
          <t>SKELLEFTEÅ</t>
        </is>
      </c>
      <c r="F1200" t="inlineStr">
        <is>
          <t>Kommuner</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3987-2022</t>
        </is>
      </c>
      <c r="B1201" s="1" t="n">
        <v>44587</v>
      </c>
      <c r="C1201" s="1" t="n">
        <v>45807</v>
      </c>
      <c r="D1201" t="inlineStr">
        <is>
          <t>VÄSTERBOTTENS LÄN</t>
        </is>
      </c>
      <c r="E1201" t="inlineStr">
        <is>
          <t>SKELLEFTEÅ</t>
        </is>
      </c>
      <c r="F1201" t="inlineStr">
        <is>
          <t>Sveaskog</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4008-2022</t>
        </is>
      </c>
      <c r="B1202" s="1" t="n">
        <v>44587</v>
      </c>
      <c r="C1202" s="1" t="n">
        <v>45807</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3963-2022</t>
        </is>
      </c>
      <c r="B1203" s="1" t="n">
        <v>44587</v>
      </c>
      <c r="C1203" s="1" t="n">
        <v>45807</v>
      </c>
      <c r="D1203" t="inlineStr">
        <is>
          <t>VÄSTERBOTTENS LÄN</t>
        </is>
      </c>
      <c r="E1203" t="inlineStr">
        <is>
          <t>SKELLEFTEÅ</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4005-2022</t>
        </is>
      </c>
      <c r="B1204" s="1" t="n">
        <v>44587</v>
      </c>
      <c r="C1204" s="1" t="n">
        <v>45807</v>
      </c>
      <c r="D1204" t="inlineStr">
        <is>
          <t>VÄSTERBOTTENS LÄN</t>
        </is>
      </c>
      <c r="E1204" t="inlineStr">
        <is>
          <t>SKELLEFTEÅ</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4603-2022</t>
        </is>
      </c>
      <c r="B1205" s="1" t="n">
        <v>44592</v>
      </c>
      <c r="C1205" s="1" t="n">
        <v>45807</v>
      </c>
      <c r="D1205" t="inlineStr">
        <is>
          <t>VÄSTERBOTTENS LÄN</t>
        </is>
      </c>
      <c r="E1205" t="inlineStr">
        <is>
          <t>SKELLEFTEÅ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4653-2022</t>
        </is>
      </c>
      <c r="B1206" s="1" t="n">
        <v>44592</v>
      </c>
      <c r="C1206" s="1" t="n">
        <v>45807</v>
      </c>
      <c r="D1206" t="inlineStr">
        <is>
          <t>VÄSTERBOTTENS LÄN</t>
        </is>
      </c>
      <c r="E1206" t="inlineStr">
        <is>
          <t>SKELLEFTEÅ</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4762-2022</t>
        </is>
      </c>
      <c r="B1207" s="1" t="n">
        <v>44592</v>
      </c>
      <c r="C1207" s="1" t="n">
        <v>45807</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4844-2022</t>
        </is>
      </c>
      <c r="B1208" s="1" t="n">
        <v>44592</v>
      </c>
      <c r="C1208" s="1" t="n">
        <v>45807</v>
      </c>
      <c r="D1208" t="inlineStr">
        <is>
          <t>VÄSTERBOTTENS LÄN</t>
        </is>
      </c>
      <c r="E1208" t="inlineStr">
        <is>
          <t>SKELLEFTEÅ</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4791-2022</t>
        </is>
      </c>
      <c r="B1209" s="1" t="n">
        <v>44592</v>
      </c>
      <c r="C1209" s="1" t="n">
        <v>45807</v>
      </c>
      <c r="D1209" t="inlineStr">
        <is>
          <t>VÄSTERBOTTENS LÄN</t>
        </is>
      </c>
      <c r="E1209" t="inlineStr">
        <is>
          <t>SKELLEFTEÅ</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5817-2022</t>
        </is>
      </c>
      <c r="B1210" s="1" t="n">
        <v>44596</v>
      </c>
      <c r="C1210" s="1" t="n">
        <v>45807</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5826-2022</t>
        </is>
      </c>
      <c r="B1211" s="1" t="n">
        <v>44596</v>
      </c>
      <c r="C1211" s="1" t="n">
        <v>45807</v>
      </c>
      <c r="D1211" t="inlineStr">
        <is>
          <t>VÄSTERBOTTENS LÄN</t>
        </is>
      </c>
      <c r="E1211" t="inlineStr">
        <is>
          <t>SKELLEFTEÅ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5828-2022</t>
        </is>
      </c>
      <c r="B1212" s="1" t="n">
        <v>44596</v>
      </c>
      <c r="C1212" s="1" t="n">
        <v>45807</v>
      </c>
      <c r="D1212" t="inlineStr">
        <is>
          <t>VÄSTERBOTTENS LÄN</t>
        </is>
      </c>
      <c r="E1212" t="inlineStr">
        <is>
          <t>SKELLEFTEÅ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5972-2022</t>
        </is>
      </c>
      <c r="B1213" s="1" t="n">
        <v>44599</v>
      </c>
      <c r="C1213" s="1" t="n">
        <v>45807</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6635-2022</t>
        </is>
      </c>
      <c r="B1214" s="1" t="n">
        <v>44601</v>
      </c>
      <c r="C1214" s="1" t="n">
        <v>45807</v>
      </c>
      <c r="D1214" t="inlineStr">
        <is>
          <t>VÄSTERBOTTENS LÄN</t>
        </is>
      </c>
      <c r="E1214" t="inlineStr">
        <is>
          <t>SKELLEFTEÅ</t>
        </is>
      </c>
      <c r="G1214" t="n">
        <v>10.5</v>
      </c>
      <c r="H1214" t="n">
        <v>0</v>
      </c>
      <c r="I1214" t="n">
        <v>0</v>
      </c>
      <c r="J1214" t="n">
        <v>0</v>
      </c>
      <c r="K1214" t="n">
        <v>0</v>
      </c>
      <c r="L1214" t="n">
        <v>0</v>
      </c>
      <c r="M1214" t="n">
        <v>0</v>
      </c>
      <c r="N1214" t="n">
        <v>0</v>
      </c>
      <c r="O1214" t="n">
        <v>0</v>
      </c>
      <c r="P1214" t="n">
        <v>0</v>
      </c>
      <c r="Q1214" t="n">
        <v>0</v>
      </c>
      <c r="R1214" s="2" t="inlineStr"/>
    </row>
    <row r="1215" ht="15" customHeight="1">
      <c r="A1215" t="inlineStr">
        <is>
          <t>A 6666-2022</t>
        </is>
      </c>
      <c r="B1215" s="1" t="n">
        <v>44602</v>
      </c>
      <c r="C1215" s="1" t="n">
        <v>45807</v>
      </c>
      <c r="D1215" t="inlineStr">
        <is>
          <t>VÄSTERBOTTENS LÄN</t>
        </is>
      </c>
      <c r="E1215" t="inlineStr">
        <is>
          <t>SKELLEFTEÅ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6837-2022</t>
        </is>
      </c>
      <c r="B1216" s="1" t="n">
        <v>44602</v>
      </c>
      <c r="C1216" s="1" t="n">
        <v>45807</v>
      </c>
      <c r="D1216" t="inlineStr">
        <is>
          <t>VÄSTERBOTTENS LÄN</t>
        </is>
      </c>
      <c r="E1216" t="inlineStr">
        <is>
          <t>SKELLEFTEÅ</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6834-2022</t>
        </is>
      </c>
      <c r="B1217" s="1" t="n">
        <v>44602</v>
      </c>
      <c r="C1217" s="1" t="n">
        <v>45807</v>
      </c>
      <c r="D1217" t="inlineStr">
        <is>
          <t>VÄSTERBOTTENS LÄN</t>
        </is>
      </c>
      <c r="E1217" t="inlineStr">
        <is>
          <t>SKELLEFTEÅ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7006-2022</t>
        </is>
      </c>
      <c r="B1218" s="1" t="n">
        <v>44602</v>
      </c>
      <c r="C1218" s="1" t="n">
        <v>45807</v>
      </c>
      <c r="D1218" t="inlineStr">
        <is>
          <t>VÄSTERBOTTENS LÄN</t>
        </is>
      </c>
      <c r="E1218" t="inlineStr">
        <is>
          <t>SKELLEFTEÅ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7052-2022</t>
        </is>
      </c>
      <c r="B1219" s="1" t="n">
        <v>44603</v>
      </c>
      <c r="C1219" s="1" t="n">
        <v>45807</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7127-2022</t>
        </is>
      </c>
      <c r="B1220" s="1" t="n">
        <v>44603</v>
      </c>
      <c r="C1220" s="1" t="n">
        <v>45807</v>
      </c>
      <c r="D1220" t="inlineStr">
        <is>
          <t>VÄSTERBOTTENS LÄN</t>
        </is>
      </c>
      <c r="E1220" t="inlineStr">
        <is>
          <t>SKELLEFTEÅ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7462-2022</t>
        </is>
      </c>
      <c r="B1221" s="1" t="n">
        <v>44606</v>
      </c>
      <c r="C1221" s="1" t="n">
        <v>45807</v>
      </c>
      <c r="D1221" t="inlineStr">
        <is>
          <t>VÄSTERBOTTENS LÄN</t>
        </is>
      </c>
      <c r="E1221" t="inlineStr">
        <is>
          <t>SKELLEFTEÅ</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7495-2022</t>
        </is>
      </c>
      <c r="B1222" s="1" t="n">
        <v>44607</v>
      </c>
      <c r="C1222" s="1" t="n">
        <v>45807</v>
      </c>
      <c r="D1222" t="inlineStr">
        <is>
          <t>VÄSTERBOTTENS LÄN</t>
        </is>
      </c>
      <c r="E1222" t="inlineStr">
        <is>
          <t>SKELLEFTEÅ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7518-2022</t>
        </is>
      </c>
      <c r="B1223" s="1" t="n">
        <v>44607</v>
      </c>
      <c r="C1223" s="1" t="n">
        <v>45807</v>
      </c>
      <c r="D1223" t="inlineStr">
        <is>
          <t>VÄSTERBOTTENS LÄN</t>
        </is>
      </c>
      <c r="E1223" t="inlineStr">
        <is>
          <t>SKELLEFTEÅ</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7579-2022</t>
        </is>
      </c>
      <c r="B1224" s="1" t="n">
        <v>44607</v>
      </c>
      <c r="C1224" s="1" t="n">
        <v>45807</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8023-2022</t>
        </is>
      </c>
      <c r="B1225" s="1" t="n">
        <v>44609</v>
      </c>
      <c r="C1225" s="1" t="n">
        <v>45807</v>
      </c>
      <c r="D1225" t="inlineStr">
        <is>
          <t>VÄSTERBOTTENS LÄN</t>
        </is>
      </c>
      <c r="E1225" t="inlineStr">
        <is>
          <t>SKELLEFTEÅ</t>
        </is>
      </c>
      <c r="F1225" t="inlineStr">
        <is>
          <t>Kyrkan</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8203-2022</t>
        </is>
      </c>
      <c r="B1226" s="1" t="n">
        <v>44609</v>
      </c>
      <c r="C1226" s="1" t="n">
        <v>45807</v>
      </c>
      <c r="D1226" t="inlineStr">
        <is>
          <t>VÄSTERBOTTENS LÄN</t>
        </is>
      </c>
      <c r="E1226" t="inlineStr">
        <is>
          <t>SKELLEFTEÅ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8456-2022</t>
        </is>
      </c>
      <c r="B1227" s="1" t="n">
        <v>44612</v>
      </c>
      <c r="C1227" s="1" t="n">
        <v>45807</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8436-2022</t>
        </is>
      </c>
      <c r="B1228" s="1" t="n">
        <v>44612</v>
      </c>
      <c r="C1228" s="1" t="n">
        <v>45807</v>
      </c>
      <c r="D1228" t="inlineStr">
        <is>
          <t>VÄSTERBOTTENS LÄN</t>
        </is>
      </c>
      <c r="E1228" t="inlineStr">
        <is>
          <t>SKELLEFTEÅ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8600-2022</t>
        </is>
      </c>
      <c r="B1229" s="1" t="n">
        <v>44613</v>
      </c>
      <c r="C1229" s="1" t="n">
        <v>45807</v>
      </c>
      <c r="D1229" t="inlineStr">
        <is>
          <t>VÄSTERBOTTENS LÄN</t>
        </is>
      </c>
      <c r="E1229" t="inlineStr">
        <is>
          <t>SKELLEFTEÅ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8603-2022</t>
        </is>
      </c>
      <c r="B1230" s="1" t="n">
        <v>44613</v>
      </c>
      <c r="C1230" s="1" t="n">
        <v>45807</v>
      </c>
      <c r="D1230" t="inlineStr">
        <is>
          <t>VÄSTERBOTTENS LÄN</t>
        </is>
      </c>
      <c r="E1230" t="inlineStr">
        <is>
          <t>SKELLEFTEÅ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8598-2022</t>
        </is>
      </c>
      <c r="B1231" s="1" t="n">
        <v>44613</v>
      </c>
      <c r="C1231" s="1" t="n">
        <v>45807</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8595-2022</t>
        </is>
      </c>
      <c r="B1232" s="1" t="n">
        <v>44613</v>
      </c>
      <c r="C1232" s="1" t="n">
        <v>45807</v>
      </c>
      <c r="D1232" t="inlineStr">
        <is>
          <t>VÄSTERBOTTENS LÄN</t>
        </is>
      </c>
      <c r="E1232" t="inlineStr">
        <is>
          <t>SKELLEFTEÅ</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8539-2022</t>
        </is>
      </c>
      <c r="B1233" s="1" t="n">
        <v>44613</v>
      </c>
      <c r="C1233" s="1" t="n">
        <v>45807</v>
      </c>
      <c r="D1233" t="inlineStr">
        <is>
          <t>VÄSTERBOTTENS LÄN</t>
        </is>
      </c>
      <c r="E1233" t="inlineStr">
        <is>
          <t>SKELLEFTEÅ</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9053-2022</t>
        </is>
      </c>
      <c r="B1234" s="1" t="n">
        <v>44615</v>
      </c>
      <c r="C1234" s="1" t="n">
        <v>45807</v>
      </c>
      <c r="D1234" t="inlineStr">
        <is>
          <t>VÄSTERBOTTENS LÄN</t>
        </is>
      </c>
      <c r="E1234" t="inlineStr">
        <is>
          <t>SKELLEFTEÅ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9500-2022</t>
        </is>
      </c>
      <c r="B1235" s="1" t="n">
        <v>44616</v>
      </c>
      <c r="C1235" s="1" t="n">
        <v>45807</v>
      </c>
      <c r="D1235" t="inlineStr">
        <is>
          <t>VÄSTERBOTTENS LÄN</t>
        </is>
      </c>
      <c r="E1235" t="inlineStr">
        <is>
          <t>SKELLEFTEÅ</t>
        </is>
      </c>
      <c r="F1235" t="inlineStr">
        <is>
          <t>SCA</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9579-2022</t>
        </is>
      </c>
      <c r="B1236" s="1" t="n">
        <v>44617</v>
      </c>
      <c r="C1236" s="1" t="n">
        <v>45807</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9925-2022</t>
        </is>
      </c>
      <c r="B1237" s="1" t="n">
        <v>44620</v>
      </c>
      <c r="C1237" s="1" t="n">
        <v>45807</v>
      </c>
      <c r="D1237" t="inlineStr">
        <is>
          <t>VÄSTERBOTTENS LÄN</t>
        </is>
      </c>
      <c r="E1237" t="inlineStr">
        <is>
          <t>SKELLEFTEÅ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9950-2022</t>
        </is>
      </c>
      <c r="B1238" s="1" t="n">
        <v>44620</v>
      </c>
      <c r="C1238" s="1" t="n">
        <v>45807</v>
      </c>
      <c r="D1238" t="inlineStr">
        <is>
          <t>VÄSTERBOTTENS LÄN</t>
        </is>
      </c>
      <c r="E1238" t="inlineStr">
        <is>
          <t>SKELLEFTEÅ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10132-2022</t>
        </is>
      </c>
      <c r="B1239" s="1" t="n">
        <v>44621</v>
      </c>
      <c r="C1239" s="1" t="n">
        <v>45807</v>
      </c>
      <c r="D1239" t="inlineStr">
        <is>
          <t>VÄSTERBOTTENS LÄN</t>
        </is>
      </c>
      <c r="E1239" t="inlineStr">
        <is>
          <t>SKELLEFTEÅ</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10578-2022</t>
        </is>
      </c>
      <c r="B1240" s="1" t="n">
        <v>44624</v>
      </c>
      <c r="C1240" s="1" t="n">
        <v>45807</v>
      </c>
      <c r="D1240" t="inlineStr">
        <is>
          <t>VÄSTERBOTTENS LÄN</t>
        </is>
      </c>
      <c r="E1240" t="inlineStr">
        <is>
          <t>SKELLEFTEÅ</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10568-2022</t>
        </is>
      </c>
      <c r="B1241" s="1" t="n">
        <v>44624</v>
      </c>
      <c r="C1241" s="1" t="n">
        <v>45807</v>
      </c>
      <c r="D1241" t="inlineStr">
        <is>
          <t>VÄSTERBOTTENS LÄN</t>
        </is>
      </c>
      <c r="E1241" t="inlineStr">
        <is>
          <t>SKELLEFTEÅ</t>
        </is>
      </c>
      <c r="F1241" t="inlineStr">
        <is>
          <t>Holmen skog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10723-2022</t>
        </is>
      </c>
      <c r="B1242" s="1" t="n">
        <v>44624</v>
      </c>
      <c r="C1242" s="1" t="n">
        <v>45807</v>
      </c>
      <c r="D1242" t="inlineStr">
        <is>
          <t>VÄSTERBOTTENS LÄN</t>
        </is>
      </c>
      <c r="E1242" t="inlineStr">
        <is>
          <t>SKELLEFTEÅ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11226-2022</t>
        </is>
      </c>
      <c r="B1243" s="1" t="n">
        <v>44624</v>
      </c>
      <c r="C1243" s="1" t="n">
        <v>45807</v>
      </c>
      <c r="D1243" t="inlineStr">
        <is>
          <t>VÄSTERBOTTENS LÄN</t>
        </is>
      </c>
      <c r="E1243" t="inlineStr">
        <is>
          <t>SKELLEFTEÅ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11260-2022</t>
        </is>
      </c>
      <c r="B1244" s="1" t="n">
        <v>44629</v>
      </c>
      <c r="C1244" s="1" t="n">
        <v>45807</v>
      </c>
      <c r="D1244" t="inlineStr">
        <is>
          <t>VÄSTERBOTTENS LÄN</t>
        </is>
      </c>
      <c r="E1244" t="inlineStr">
        <is>
          <t>SKELLEFTEÅ</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11468-2022</t>
        </is>
      </c>
      <c r="B1245" s="1" t="n">
        <v>44630</v>
      </c>
      <c r="C1245" s="1" t="n">
        <v>45807</v>
      </c>
      <c r="D1245" t="inlineStr">
        <is>
          <t>VÄSTERBOTTENS LÄN</t>
        </is>
      </c>
      <c r="E1245" t="inlineStr">
        <is>
          <t>SKELLEFTEÅ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11685-2022</t>
        </is>
      </c>
      <c r="B1246" s="1" t="n">
        <v>44634</v>
      </c>
      <c r="C1246" s="1" t="n">
        <v>45807</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11790-2022</t>
        </is>
      </c>
      <c r="B1247" s="1" t="n">
        <v>44634</v>
      </c>
      <c r="C1247" s="1" t="n">
        <v>45807</v>
      </c>
      <c r="D1247" t="inlineStr">
        <is>
          <t>VÄSTERBOTTENS LÄN</t>
        </is>
      </c>
      <c r="E1247" t="inlineStr">
        <is>
          <t>SKELLEFTEÅ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11879-2022</t>
        </is>
      </c>
      <c r="B1248" s="1" t="n">
        <v>44635</v>
      </c>
      <c r="C1248" s="1" t="n">
        <v>45807</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12009-2022</t>
        </is>
      </c>
      <c r="B1249" s="1" t="n">
        <v>44635</v>
      </c>
      <c r="C1249" s="1" t="n">
        <v>45807</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12326-2022</t>
        </is>
      </c>
      <c r="B1250" s="1" t="n">
        <v>44637</v>
      </c>
      <c r="C1250" s="1" t="n">
        <v>45807</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12512-2022</t>
        </is>
      </c>
      <c r="B1251" s="1" t="n">
        <v>44638</v>
      </c>
      <c r="C1251" s="1" t="n">
        <v>45807</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12518-2022</t>
        </is>
      </c>
      <c r="B1252" s="1" t="n">
        <v>44638</v>
      </c>
      <c r="C1252" s="1" t="n">
        <v>45807</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12529-2022</t>
        </is>
      </c>
      <c r="B1253" s="1" t="n">
        <v>44638</v>
      </c>
      <c r="C1253" s="1" t="n">
        <v>45807</v>
      </c>
      <c r="D1253" t="inlineStr">
        <is>
          <t>VÄSTERBOTTENS LÄN</t>
        </is>
      </c>
      <c r="E1253" t="inlineStr">
        <is>
          <t>SKELLEFTEÅ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12516-2022</t>
        </is>
      </c>
      <c r="B1254" s="1" t="n">
        <v>44638</v>
      </c>
      <c r="C1254" s="1" t="n">
        <v>45807</v>
      </c>
      <c r="D1254" t="inlineStr">
        <is>
          <t>VÄSTERBOTTENS LÄN</t>
        </is>
      </c>
      <c r="E1254" t="inlineStr">
        <is>
          <t>SKELLEFTEÅ</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12511-2022</t>
        </is>
      </c>
      <c r="B1255" s="1" t="n">
        <v>44638</v>
      </c>
      <c r="C1255" s="1" t="n">
        <v>45807</v>
      </c>
      <c r="D1255" t="inlineStr">
        <is>
          <t>VÄSTERBOTTENS LÄN</t>
        </is>
      </c>
      <c r="E1255" t="inlineStr">
        <is>
          <t>SKELLEFTEÅ</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12509-2022</t>
        </is>
      </c>
      <c r="B1256" s="1" t="n">
        <v>44638</v>
      </c>
      <c r="C1256" s="1" t="n">
        <v>45807</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12715-2022</t>
        </is>
      </c>
      <c r="B1257" s="1" t="n">
        <v>44641</v>
      </c>
      <c r="C1257" s="1" t="n">
        <v>45807</v>
      </c>
      <c r="D1257" t="inlineStr">
        <is>
          <t>VÄSTERBOTTENS LÄN</t>
        </is>
      </c>
      <c r="E1257" t="inlineStr">
        <is>
          <t>SKELLEFTEÅ</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13131-2022</t>
        </is>
      </c>
      <c r="B1258" s="1" t="n">
        <v>44644</v>
      </c>
      <c r="C1258" s="1" t="n">
        <v>45807</v>
      </c>
      <c r="D1258" t="inlineStr">
        <is>
          <t>VÄSTERBOTTENS LÄN</t>
        </is>
      </c>
      <c r="E1258" t="inlineStr">
        <is>
          <t>SKELLEFTEÅ</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13430-2022</t>
        </is>
      </c>
      <c r="B1259" s="1" t="n">
        <v>44645</v>
      </c>
      <c r="C1259" s="1" t="n">
        <v>45807</v>
      </c>
      <c r="D1259" t="inlineStr">
        <is>
          <t>VÄSTERBOTTENS LÄN</t>
        </is>
      </c>
      <c r="E1259" t="inlineStr">
        <is>
          <t>SKELLEFTEÅ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13391-2022</t>
        </is>
      </c>
      <c r="B1260" s="1" t="n">
        <v>44645</v>
      </c>
      <c r="C1260" s="1" t="n">
        <v>45807</v>
      </c>
      <c r="D1260" t="inlineStr">
        <is>
          <t>VÄSTERBOTTENS LÄN</t>
        </is>
      </c>
      <c r="E1260" t="inlineStr">
        <is>
          <t>SKELLEFTEÅ</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13530-2022</t>
        </is>
      </c>
      <c r="B1261" s="1" t="n">
        <v>44648</v>
      </c>
      <c r="C1261" s="1" t="n">
        <v>45807</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13693-2022</t>
        </is>
      </c>
      <c r="B1262" s="1" t="n">
        <v>44648</v>
      </c>
      <c r="C1262" s="1" t="n">
        <v>45807</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14088-2022</t>
        </is>
      </c>
      <c r="B1263" s="1" t="n">
        <v>44650</v>
      </c>
      <c r="C1263" s="1" t="n">
        <v>45807</v>
      </c>
      <c r="D1263" t="inlineStr">
        <is>
          <t>VÄSTERBOTTENS LÄN</t>
        </is>
      </c>
      <c r="E1263" t="inlineStr">
        <is>
          <t>SKELLEFTEÅ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14096-2022</t>
        </is>
      </c>
      <c r="B1264" s="1" t="n">
        <v>44651</v>
      </c>
      <c r="C1264" s="1" t="n">
        <v>45807</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14627-2022</t>
        </is>
      </c>
      <c r="B1265" s="1" t="n">
        <v>44655</v>
      </c>
      <c r="C1265" s="1" t="n">
        <v>45807</v>
      </c>
      <c r="D1265" t="inlineStr">
        <is>
          <t>VÄSTERBOTTENS LÄN</t>
        </is>
      </c>
      <c r="E1265" t="inlineStr">
        <is>
          <t>SKELLEFTEÅ</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14759-2022</t>
        </is>
      </c>
      <c r="B1266" s="1" t="n">
        <v>44656</v>
      </c>
      <c r="C1266" s="1" t="n">
        <v>45807</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14756-2022</t>
        </is>
      </c>
      <c r="B1267" s="1" t="n">
        <v>44656</v>
      </c>
      <c r="C1267" s="1" t="n">
        <v>45807</v>
      </c>
      <c r="D1267" t="inlineStr">
        <is>
          <t>VÄSTERBOTTENS LÄN</t>
        </is>
      </c>
      <c r="E1267" t="inlineStr">
        <is>
          <t>SKELLEFTEÅ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14952-2022</t>
        </is>
      </c>
      <c r="B1268" s="1" t="n">
        <v>44657</v>
      </c>
      <c r="C1268" s="1" t="n">
        <v>45807</v>
      </c>
      <c r="D1268" t="inlineStr">
        <is>
          <t>VÄSTERBOTTENS LÄN</t>
        </is>
      </c>
      <c r="E1268" t="inlineStr">
        <is>
          <t>SKELLEFTEÅ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15441-2022</t>
        </is>
      </c>
      <c r="B1269" s="1" t="n">
        <v>44659</v>
      </c>
      <c r="C1269" s="1" t="n">
        <v>45807</v>
      </c>
      <c r="D1269" t="inlineStr">
        <is>
          <t>VÄSTERBOTTENS LÄN</t>
        </is>
      </c>
      <c r="E1269" t="inlineStr">
        <is>
          <t>SKELLEFTEÅ</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15740-2022</t>
        </is>
      </c>
      <c r="B1270" s="1" t="n">
        <v>44663</v>
      </c>
      <c r="C1270" s="1" t="n">
        <v>45807</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16139-2022</t>
        </is>
      </c>
      <c r="B1271" s="1" t="n">
        <v>44665</v>
      </c>
      <c r="C1271" s="1" t="n">
        <v>45807</v>
      </c>
      <c r="D1271" t="inlineStr">
        <is>
          <t>VÄSTERBOTTENS LÄN</t>
        </is>
      </c>
      <c r="E1271" t="inlineStr">
        <is>
          <t>SKELLEFTEÅ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16198-2022</t>
        </is>
      </c>
      <c r="B1272" s="1" t="n">
        <v>44665</v>
      </c>
      <c r="C1272" s="1" t="n">
        <v>45807</v>
      </c>
      <c r="D1272" t="inlineStr">
        <is>
          <t>VÄSTERBOTTENS LÄN</t>
        </is>
      </c>
      <c r="E1272" t="inlineStr">
        <is>
          <t>SKELLEFTEÅ</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16653-2022</t>
        </is>
      </c>
      <c r="B1273" s="1" t="n">
        <v>44672</v>
      </c>
      <c r="C1273" s="1" t="n">
        <v>45807</v>
      </c>
      <c r="D1273" t="inlineStr">
        <is>
          <t>VÄSTERBOTTENS LÄN</t>
        </is>
      </c>
      <c r="E1273" t="inlineStr">
        <is>
          <t>SKELLEFTEÅ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16802-2022</t>
        </is>
      </c>
      <c r="B1274" s="1" t="n">
        <v>44673</v>
      </c>
      <c r="C1274" s="1" t="n">
        <v>45807</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16837-2022</t>
        </is>
      </c>
      <c r="B1275" s="1" t="n">
        <v>44674</v>
      </c>
      <c r="C1275" s="1" t="n">
        <v>45807</v>
      </c>
      <c r="D1275" t="inlineStr">
        <is>
          <t>VÄSTERBOTTENS LÄN</t>
        </is>
      </c>
      <c r="E1275" t="inlineStr">
        <is>
          <t>SKELLEFTEÅ</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16750-2022</t>
        </is>
      </c>
      <c r="B1276" s="1" t="n">
        <v>44673</v>
      </c>
      <c r="C1276" s="1" t="n">
        <v>45807</v>
      </c>
      <c r="D1276" t="inlineStr">
        <is>
          <t>VÄSTERBOTTENS LÄN</t>
        </is>
      </c>
      <c r="E1276" t="inlineStr">
        <is>
          <t>SKELLEFTEÅ</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16842-2022</t>
        </is>
      </c>
      <c r="B1277" s="1" t="n">
        <v>44674</v>
      </c>
      <c r="C1277" s="1" t="n">
        <v>45807</v>
      </c>
      <c r="D1277" t="inlineStr">
        <is>
          <t>VÄSTERBOTTENS LÄN</t>
        </is>
      </c>
      <c r="E1277" t="inlineStr">
        <is>
          <t>SKELLEFTEÅ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17197-2022</t>
        </is>
      </c>
      <c r="B1278" s="1" t="n">
        <v>44677</v>
      </c>
      <c r="C1278" s="1" t="n">
        <v>45807</v>
      </c>
      <c r="D1278" t="inlineStr">
        <is>
          <t>VÄSTERBOTTENS LÄN</t>
        </is>
      </c>
      <c r="E1278" t="inlineStr">
        <is>
          <t>SKELLEFTEÅ</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17257-2022</t>
        </is>
      </c>
      <c r="B1279" s="1" t="n">
        <v>44678</v>
      </c>
      <c r="C1279" s="1" t="n">
        <v>45807</v>
      </c>
      <c r="D1279" t="inlineStr">
        <is>
          <t>VÄSTERBOTTENS LÄN</t>
        </is>
      </c>
      <c r="E1279" t="inlineStr">
        <is>
          <t>SKELLEFTEÅ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17251-2022</t>
        </is>
      </c>
      <c r="B1280" s="1" t="n">
        <v>44678</v>
      </c>
      <c r="C1280" s="1" t="n">
        <v>45807</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18056-2022</t>
        </is>
      </c>
      <c r="B1281" s="1" t="n">
        <v>44684</v>
      </c>
      <c r="C1281" s="1" t="n">
        <v>45807</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18070-2022</t>
        </is>
      </c>
      <c r="B1282" s="1" t="n">
        <v>44684</v>
      </c>
      <c r="C1282" s="1" t="n">
        <v>45807</v>
      </c>
      <c r="D1282" t="inlineStr">
        <is>
          <t>VÄSTERBOTTENS LÄN</t>
        </is>
      </c>
      <c r="E1282" t="inlineStr">
        <is>
          <t>SKELLEFTEÅ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18046-2022</t>
        </is>
      </c>
      <c r="B1283" s="1" t="n">
        <v>44684</v>
      </c>
      <c r="C1283" s="1" t="n">
        <v>45807</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18081-2022</t>
        </is>
      </c>
      <c r="B1284" s="1" t="n">
        <v>44684</v>
      </c>
      <c r="C1284" s="1" t="n">
        <v>45807</v>
      </c>
      <c r="D1284" t="inlineStr">
        <is>
          <t>VÄSTERBOTTENS LÄN</t>
        </is>
      </c>
      <c r="E1284" t="inlineStr">
        <is>
          <t>SKELLEFTEÅ</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18255-2022</t>
        </is>
      </c>
      <c r="B1285" s="1" t="n">
        <v>44685</v>
      </c>
      <c r="C1285" s="1" t="n">
        <v>45807</v>
      </c>
      <c r="D1285" t="inlineStr">
        <is>
          <t>VÄSTERBOTTENS LÄN</t>
        </is>
      </c>
      <c r="E1285" t="inlineStr">
        <is>
          <t>SKELLEFTEÅ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18584-2022</t>
        </is>
      </c>
      <c r="B1286" s="1" t="n">
        <v>44687</v>
      </c>
      <c r="C1286" s="1" t="n">
        <v>45807</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18661-2022</t>
        </is>
      </c>
      <c r="B1287" s="1" t="n">
        <v>44687</v>
      </c>
      <c r="C1287" s="1" t="n">
        <v>45807</v>
      </c>
      <c r="D1287" t="inlineStr">
        <is>
          <t>VÄSTERBOTTENS LÄN</t>
        </is>
      </c>
      <c r="E1287" t="inlineStr">
        <is>
          <t>SKELLEFTEÅ</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19804-2022</t>
        </is>
      </c>
      <c r="B1288" s="1" t="n">
        <v>44694</v>
      </c>
      <c r="C1288" s="1" t="n">
        <v>45807</v>
      </c>
      <c r="D1288" t="inlineStr">
        <is>
          <t>VÄSTERBOTTENS LÄN</t>
        </is>
      </c>
      <c r="E1288" t="inlineStr">
        <is>
          <t>SKELLEFTEÅ</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19805-2022</t>
        </is>
      </c>
      <c r="B1289" s="1" t="n">
        <v>44694</v>
      </c>
      <c r="C1289" s="1" t="n">
        <v>45807</v>
      </c>
      <c r="D1289" t="inlineStr">
        <is>
          <t>VÄSTERBOTTENS LÄN</t>
        </is>
      </c>
      <c r="E1289" t="inlineStr">
        <is>
          <t>SKELLEFTEÅ</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19870-2022</t>
        </is>
      </c>
      <c r="B1290" s="1" t="n">
        <v>44694</v>
      </c>
      <c r="C1290" s="1" t="n">
        <v>45807</v>
      </c>
      <c r="D1290" t="inlineStr">
        <is>
          <t>VÄSTERBOTTENS LÄN</t>
        </is>
      </c>
      <c r="E1290" t="inlineStr">
        <is>
          <t>SKELLEFTEÅ</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20515-2022</t>
        </is>
      </c>
      <c r="B1291" s="1" t="n">
        <v>44699</v>
      </c>
      <c r="C1291" s="1" t="n">
        <v>45807</v>
      </c>
      <c r="D1291" t="inlineStr">
        <is>
          <t>VÄSTERBOTTENS LÄN</t>
        </is>
      </c>
      <c r="E1291" t="inlineStr">
        <is>
          <t>SKELLEFTEÅ</t>
        </is>
      </c>
      <c r="G1291" t="n">
        <v>21.5</v>
      </c>
      <c r="H1291" t="n">
        <v>0</v>
      </c>
      <c r="I1291" t="n">
        <v>0</v>
      </c>
      <c r="J1291" t="n">
        <v>0</v>
      </c>
      <c r="K1291" t="n">
        <v>0</v>
      </c>
      <c r="L1291" t="n">
        <v>0</v>
      </c>
      <c r="M1291" t="n">
        <v>0</v>
      </c>
      <c r="N1291" t="n">
        <v>0</v>
      </c>
      <c r="O1291" t="n">
        <v>0</v>
      </c>
      <c r="P1291" t="n">
        <v>0</v>
      </c>
      <c r="Q1291" t="n">
        <v>0</v>
      </c>
      <c r="R1291" s="2" t="inlineStr"/>
    </row>
    <row r="1292" ht="15" customHeight="1">
      <c r="A1292" t="inlineStr">
        <is>
          <t>A 20638-2022</t>
        </is>
      </c>
      <c r="B1292" s="1" t="n">
        <v>44700</v>
      </c>
      <c r="C1292" s="1" t="n">
        <v>45807</v>
      </c>
      <c r="D1292" t="inlineStr">
        <is>
          <t>VÄSTERBOTTENS LÄN</t>
        </is>
      </c>
      <c r="E1292" t="inlineStr">
        <is>
          <t>SKELLEFTEÅ</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20654-2022</t>
        </is>
      </c>
      <c r="B1293" s="1" t="n">
        <v>44700</v>
      </c>
      <c r="C1293" s="1" t="n">
        <v>45807</v>
      </c>
      <c r="D1293" t="inlineStr">
        <is>
          <t>VÄSTERBOTTENS LÄN</t>
        </is>
      </c>
      <c r="E1293" t="inlineStr">
        <is>
          <t>SKELLEFTEÅ</t>
        </is>
      </c>
      <c r="F1293" t="inlineStr">
        <is>
          <t>Holmen skog AB</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20610-2022</t>
        </is>
      </c>
      <c r="B1294" s="1" t="n">
        <v>44700</v>
      </c>
      <c r="C1294" s="1" t="n">
        <v>45807</v>
      </c>
      <c r="D1294" t="inlineStr">
        <is>
          <t>VÄSTERBOTTENS LÄN</t>
        </is>
      </c>
      <c r="E1294" t="inlineStr">
        <is>
          <t>SKELLEFTEÅ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21035-2022</t>
        </is>
      </c>
      <c r="B1295" s="1" t="n">
        <v>44704</v>
      </c>
      <c r="C1295" s="1" t="n">
        <v>45807</v>
      </c>
      <c r="D1295" t="inlineStr">
        <is>
          <t>VÄSTERBOTTENS LÄN</t>
        </is>
      </c>
      <c r="E1295" t="inlineStr">
        <is>
          <t>SKELLEFTEÅ</t>
        </is>
      </c>
      <c r="G1295" t="n">
        <v>26.9</v>
      </c>
      <c r="H1295" t="n">
        <v>0</v>
      </c>
      <c r="I1295" t="n">
        <v>0</v>
      </c>
      <c r="J1295" t="n">
        <v>0</v>
      </c>
      <c r="K1295" t="n">
        <v>0</v>
      </c>
      <c r="L1295" t="n">
        <v>0</v>
      </c>
      <c r="M1295" t="n">
        <v>0</v>
      </c>
      <c r="N1295" t="n">
        <v>0</v>
      </c>
      <c r="O1295" t="n">
        <v>0</v>
      </c>
      <c r="P1295" t="n">
        <v>0</v>
      </c>
      <c r="Q1295" t="n">
        <v>0</v>
      </c>
      <c r="R1295" s="2" t="inlineStr"/>
    </row>
    <row r="1296" ht="15" customHeight="1">
      <c r="A1296" t="inlineStr">
        <is>
          <t>A 21136-2022</t>
        </is>
      </c>
      <c r="B1296" s="1" t="n">
        <v>44704</v>
      </c>
      <c r="C1296" s="1" t="n">
        <v>45807</v>
      </c>
      <c r="D1296" t="inlineStr">
        <is>
          <t>VÄSTERBOTTENS LÄN</t>
        </is>
      </c>
      <c r="E1296" t="inlineStr">
        <is>
          <t>SKELLEFTEÅ</t>
        </is>
      </c>
      <c r="F1296" t="inlineStr">
        <is>
          <t>Holmen skog AB</t>
        </is>
      </c>
      <c r="G1296" t="n">
        <v>22.6</v>
      </c>
      <c r="H1296" t="n">
        <v>0</v>
      </c>
      <c r="I1296" t="n">
        <v>0</v>
      </c>
      <c r="J1296" t="n">
        <v>0</v>
      </c>
      <c r="K1296" t="n">
        <v>0</v>
      </c>
      <c r="L1296" t="n">
        <v>0</v>
      </c>
      <c r="M1296" t="n">
        <v>0</v>
      </c>
      <c r="N1296" t="n">
        <v>0</v>
      </c>
      <c r="O1296" t="n">
        <v>0</v>
      </c>
      <c r="P1296" t="n">
        <v>0</v>
      </c>
      <c r="Q1296" t="n">
        <v>0</v>
      </c>
      <c r="R1296" s="2" t="inlineStr"/>
    </row>
    <row r="1297" ht="15" customHeight="1">
      <c r="A1297" t="inlineStr">
        <is>
          <t>A 21395-2022</t>
        </is>
      </c>
      <c r="B1297" s="1" t="n">
        <v>44706</v>
      </c>
      <c r="C1297" s="1" t="n">
        <v>45807</v>
      </c>
      <c r="D1297" t="inlineStr">
        <is>
          <t>VÄSTERBOTTENS LÄN</t>
        </is>
      </c>
      <c r="E1297" t="inlineStr">
        <is>
          <t>SKELLEFTEÅ</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21539-2022</t>
        </is>
      </c>
      <c r="B1298" s="1" t="n">
        <v>44706</v>
      </c>
      <c r="C1298" s="1" t="n">
        <v>45807</v>
      </c>
      <c r="D1298" t="inlineStr">
        <is>
          <t>VÄSTERBOTTENS LÄN</t>
        </is>
      </c>
      <c r="E1298" t="inlineStr">
        <is>
          <t>SKELLEFTEÅ</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21843-2022</t>
        </is>
      </c>
      <c r="B1299" s="1" t="n">
        <v>44711</v>
      </c>
      <c r="C1299" s="1" t="n">
        <v>45807</v>
      </c>
      <c r="D1299" t="inlineStr">
        <is>
          <t>VÄSTERBOTTENS LÄN</t>
        </is>
      </c>
      <c r="E1299" t="inlineStr">
        <is>
          <t>SKELLEFTEÅ</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21882-2022</t>
        </is>
      </c>
      <c r="B1300" s="1" t="n">
        <v>44711</v>
      </c>
      <c r="C1300" s="1" t="n">
        <v>45807</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21883-2022</t>
        </is>
      </c>
      <c r="B1301" s="1" t="n">
        <v>44711</v>
      </c>
      <c r="C1301" s="1" t="n">
        <v>45807</v>
      </c>
      <c r="D1301" t="inlineStr">
        <is>
          <t>VÄSTERBOTTENS LÄN</t>
        </is>
      </c>
      <c r="E1301" t="inlineStr">
        <is>
          <t>SKELLEFTEÅ</t>
        </is>
      </c>
      <c r="F1301" t="inlineStr">
        <is>
          <t>Holmen skog AB</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21842-2022</t>
        </is>
      </c>
      <c r="B1302" s="1" t="n">
        <v>44711</v>
      </c>
      <c r="C1302" s="1" t="n">
        <v>45807</v>
      </c>
      <c r="D1302" t="inlineStr">
        <is>
          <t>VÄSTERBOTTENS LÄN</t>
        </is>
      </c>
      <c r="E1302" t="inlineStr">
        <is>
          <t>SKELLEFTEÅ</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21996-2022</t>
        </is>
      </c>
      <c r="B1303" s="1" t="n">
        <v>44711</v>
      </c>
      <c r="C1303" s="1" t="n">
        <v>45807</v>
      </c>
      <c r="D1303" t="inlineStr">
        <is>
          <t>VÄSTERBOTTENS LÄN</t>
        </is>
      </c>
      <c r="E1303" t="inlineStr">
        <is>
          <t>SKELLEFTEÅ</t>
        </is>
      </c>
      <c r="F1303" t="inlineStr">
        <is>
          <t>Holmen skog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22373-2022</t>
        </is>
      </c>
      <c r="B1304" s="1" t="n">
        <v>44713</v>
      </c>
      <c r="C1304" s="1" t="n">
        <v>45807</v>
      </c>
      <c r="D1304" t="inlineStr">
        <is>
          <t>VÄSTERBOTTENS LÄN</t>
        </is>
      </c>
      <c r="E1304" t="inlineStr">
        <is>
          <t>SKELLEFTEÅ</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22364-2022</t>
        </is>
      </c>
      <c r="B1305" s="1" t="n">
        <v>44713</v>
      </c>
      <c r="C1305" s="1" t="n">
        <v>45807</v>
      </c>
      <c r="D1305" t="inlineStr">
        <is>
          <t>VÄSTERBOTTENS LÄN</t>
        </is>
      </c>
      <c r="E1305" t="inlineStr">
        <is>
          <t>SKELLEFTEÅ</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22661-2022</t>
        </is>
      </c>
      <c r="B1306" s="1" t="n">
        <v>44714</v>
      </c>
      <c r="C1306" s="1" t="n">
        <v>45807</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22618-2022</t>
        </is>
      </c>
      <c r="B1307" s="1" t="n">
        <v>44714</v>
      </c>
      <c r="C1307" s="1" t="n">
        <v>45807</v>
      </c>
      <c r="D1307" t="inlineStr">
        <is>
          <t>VÄSTERBOTTENS LÄN</t>
        </is>
      </c>
      <c r="E1307" t="inlineStr">
        <is>
          <t>SKELLEFTEÅ</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22758-2022</t>
        </is>
      </c>
      <c r="B1308" s="1" t="n">
        <v>44714</v>
      </c>
      <c r="C1308" s="1" t="n">
        <v>45807</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22760-2022</t>
        </is>
      </c>
      <c r="B1309" s="1" t="n">
        <v>44714</v>
      </c>
      <c r="C1309" s="1" t="n">
        <v>45807</v>
      </c>
      <c r="D1309" t="inlineStr">
        <is>
          <t>VÄSTERBOTTENS LÄN</t>
        </is>
      </c>
      <c r="E1309" t="inlineStr">
        <is>
          <t>SKELLEFTEÅ</t>
        </is>
      </c>
      <c r="G1309" t="n">
        <v>12.2</v>
      </c>
      <c r="H1309" t="n">
        <v>0</v>
      </c>
      <c r="I1309" t="n">
        <v>0</v>
      </c>
      <c r="J1309" t="n">
        <v>0</v>
      </c>
      <c r="K1309" t="n">
        <v>0</v>
      </c>
      <c r="L1309" t="n">
        <v>0</v>
      </c>
      <c r="M1309" t="n">
        <v>0</v>
      </c>
      <c r="N1309" t="n">
        <v>0</v>
      </c>
      <c r="O1309" t="n">
        <v>0</v>
      </c>
      <c r="P1309" t="n">
        <v>0</v>
      </c>
      <c r="Q1309" t="n">
        <v>0</v>
      </c>
      <c r="R1309" s="2" t="inlineStr"/>
    </row>
    <row r="1310" ht="15" customHeight="1">
      <c r="A1310" t="inlineStr">
        <is>
          <t>A 22822-2022</t>
        </is>
      </c>
      <c r="B1310" s="1" t="n">
        <v>44714</v>
      </c>
      <c r="C1310" s="1" t="n">
        <v>45807</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22763-2022</t>
        </is>
      </c>
      <c r="B1311" s="1" t="n">
        <v>44715</v>
      </c>
      <c r="C1311" s="1" t="n">
        <v>45807</v>
      </c>
      <c r="D1311" t="inlineStr">
        <is>
          <t>VÄSTERBOTTENS LÄN</t>
        </is>
      </c>
      <c r="E1311" t="inlineStr">
        <is>
          <t>SKELLEFTEÅ</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22828-2022</t>
        </is>
      </c>
      <c r="B1312" s="1" t="n">
        <v>44714</v>
      </c>
      <c r="C1312" s="1" t="n">
        <v>45807</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22896-2022</t>
        </is>
      </c>
      <c r="B1313" s="1" t="n">
        <v>44715</v>
      </c>
      <c r="C1313" s="1" t="n">
        <v>45807</v>
      </c>
      <c r="D1313" t="inlineStr">
        <is>
          <t>VÄSTERBOTTENS LÄN</t>
        </is>
      </c>
      <c r="E1313" t="inlineStr">
        <is>
          <t>SKELLEFTEÅ</t>
        </is>
      </c>
      <c r="F1313" t="inlineStr">
        <is>
          <t>Holmen skog AB</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23042-2022</t>
        </is>
      </c>
      <c r="B1314" s="1" t="n">
        <v>44719</v>
      </c>
      <c r="C1314" s="1" t="n">
        <v>45807</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23046-2022</t>
        </is>
      </c>
      <c r="B1315" s="1" t="n">
        <v>44719</v>
      </c>
      <c r="C1315" s="1" t="n">
        <v>45807</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23513-2022</t>
        </is>
      </c>
      <c r="B1316" s="1" t="n">
        <v>44721</v>
      </c>
      <c r="C1316" s="1" t="n">
        <v>45807</v>
      </c>
      <c r="D1316" t="inlineStr">
        <is>
          <t>VÄSTERBOTTENS LÄN</t>
        </is>
      </c>
      <c r="E1316" t="inlineStr">
        <is>
          <t>SKELLEFTEÅ</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23715-2022</t>
        </is>
      </c>
      <c r="B1317" s="1" t="n">
        <v>44721</v>
      </c>
      <c r="C1317" s="1" t="n">
        <v>45807</v>
      </c>
      <c r="D1317" t="inlineStr">
        <is>
          <t>VÄSTERBOTTENS LÄN</t>
        </is>
      </c>
      <c r="E1317" t="inlineStr">
        <is>
          <t>SKELLEFTEÅ</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23729-2022</t>
        </is>
      </c>
      <c r="B1318" s="1" t="n">
        <v>44722</v>
      </c>
      <c r="C1318" s="1" t="n">
        <v>45807</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24238-2022</t>
        </is>
      </c>
      <c r="B1319" s="1" t="n">
        <v>44725</v>
      </c>
      <c r="C1319" s="1" t="n">
        <v>45807</v>
      </c>
      <c r="D1319" t="inlineStr">
        <is>
          <t>VÄSTERBOTTENS LÄN</t>
        </is>
      </c>
      <c r="E1319" t="inlineStr">
        <is>
          <t>SKELLEFTEÅ</t>
        </is>
      </c>
      <c r="F1319" t="inlineStr">
        <is>
          <t>Övriga Aktiebolag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24323-2022</t>
        </is>
      </c>
      <c r="B1320" s="1" t="n">
        <v>44725</v>
      </c>
      <c r="C1320" s="1" t="n">
        <v>45807</v>
      </c>
      <c r="D1320" t="inlineStr">
        <is>
          <t>VÄSTERBOTTENS LÄN</t>
        </is>
      </c>
      <c r="E1320" t="inlineStr">
        <is>
          <t>SKELLEFTEÅ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24242-2022</t>
        </is>
      </c>
      <c r="B1321" s="1" t="n">
        <v>44725</v>
      </c>
      <c r="C1321" s="1" t="n">
        <v>45807</v>
      </c>
      <c r="D1321" t="inlineStr">
        <is>
          <t>VÄSTERBOTTENS LÄN</t>
        </is>
      </c>
      <c r="E1321" t="inlineStr">
        <is>
          <t>SKELLEFTEÅ</t>
        </is>
      </c>
      <c r="F1321" t="inlineStr">
        <is>
          <t>Övriga Aktiebolag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24505-2022</t>
        </is>
      </c>
      <c r="B1322" s="1" t="n">
        <v>44727</v>
      </c>
      <c r="C1322" s="1" t="n">
        <v>45807</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24577-2022</t>
        </is>
      </c>
      <c r="B1323" s="1" t="n">
        <v>44727</v>
      </c>
      <c r="C1323" s="1" t="n">
        <v>45807</v>
      </c>
      <c r="D1323" t="inlineStr">
        <is>
          <t>VÄSTERBOTTENS LÄN</t>
        </is>
      </c>
      <c r="E1323" t="inlineStr">
        <is>
          <t>SKELLEFTEÅ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24583-2022</t>
        </is>
      </c>
      <c r="B1324" s="1" t="n">
        <v>44727</v>
      </c>
      <c r="C1324" s="1" t="n">
        <v>45807</v>
      </c>
      <c r="D1324" t="inlineStr">
        <is>
          <t>VÄSTERBOTTENS LÄN</t>
        </is>
      </c>
      <c r="E1324" t="inlineStr">
        <is>
          <t>SKELLEFTEÅ</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24663-2022</t>
        </is>
      </c>
      <c r="B1325" s="1" t="n">
        <v>44728</v>
      </c>
      <c r="C1325" s="1" t="n">
        <v>45807</v>
      </c>
      <c r="D1325" t="inlineStr">
        <is>
          <t>VÄSTERBOTTENS LÄN</t>
        </is>
      </c>
      <c r="E1325" t="inlineStr">
        <is>
          <t>SKELLEFTEÅ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24832-2022</t>
        </is>
      </c>
      <c r="B1326" s="1" t="n">
        <v>44728</v>
      </c>
      <c r="C1326" s="1" t="n">
        <v>45807</v>
      </c>
      <c r="D1326" t="inlineStr">
        <is>
          <t>VÄSTERBOTTENS LÄN</t>
        </is>
      </c>
      <c r="E1326" t="inlineStr">
        <is>
          <t>SKELLEFTEÅ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24899-2022</t>
        </is>
      </c>
      <c r="B1327" s="1" t="n">
        <v>44728</v>
      </c>
      <c r="C1327" s="1" t="n">
        <v>45807</v>
      </c>
      <c r="D1327" t="inlineStr">
        <is>
          <t>VÄSTERBOTTENS LÄN</t>
        </is>
      </c>
      <c r="E1327" t="inlineStr">
        <is>
          <t>SKELLEFTEÅ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24941-2022</t>
        </is>
      </c>
      <c r="B1328" s="1" t="n">
        <v>44728</v>
      </c>
      <c r="C1328" s="1" t="n">
        <v>45807</v>
      </c>
      <c r="D1328" t="inlineStr">
        <is>
          <t>VÄSTERBOTTENS LÄN</t>
        </is>
      </c>
      <c r="E1328" t="inlineStr">
        <is>
          <t>SKELLEFTEÅ</t>
        </is>
      </c>
      <c r="F1328" t="inlineStr">
        <is>
          <t>Holmen skog AB</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25009-2022</t>
        </is>
      </c>
      <c r="B1329" s="1" t="n">
        <v>44729</v>
      </c>
      <c r="C1329" s="1" t="n">
        <v>45807</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25182-2022</t>
        </is>
      </c>
      <c r="B1330" s="1" t="n">
        <v>44729</v>
      </c>
      <c r="C1330" s="1" t="n">
        <v>45807</v>
      </c>
      <c r="D1330" t="inlineStr">
        <is>
          <t>VÄSTERBOTTENS LÄN</t>
        </is>
      </c>
      <c r="E1330" t="inlineStr">
        <is>
          <t>SKELLEFTEÅ</t>
        </is>
      </c>
      <c r="F1330" t="inlineStr">
        <is>
          <t>Holmen skog AB</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25207-2022</t>
        </is>
      </c>
      <c r="B1331" s="1" t="n">
        <v>44729</v>
      </c>
      <c r="C1331" s="1" t="n">
        <v>45807</v>
      </c>
      <c r="D1331" t="inlineStr">
        <is>
          <t>VÄSTERBOTTENS LÄN</t>
        </is>
      </c>
      <c r="E1331" t="inlineStr">
        <is>
          <t>SKELLEFTEÅ</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25336-2022</t>
        </is>
      </c>
      <c r="B1332" s="1" t="n">
        <v>44732</v>
      </c>
      <c r="C1332" s="1" t="n">
        <v>45807</v>
      </c>
      <c r="D1332" t="inlineStr">
        <is>
          <t>VÄSTERBOTTENS LÄN</t>
        </is>
      </c>
      <c r="E1332" t="inlineStr">
        <is>
          <t>SKELLEFTEÅ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25404-2022</t>
        </is>
      </c>
      <c r="B1333" s="1" t="n">
        <v>44732</v>
      </c>
      <c r="C1333" s="1" t="n">
        <v>45807</v>
      </c>
      <c r="D1333" t="inlineStr">
        <is>
          <t>VÄSTERBOTTENS LÄN</t>
        </is>
      </c>
      <c r="E1333" t="inlineStr">
        <is>
          <t>SKELLEFTEÅ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25568-2022</t>
        </is>
      </c>
      <c r="B1334" s="1" t="n">
        <v>44732</v>
      </c>
      <c r="C1334" s="1" t="n">
        <v>45807</v>
      </c>
      <c r="D1334" t="inlineStr">
        <is>
          <t>VÄSTERBOTTENS LÄN</t>
        </is>
      </c>
      <c r="E1334" t="inlineStr">
        <is>
          <t>SKELLEFTEÅ</t>
        </is>
      </c>
      <c r="F1334" t="inlineStr">
        <is>
          <t>Holmen skog AB</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25596-2022</t>
        </is>
      </c>
      <c r="B1335" s="1" t="n">
        <v>44732</v>
      </c>
      <c r="C1335" s="1" t="n">
        <v>45807</v>
      </c>
      <c r="D1335" t="inlineStr">
        <is>
          <t>VÄSTERBOTTENS LÄN</t>
        </is>
      </c>
      <c r="E1335" t="inlineStr">
        <is>
          <t>SKELLEFTEÅ</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25674-2022</t>
        </is>
      </c>
      <c r="B1336" s="1" t="n">
        <v>44732</v>
      </c>
      <c r="C1336" s="1" t="n">
        <v>45807</v>
      </c>
      <c r="D1336" t="inlineStr">
        <is>
          <t>VÄSTERBOTTENS LÄN</t>
        </is>
      </c>
      <c r="E1336" t="inlineStr">
        <is>
          <t>SKELLEFTEÅ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26031-2022</t>
        </is>
      </c>
      <c r="B1337" s="1" t="n">
        <v>44734</v>
      </c>
      <c r="C1337" s="1" t="n">
        <v>45807</v>
      </c>
      <c r="D1337" t="inlineStr">
        <is>
          <t>VÄSTERBOTTENS LÄN</t>
        </is>
      </c>
      <c r="E1337" t="inlineStr">
        <is>
          <t>SKELLEFTEÅ</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26203-2022</t>
        </is>
      </c>
      <c r="B1338" s="1" t="n">
        <v>44735</v>
      </c>
      <c r="C1338" s="1" t="n">
        <v>45807</v>
      </c>
      <c r="D1338" t="inlineStr">
        <is>
          <t>VÄSTERBOTTENS LÄN</t>
        </is>
      </c>
      <c r="E1338" t="inlineStr">
        <is>
          <t>SKELLEFTEÅ</t>
        </is>
      </c>
      <c r="F1338" t="inlineStr">
        <is>
          <t>Kommuner</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26166-2022</t>
        </is>
      </c>
      <c r="B1339" s="1" t="n">
        <v>44735</v>
      </c>
      <c r="C1339" s="1" t="n">
        <v>45807</v>
      </c>
      <c r="D1339" t="inlineStr">
        <is>
          <t>VÄSTERBOTTENS LÄN</t>
        </is>
      </c>
      <c r="E1339" t="inlineStr">
        <is>
          <t>SKELLEFTEÅ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26545-2022</t>
        </is>
      </c>
      <c r="B1340" s="1" t="n">
        <v>44739</v>
      </c>
      <c r="C1340" s="1" t="n">
        <v>45807</v>
      </c>
      <c r="D1340" t="inlineStr">
        <is>
          <t>VÄSTERBOTTENS LÄN</t>
        </is>
      </c>
      <c r="E1340" t="inlineStr">
        <is>
          <t>SKELLEFTEÅ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26483-2022</t>
        </is>
      </c>
      <c r="B1341" s="1" t="n">
        <v>44739</v>
      </c>
      <c r="C1341" s="1" t="n">
        <v>45807</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26798-2022</t>
        </is>
      </c>
      <c r="B1342" s="1" t="n">
        <v>44740</v>
      </c>
      <c r="C1342" s="1" t="n">
        <v>45807</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26807-2022</t>
        </is>
      </c>
      <c r="B1343" s="1" t="n">
        <v>44740</v>
      </c>
      <c r="C1343" s="1" t="n">
        <v>45807</v>
      </c>
      <c r="D1343" t="inlineStr">
        <is>
          <t>VÄSTERBOTTENS LÄN</t>
        </is>
      </c>
      <c r="E1343" t="inlineStr">
        <is>
          <t>SKELLEFTEÅ</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26803-2022</t>
        </is>
      </c>
      <c r="B1344" s="1" t="n">
        <v>44740</v>
      </c>
      <c r="C1344" s="1" t="n">
        <v>45807</v>
      </c>
      <c r="D1344" t="inlineStr">
        <is>
          <t>VÄSTERBOTTENS LÄN</t>
        </is>
      </c>
      <c r="E1344" t="inlineStr">
        <is>
          <t>SKELLEFTEÅ</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26881-2022</t>
        </is>
      </c>
      <c r="B1345" s="1" t="n">
        <v>44740</v>
      </c>
      <c r="C1345" s="1" t="n">
        <v>45807</v>
      </c>
      <c r="D1345" t="inlineStr">
        <is>
          <t>VÄSTERBOTTENS LÄN</t>
        </is>
      </c>
      <c r="E1345" t="inlineStr">
        <is>
          <t>SKELLEFTEÅ</t>
        </is>
      </c>
      <c r="F1345" t="inlineStr">
        <is>
          <t>Holmen skog AB</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26999-2022</t>
        </is>
      </c>
      <c r="B1346" s="1" t="n">
        <v>44740</v>
      </c>
      <c r="C1346" s="1" t="n">
        <v>45807</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27003-2022</t>
        </is>
      </c>
      <c r="B1347" s="1" t="n">
        <v>44741</v>
      </c>
      <c r="C1347" s="1" t="n">
        <v>45807</v>
      </c>
      <c r="D1347" t="inlineStr">
        <is>
          <t>VÄSTERBOTTENS LÄN</t>
        </is>
      </c>
      <c r="E1347" t="inlineStr">
        <is>
          <t>SKELLEFTEÅ</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27028-2022</t>
        </is>
      </c>
      <c r="B1348" s="1" t="n">
        <v>44740</v>
      </c>
      <c r="C1348" s="1" t="n">
        <v>45807</v>
      </c>
      <c r="D1348" t="inlineStr">
        <is>
          <t>VÄSTERBOTTENS LÄN</t>
        </is>
      </c>
      <c r="E1348" t="inlineStr">
        <is>
          <t>SKELLEFTEÅ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27002-2022</t>
        </is>
      </c>
      <c r="B1349" s="1" t="n">
        <v>44740</v>
      </c>
      <c r="C1349" s="1" t="n">
        <v>45807</v>
      </c>
      <c r="D1349" t="inlineStr">
        <is>
          <t>VÄSTERBOTTENS LÄN</t>
        </is>
      </c>
      <c r="E1349" t="inlineStr">
        <is>
          <t>SKELLEFTEÅ</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27265-2022</t>
        </is>
      </c>
      <c r="B1350" s="1" t="n">
        <v>44741</v>
      </c>
      <c r="C1350" s="1" t="n">
        <v>45807</v>
      </c>
      <c r="D1350" t="inlineStr">
        <is>
          <t>VÄSTERBOTTENS LÄN</t>
        </is>
      </c>
      <c r="E1350" t="inlineStr">
        <is>
          <t>SKELLEFTEÅ</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27555-2022</t>
        </is>
      </c>
      <c r="B1351" s="1" t="n">
        <v>44743</v>
      </c>
      <c r="C1351" s="1" t="n">
        <v>45807</v>
      </c>
      <c r="D1351" t="inlineStr">
        <is>
          <t>VÄSTERBOTTENS LÄN</t>
        </is>
      </c>
      <c r="E1351" t="inlineStr">
        <is>
          <t>SKELLEFTEÅ</t>
        </is>
      </c>
      <c r="F1351" t="inlineStr">
        <is>
          <t>Kommuner</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27560-2022</t>
        </is>
      </c>
      <c r="B1352" s="1" t="n">
        <v>44743</v>
      </c>
      <c r="C1352" s="1" t="n">
        <v>45807</v>
      </c>
      <c r="D1352" t="inlineStr">
        <is>
          <t>VÄSTERBOTTENS LÄN</t>
        </is>
      </c>
      <c r="E1352" t="inlineStr">
        <is>
          <t>SKELLEFTEÅ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27817-2022</t>
        </is>
      </c>
      <c r="B1353" s="1" t="n">
        <v>44743</v>
      </c>
      <c r="C1353" s="1" t="n">
        <v>45807</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27637-2022</t>
        </is>
      </c>
      <c r="B1354" s="1" t="n">
        <v>44743</v>
      </c>
      <c r="C1354" s="1" t="n">
        <v>45807</v>
      </c>
      <c r="D1354" t="inlineStr">
        <is>
          <t>VÄSTERBOTTENS LÄN</t>
        </is>
      </c>
      <c r="E1354" t="inlineStr">
        <is>
          <t>SKELLEFTEÅ</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27672-2022</t>
        </is>
      </c>
      <c r="B1355" s="1" t="n">
        <v>44743</v>
      </c>
      <c r="C1355" s="1" t="n">
        <v>45807</v>
      </c>
      <c r="D1355" t="inlineStr">
        <is>
          <t>VÄSTERBOTTENS LÄN</t>
        </is>
      </c>
      <c r="E1355" t="inlineStr">
        <is>
          <t>SKELLEFTEÅ</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27631-2022</t>
        </is>
      </c>
      <c r="B1356" s="1" t="n">
        <v>44743</v>
      </c>
      <c r="C1356" s="1" t="n">
        <v>45807</v>
      </c>
      <c r="D1356" t="inlineStr">
        <is>
          <t>VÄSTERBOTTENS LÄN</t>
        </is>
      </c>
      <c r="E1356" t="inlineStr">
        <is>
          <t>SKELLEFTEÅ</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27636-2022</t>
        </is>
      </c>
      <c r="B1357" s="1" t="n">
        <v>44743</v>
      </c>
      <c r="C1357" s="1" t="n">
        <v>45807</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27907-2022</t>
        </is>
      </c>
      <c r="B1358" s="1" t="n">
        <v>44743</v>
      </c>
      <c r="C1358" s="1" t="n">
        <v>45807</v>
      </c>
      <c r="D1358" t="inlineStr">
        <is>
          <t>VÄSTERBOTTENS LÄN</t>
        </is>
      </c>
      <c r="E1358" t="inlineStr">
        <is>
          <t>SKELLEFTEÅ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27901-2022</t>
        </is>
      </c>
      <c r="B1359" s="1" t="n">
        <v>44743</v>
      </c>
      <c r="C1359" s="1" t="n">
        <v>45807</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28352-2022</t>
        </is>
      </c>
      <c r="B1360" s="1" t="n">
        <v>44747</v>
      </c>
      <c r="C1360" s="1" t="n">
        <v>45807</v>
      </c>
      <c r="D1360" t="inlineStr">
        <is>
          <t>VÄSTERBOTTENS LÄN</t>
        </is>
      </c>
      <c r="E1360" t="inlineStr">
        <is>
          <t>SKELLEFTEÅ</t>
        </is>
      </c>
      <c r="F1360" t="inlineStr">
        <is>
          <t>Holmen skog AB</t>
        </is>
      </c>
      <c r="G1360" t="n">
        <v>21.1</v>
      </c>
      <c r="H1360" t="n">
        <v>0</v>
      </c>
      <c r="I1360" t="n">
        <v>0</v>
      </c>
      <c r="J1360" t="n">
        <v>0</v>
      </c>
      <c r="K1360" t="n">
        <v>0</v>
      </c>
      <c r="L1360" t="n">
        <v>0</v>
      </c>
      <c r="M1360" t="n">
        <v>0</v>
      </c>
      <c r="N1360" t="n">
        <v>0</v>
      </c>
      <c r="O1360" t="n">
        <v>0</v>
      </c>
      <c r="P1360" t="n">
        <v>0</v>
      </c>
      <c r="Q1360" t="n">
        <v>0</v>
      </c>
      <c r="R1360" s="2" t="inlineStr"/>
    </row>
    <row r="1361" ht="15" customHeight="1">
      <c r="A1361" t="inlineStr">
        <is>
          <t>A 29085-2022</t>
        </is>
      </c>
      <c r="B1361" s="1" t="n">
        <v>44749</v>
      </c>
      <c r="C1361" s="1" t="n">
        <v>45807</v>
      </c>
      <c r="D1361" t="inlineStr">
        <is>
          <t>VÄSTERBOTTENS LÄN</t>
        </is>
      </c>
      <c r="E1361" t="inlineStr">
        <is>
          <t>SKELLEFTEÅ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29030-2022</t>
        </is>
      </c>
      <c r="B1362" s="1" t="n">
        <v>44749</v>
      </c>
      <c r="C1362" s="1" t="n">
        <v>45807</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29028-2022</t>
        </is>
      </c>
      <c r="B1363" s="1" t="n">
        <v>44749</v>
      </c>
      <c r="C1363" s="1" t="n">
        <v>45807</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29029-2022</t>
        </is>
      </c>
      <c r="B1364" s="1" t="n">
        <v>44749</v>
      </c>
      <c r="C1364" s="1" t="n">
        <v>45807</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29092-2022</t>
        </is>
      </c>
      <c r="B1365" s="1" t="n">
        <v>44750</v>
      </c>
      <c r="C1365" s="1" t="n">
        <v>45807</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29164-2022</t>
        </is>
      </c>
      <c r="B1366" s="1" t="n">
        <v>44750</v>
      </c>
      <c r="C1366" s="1" t="n">
        <v>45807</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29161-2022</t>
        </is>
      </c>
      <c r="B1367" s="1" t="n">
        <v>44750</v>
      </c>
      <c r="C1367" s="1" t="n">
        <v>45807</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29802-2022</t>
        </is>
      </c>
      <c r="B1368" s="1" t="n">
        <v>44755</v>
      </c>
      <c r="C1368" s="1" t="n">
        <v>45807</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30184-2022</t>
        </is>
      </c>
      <c r="B1369" s="1" t="n">
        <v>44757</v>
      </c>
      <c r="C1369" s="1" t="n">
        <v>45807</v>
      </c>
      <c r="D1369" t="inlineStr">
        <is>
          <t>VÄSTERBOTTENS LÄN</t>
        </is>
      </c>
      <c r="E1369" t="inlineStr">
        <is>
          <t>SKELLEFTEÅ</t>
        </is>
      </c>
      <c r="F1369" t="inlineStr">
        <is>
          <t>Holmen skog AB</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30278-2022</t>
        </is>
      </c>
      <c r="B1370" s="1" t="n">
        <v>44759</v>
      </c>
      <c r="C1370" s="1" t="n">
        <v>45807</v>
      </c>
      <c r="D1370" t="inlineStr">
        <is>
          <t>VÄSTERBOTTENS LÄN</t>
        </is>
      </c>
      <c r="E1370" t="inlineStr">
        <is>
          <t>SKELLEFTEÅ</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30905-2022</t>
        </is>
      </c>
      <c r="B1371" s="1" t="n">
        <v>44767</v>
      </c>
      <c r="C1371" s="1" t="n">
        <v>45807</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31124-2022</t>
        </is>
      </c>
      <c r="B1372" s="1" t="n">
        <v>44770</v>
      </c>
      <c r="C1372" s="1" t="n">
        <v>45807</v>
      </c>
      <c r="D1372" t="inlineStr">
        <is>
          <t>VÄSTERBOTTENS LÄN</t>
        </is>
      </c>
      <c r="E1372" t="inlineStr">
        <is>
          <t>SKELLEFTEÅ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31234-2022</t>
        </is>
      </c>
      <c r="B1373" s="1" t="n">
        <v>44771</v>
      </c>
      <c r="C1373" s="1" t="n">
        <v>45807</v>
      </c>
      <c r="D1373" t="inlineStr">
        <is>
          <t>VÄSTERBOTTENS LÄN</t>
        </is>
      </c>
      <c r="E1373" t="inlineStr">
        <is>
          <t>SKELLEFTEÅ</t>
        </is>
      </c>
      <c r="F1373" t="inlineStr">
        <is>
          <t>Holmen skog AB</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31955-2022</t>
        </is>
      </c>
      <c r="B1374" s="1" t="n">
        <v>44778</v>
      </c>
      <c r="C1374" s="1" t="n">
        <v>45807</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31960-2022</t>
        </is>
      </c>
      <c r="B1375" s="1" t="n">
        <v>44778</v>
      </c>
      <c r="C1375" s="1" t="n">
        <v>45807</v>
      </c>
      <c r="D1375" t="inlineStr">
        <is>
          <t>VÄSTERBOTTENS LÄN</t>
        </is>
      </c>
      <c r="E1375" t="inlineStr">
        <is>
          <t>SKELLEFTEÅ</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31954-2022</t>
        </is>
      </c>
      <c r="B1376" s="1" t="n">
        <v>44778</v>
      </c>
      <c r="C1376" s="1" t="n">
        <v>45807</v>
      </c>
      <c r="D1376" t="inlineStr">
        <is>
          <t>VÄSTERBOTTENS LÄN</t>
        </is>
      </c>
      <c r="E1376" t="inlineStr">
        <is>
          <t>SKELLEFTEÅ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32173-2022</t>
        </is>
      </c>
      <c r="B1377" s="1" t="n">
        <v>44781</v>
      </c>
      <c r="C1377" s="1" t="n">
        <v>45807</v>
      </c>
      <c r="D1377" t="inlineStr">
        <is>
          <t>VÄSTERBOTTENS LÄN</t>
        </is>
      </c>
      <c r="E1377" t="inlineStr">
        <is>
          <t>SKELLEFTEÅ</t>
        </is>
      </c>
      <c r="F1377" t="inlineStr">
        <is>
          <t>Kommuner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32244-2022</t>
        </is>
      </c>
      <c r="B1378" s="1" t="n">
        <v>44781</v>
      </c>
      <c r="C1378" s="1" t="n">
        <v>45807</v>
      </c>
      <c r="D1378" t="inlineStr">
        <is>
          <t>VÄSTERBOTTENS LÄN</t>
        </is>
      </c>
      <c r="E1378" t="inlineStr">
        <is>
          <t>SKELLEFTEÅ</t>
        </is>
      </c>
      <c r="F1378" t="inlineStr">
        <is>
          <t>Holmen skog AB</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32279-2022</t>
        </is>
      </c>
      <c r="B1379" s="1" t="n">
        <v>44781</v>
      </c>
      <c r="C1379" s="1" t="n">
        <v>45807</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32200-2022</t>
        </is>
      </c>
      <c r="B1380" s="1" t="n">
        <v>44781</v>
      </c>
      <c r="C1380" s="1" t="n">
        <v>45807</v>
      </c>
      <c r="D1380" t="inlineStr">
        <is>
          <t>VÄSTERBOTTENS LÄN</t>
        </is>
      </c>
      <c r="E1380" t="inlineStr">
        <is>
          <t>SKELLEFTEÅ</t>
        </is>
      </c>
      <c r="F1380" t="inlineStr">
        <is>
          <t>Kommuner</t>
        </is>
      </c>
      <c r="G1380" t="n">
        <v>20.6</v>
      </c>
      <c r="H1380" t="n">
        <v>0</v>
      </c>
      <c r="I1380" t="n">
        <v>0</v>
      </c>
      <c r="J1380" t="n">
        <v>0</v>
      </c>
      <c r="K1380" t="n">
        <v>0</v>
      </c>
      <c r="L1380" t="n">
        <v>0</v>
      </c>
      <c r="M1380" t="n">
        <v>0</v>
      </c>
      <c r="N1380" t="n">
        <v>0</v>
      </c>
      <c r="O1380" t="n">
        <v>0</v>
      </c>
      <c r="P1380" t="n">
        <v>0</v>
      </c>
      <c r="Q1380" t="n">
        <v>0</v>
      </c>
      <c r="R1380" s="2" t="inlineStr"/>
    </row>
    <row r="1381" ht="15" customHeight="1">
      <c r="A1381" t="inlineStr">
        <is>
          <t>A 32344-2022</t>
        </is>
      </c>
      <c r="B1381" s="1" t="n">
        <v>44781</v>
      </c>
      <c r="C1381" s="1" t="n">
        <v>45807</v>
      </c>
      <c r="D1381" t="inlineStr">
        <is>
          <t>VÄSTERBOTTENS LÄN</t>
        </is>
      </c>
      <c r="E1381" t="inlineStr">
        <is>
          <t>SKELLEFTEÅ</t>
        </is>
      </c>
      <c r="F1381" t="inlineStr">
        <is>
          <t>Sveaskog</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32427-2022</t>
        </is>
      </c>
      <c r="B1382" s="1" t="n">
        <v>44782</v>
      </c>
      <c r="C1382" s="1" t="n">
        <v>45807</v>
      </c>
      <c r="D1382" t="inlineStr">
        <is>
          <t>VÄSTERBOTTENS LÄN</t>
        </is>
      </c>
      <c r="E1382" t="inlineStr">
        <is>
          <t>SKELLEFTEÅ</t>
        </is>
      </c>
      <c r="F1382" t="inlineStr">
        <is>
          <t>Kommuner</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32434-2022</t>
        </is>
      </c>
      <c r="B1383" s="1" t="n">
        <v>44782</v>
      </c>
      <c r="C1383" s="1" t="n">
        <v>45807</v>
      </c>
      <c r="D1383" t="inlineStr">
        <is>
          <t>VÄSTERBOTTENS LÄN</t>
        </is>
      </c>
      <c r="E1383" t="inlineStr">
        <is>
          <t>SKELLEFTEÅ</t>
        </is>
      </c>
      <c r="G1383" t="n">
        <v>12.3</v>
      </c>
      <c r="H1383" t="n">
        <v>0</v>
      </c>
      <c r="I1383" t="n">
        <v>0</v>
      </c>
      <c r="J1383" t="n">
        <v>0</v>
      </c>
      <c r="K1383" t="n">
        <v>0</v>
      </c>
      <c r="L1383" t="n">
        <v>0</v>
      </c>
      <c r="M1383" t="n">
        <v>0</v>
      </c>
      <c r="N1383" t="n">
        <v>0</v>
      </c>
      <c r="O1383" t="n">
        <v>0</v>
      </c>
      <c r="P1383" t="n">
        <v>0</v>
      </c>
      <c r="Q1383" t="n">
        <v>0</v>
      </c>
      <c r="R1383" s="2" t="inlineStr"/>
    </row>
    <row r="1384" ht="15" customHeight="1">
      <c r="A1384" t="inlineStr">
        <is>
          <t>A 32415-2022</t>
        </is>
      </c>
      <c r="B1384" s="1" t="n">
        <v>44782</v>
      </c>
      <c r="C1384" s="1" t="n">
        <v>45807</v>
      </c>
      <c r="D1384" t="inlineStr">
        <is>
          <t>VÄSTERBOTTENS LÄN</t>
        </is>
      </c>
      <c r="E1384" t="inlineStr">
        <is>
          <t>SKELLEFTEÅ</t>
        </is>
      </c>
      <c r="F1384" t="inlineStr">
        <is>
          <t>Kommuner</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32436-2022</t>
        </is>
      </c>
      <c r="B1385" s="1" t="n">
        <v>44782</v>
      </c>
      <c r="C1385" s="1" t="n">
        <v>45807</v>
      </c>
      <c r="D1385" t="inlineStr">
        <is>
          <t>VÄSTERBOTTENS LÄN</t>
        </is>
      </c>
      <c r="E1385" t="inlineStr">
        <is>
          <t>SKELLEFTEÅ</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32420-2022</t>
        </is>
      </c>
      <c r="B1386" s="1" t="n">
        <v>44782</v>
      </c>
      <c r="C1386" s="1" t="n">
        <v>45807</v>
      </c>
      <c r="D1386" t="inlineStr">
        <is>
          <t>VÄSTERBOTTENS LÄN</t>
        </is>
      </c>
      <c r="E1386" t="inlineStr">
        <is>
          <t>SKELLEFTEÅ</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32448-2022</t>
        </is>
      </c>
      <c r="B1387" s="1" t="n">
        <v>44782</v>
      </c>
      <c r="C1387" s="1" t="n">
        <v>45807</v>
      </c>
      <c r="D1387" t="inlineStr">
        <is>
          <t>VÄSTERBOTTENS LÄN</t>
        </is>
      </c>
      <c r="E1387" t="inlineStr">
        <is>
          <t>SKELLEFTEÅ</t>
        </is>
      </c>
      <c r="F1387" t="inlineStr">
        <is>
          <t>Kommuner</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32560-2022</t>
        </is>
      </c>
      <c r="B1388" s="1" t="n">
        <v>44783</v>
      </c>
      <c r="C1388" s="1" t="n">
        <v>45807</v>
      </c>
      <c r="D1388" t="inlineStr">
        <is>
          <t>VÄSTERBOTTENS LÄN</t>
        </is>
      </c>
      <c r="E1388" t="inlineStr">
        <is>
          <t>SKELLEFTEÅ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32677-2022</t>
        </is>
      </c>
      <c r="B1389" s="1" t="n">
        <v>44783</v>
      </c>
      <c r="C1389" s="1" t="n">
        <v>45807</v>
      </c>
      <c r="D1389" t="inlineStr">
        <is>
          <t>VÄSTERBOTTENS LÄN</t>
        </is>
      </c>
      <c r="E1389" t="inlineStr">
        <is>
          <t>SKELLEFTEÅ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32539-2022</t>
        </is>
      </c>
      <c r="B1390" s="1" t="n">
        <v>44783</v>
      </c>
      <c r="C1390" s="1" t="n">
        <v>45807</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32657-2022</t>
        </is>
      </c>
      <c r="B1391" s="1" t="n">
        <v>44783</v>
      </c>
      <c r="C1391" s="1" t="n">
        <v>45807</v>
      </c>
      <c r="D1391" t="inlineStr">
        <is>
          <t>VÄSTERBOTTENS LÄN</t>
        </is>
      </c>
      <c r="E1391" t="inlineStr">
        <is>
          <t>SKELLEFTEÅ</t>
        </is>
      </c>
      <c r="F1391" t="inlineStr">
        <is>
          <t>Sveaskog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32985-2022</t>
        </is>
      </c>
      <c r="B1392" s="1" t="n">
        <v>44785</v>
      </c>
      <c r="C1392" s="1" t="n">
        <v>45807</v>
      </c>
      <c r="D1392" t="inlineStr">
        <is>
          <t>VÄSTERBOTTENS LÄN</t>
        </is>
      </c>
      <c r="E1392" t="inlineStr">
        <is>
          <t>SKELLEFTEÅ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32984-2022</t>
        </is>
      </c>
      <c r="B1393" s="1" t="n">
        <v>44784</v>
      </c>
      <c r="C1393" s="1" t="n">
        <v>45807</v>
      </c>
      <c r="D1393" t="inlineStr">
        <is>
          <t>VÄSTERBOTTENS LÄN</t>
        </is>
      </c>
      <c r="E1393" t="inlineStr">
        <is>
          <t>SKELLEFTEÅ</t>
        </is>
      </c>
      <c r="F1393" t="inlineStr">
        <is>
          <t>SCA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33268-2022</t>
        </is>
      </c>
      <c r="B1394" s="1" t="n">
        <v>44788</v>
      </c>
      <c r="C1394" s="1" t="n">
        <v>45807</v>
      </c>
      <c r="D1394" t="inlineStr">
        <is>
          <t>VÄSTERBOTTENS LÄN</t>
        </is>
      </c>
      <c r="E1394" t="inlineStr">
        <is>
          <t>SKELLEFTEÅ</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33324-2022</t>
        </is>
      </c>
      <c r="B1395" s="1" t="n">
        <v>44788</v>
      </c>
      <c r="C1395" s="1" t="n">
        <v>45807</v>
      </c>
      <c r="D1395" t="inlineStr">
        <is>
          <t>VÄSTERBOTTENS LÄN</t>
        </is>
      </c>
      <c r="E1395" t="inlineStr">
        <is>
          <t>SKELLEFTEÅ</t>
        </is>
      </c>
      <c r="F1395" t="inlineStr">
        <is>
          <t>Holmen skog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33629-2022</t>
        </is>
      </c>
      <c r="B1396" s="1" t="n">
        <v>44789</v>
      </c>
      <c r="C1396" s="1" t="n">
        <v>45807</v>
      </c>
      <c r="D1396" t="inlineStr">
        <is>
          <t>VÄSTERBOTTENS LÄN</t>
        </is>
      </c>
      <c r="E1396" t="inlineStr">
        <is>
          <t>SKELLEFTEÅ</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33984-2022</t>
        </is>
      </c>
      <c r="B1397" s="1" t="n">
        <v>44791</v>
      </c>
      <c r="C1397" s="1" t="n">
        <v>45807</v>
      </c>
      <c r="D1397" t="inlineStr">
        <is>
          <t>VÄSTERBOTTENS LÄN</t>
        </is>
      </c>
      <c r="E1397" t="inlineStr">
        <is>
          <t>SKELLEFTEÅ</t>
        </is>
      </c>
      <c r="F1397" t="inlineStr">
        <is>
          <t>Sveaskog</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34094-2022</t>
        </is>
      </c>
      <c r="B1398" s="1" t="n">
        <v>44791</v>
      </c>
      <c r="C1398" s="1" t="n">
        <v>45807</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34104-2022</t>
        </is>
      </c>
      <c r="B1399" s="1" t="n">
        <v>44791</v>
      </c>
      <c r="C1399" s="1" t="n">
        <v>45807</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34082-2022</t>
        </is>
      </c>
      <c r="B1400" s="1" t="n">
        <v>44791</v>
      </c>
      <c r="C1400" s="1" t="n">
        <v>45807</v>
      </c>
      <c r="D1400" t="inlineStr">
        <is>
          <t>VÄSTERBOTTENS LÄN</t>
        </is>
      </c>
      <c r="E1400" t="inlineStr">
        <is>
          <t>SKELLEFTEÅ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34547-2022</t>
        </is>
      </c>
      <c r="B1401" s="1" t="n">
        <v>44794</v>
      </c>
      <c r="C1401" s="1" t="n">
        <v>45807</v>
      </c>
      <c r="D1401" t="inlineStr">
        <is>
          <t>VÄSTERBOTTENS LÄN</t>
        </is>
      </c>
      <c r="E1401" t="inlineStr">
        <is>
          <t>SKELLEFTEÅ</t>
        </is>
      </c>
      <c r="F1401" t="inlineStr">
        <is>
          <t>SCA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34639-2022</t>
        </is>
      </c>
      <c r="B1402" s="1" t="n">
        <v>44795</v>
      </c>
      <c r="C1402" s="1" t="n">
        <v>45807</v>
      </c>
      <c r="D1402" t="inlineStr">
        <is>
          <t>VÄSTERBOTTENS LÄN</t>
        </is>
      </c>
      <c r="E1402" t="inlineStr">
        <is>
          <t>SKELLEFTEÅ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34895-2022</t>
        </is>
      </c>
      <c r="B1403" s="1" t="n">
        <v>44796</v>
      </c>
      <c r="C1403" s="1" t="n">
        <v>45807</v>
      </c>
      <c r="D1403" t="inlineStr">
        <is>
          <t>VÄSTERBOTTENS LÄN</t>
        </is>
      </c>
      <c r="E1403" t="inlineStr">
        <is>
          <t>SKELLEFTEÅ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35001-2022</t>
        </is>
      </c>
      <c r="B1404" s="1" t="n">
        <v>44797</v>
      </c>
      <c r="C1404" s="1" t="n">
        <v>45807</v>
      </c>
      <c r="D1404" t="inlineStr">
        <is>
          <t>VÄSTERBOTTENS LÄN</t>
        </is>
      </c>
      <c r="E1404" t="inlineStr">
        <is>
          <t>SKELLEFTEÅ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35119-2022</t>
        </is>
      </c>
      <c r="B1405" s="1" t="n">
        <v>44797</v>
      </c>
      <c r="C1405" s="1" t="n">
        <v>45807</v>
      </c>
      <c r="D1405" t="inlineStr">
        <is>
          <t>VÄSTERBOTTENS LÄN</t>
        </is>
      </c>
      <c r="E1405" t="inlineStr">
        <is>
          <t>SKELLEFTEÅ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35189-2022</t>
        </is>
      </c>
      <c r="B1406" s="1" t="n">
        <v>44797</v>
      </c>
      <c r="C1406" s="1" t="n">
        <v>45807</v>
      </c>
      <c r="D1406" t="inlineStr">
        <is>
          <t>VÄSTERBOTTENS LÄN</t>
        </is>
      </c>
      <c r="E1406" t="inlineStr">
        <is>
          <t>SKELLEFTEÅ</t>
        </is>
      </c>
      <c r="F1406" t="inlineStr">
        <is>
          <t>Holmen skog AB</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35491-2022</t>
        </is>
      </c>
      <c r="B1407" s="1" t="n">
        <v>44798</v>
      </c>
      <c r="C1407" s="1" t="n">
        <v>45807</v>
      </c>
      <c r="D1407" t="inlineStr">
        <is>
          <t>VÄSTERBOTTENS LÄN</t>
        </is>
      </c>
      <c r="E1407" t="inlineStr">
        <is>
          <t>SKELLEFTEÅ</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35558-2022</t>
        </is>
      </c>
      <c r="B1408" s="1" t="n">
        <v>44799</v>
      </c>
      <c r="C1408" s="1" t="n">
        <v>45807</v>
      </c>
      <c r="D1408" t="inlineStr">
        <is>
          <t>VÄSTERBOTTENS LÄN</t>
        </is>
      </c>
      <c r="E1408" t="inlineStr">
        <is>
          <t>SKELLEFTEÅ</t>
        </is>
      </c>
      <c r="F1408" t="inlineStr">
        <is>
          <t>Sveaskog</t>
        </is>
      </c>
      <c r="G1408" t="n">
        <v>21.8</v>
      </c>
      <c r="H1408" t="n">
        <v>0</v>
      </c>
      <c r="I1408" t="n">
        <v>0</v>
      </c>
      <c r="J1408" t="n">
        <v>0</v>
      </c>
      <c r="K1408" t="n">
        <v>0</v>
      </c>
      <c r="L1408" t="n">
        <v>0</v>
      </c>
      <c r="M1408" t="n">
        <v>0</v>
      </c>
      <c r="N1408" t="n">
        <v>0</v>
      </c>
      <c r="O1408" t="n">
        <v>0</v>
      </c>
      <c r="P1408" t="n">
        <v>0</v>
      </c>
      <c r="Q1408" t="n">
        <v>0</v>
      </c>
      <c r="R1408" s="2" t="inlineStr"/>
    </row>
    <row r="1409" ht="15" customHeight="1">
      <c r="A1409" t="inlineStr">
        <is>
          <t>A 35609-2022</t>
        </is>
      </c>
      <c r="B1409" s="1" t="n">
        <v>44799</v>
      </c>
      <c r="C1409" s="1" t="n">
        <v>45807</v>
      </c>
      <c r="D1409" t="inlineStr">
        <is>
          <t>VÄSTERBOTTENS LÄN</t>
        </is>
      </c>
      <c r="E1409" t="inlineStr">
        <is>
          <t>SKELLEFTEÅ</t>
        </is>
      </c>
      <c r="F1409" t="inlineStr">
        <is>
          <t>Holmen skog AB</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35652-2022</t>
        </is>
      </c>
      <c r="B1410" s="1" t="n">
        <v>44799</v>
      </c>
      <c r="C1410" s="1" t="n">
        <v>45807</v>
      </c>
      <c r="D1410" t="inlineStr">
        <is>
          <t>VÄSTERBOTTENS LÄN</t>
        </is>
      </c>
      <c r="E1410" t="inlineStr">
        <is>
          <t>SKELLEFTEÅ</t>
        </is>
      </c>
      <c r="F1410" t="inlineStr">
        <is>
          <t>Sveaskog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35635-2022</t>
        </is>
      </c>
      <c r="B1411" s="1" t="n">
        <v>44799</v>
      </c>
      <c r="C1411" s="1" t="n">
        <v>45807</v>
      </c>
      <c r="D1411" t="inlineStr">
        <is>
          <t>VÄSTERBOTTENS LÄN</t>
        </is>
      </c>
      <c r="E1411" t="inlineStr">
        <is>
          <t>SKELLEFTEÅ</t>
        </is>
      </c>
      <c r="F1411" t="inlineStr">
        <is>
          <t>Holmen skog AB</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35608-2022</t>
        </is>
      </c>
      <c r="B1412" s="1" t="n">
        <v>44799</v>
      </c>
      <c r="C1412" s="1" t="n">
        <v>45807</v>
      </c>
      <c r="D1412" t="inlineStr">
        <is>
          <t>VÄSTERBOTTENS LÄN</t>
        </is>
      </c>
      <c r="E1412" t="inlineStr">
        <is>
          <t>SKELLEFTEÅ</t>
        </is>
      </c>
      <c r="F1412" t="inlineStr">
        <is>
          <t>Sveaskog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35794-2022</t>
        </is>
      </c>
      <c r="B1413" s="1" t="n">
        <v>44801</v>
      </c>
      <c r="C1413" s="1" t="n">
        <v>45807</v>
      </c>
      <c r="D1413" t="inlineStr">
        <is>
          <t>VÄSTERBOTTENS LÄN</t>
        </is>
      </c>
      <c r="E1413" t="inlineStr">
        <is>
          <t>SKELLEFTEÅ</t>
        </is>
      </c>
      <c r="F1413" t="inlineStr">
        <is>
          <t>Sveaskog</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35771-2022</t>
        </is>
      </c>
      <c r="B1414" s="1" t="n">
        <v>44801</v>
      </c>
      <c r="C1414" s="1" t="n">
        <v>45807</v>
      </c>
      <c r="D1414" t="inlineStr">
        <is>
          <t>VÄSTERBOTTENS LÄN</t>
        </is>
      </c>
      <c r="E1414" t="inlineStr">
        <is>
          <t>SKELLEFTEÅ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35809-2022</t>
        </is>
      </c>
      <c r="B1415" s="1" t="n">
        <v>44802</v>
      </c>
      <c r="C1415" s="1" t="n">
        <v>45807</v>
      </c>
      <c r="D1415" t="inlineStr">
        <is>
          <t>VÄSTERBOTTENS LÄN</t>
        </is>
      </c>
      <c r="E1415" t="inlineStr">
        <is>
          <t>SKELLEFTEÅ</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36208-2022</t>
        </is>
      </c>
      <c r="B1416" s="1" t="n">
        <v>44803</v>
      </c>
      <c r="C1416" s="1" t="n">
        <v>45807</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35888-2022</t>
        </is>
      </c>
      <c r="B1417" s="1" t="n">
        <v>44803</v>
      </c>
      <c r="C1417" s="1" t="n">
        <v>45807</v>
      </c>
      <c r="D1417" t="inlineStr">
        <is>
          <t>VÄSTERBOTTENS LÄN</t>
        </is>
      </c>
      <c r="E1417" t="inlineStr">
        <is>
          <t>SKELLEFTEÅ</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36723-2022</t>
        </is>
      </c>
      <c r="B1418" s="1" t="n">
        <v>44804</v>
      </c>
      <c r="C1418" s="1" t="n">
        <v>45807</v>
      </c>
      <c r="D1418" t="inlineStr">
        <is>
          <t>VÄSTERBOTTENS LÄN</t>
        </is>
      </c>
      <c r="E1418" t="inlineStr">
        <is>
          <t>SKELLEFTEÅ</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36539-2022</t>
        </is>
      </c>
      <c r="B1419" s="1" t="n">
        <v>44804</v>
      </c>
      <c r="C1419" s="1" t="n">
        <v>45807</v>
      </c>
      <c r="D1419" t="inlineStr">
        <is>
          <t>VÄSTERBOTTENS LÄN</t>
        </is>
      </c>
      <c r="E1419" t="inlineStr">
        <is>
          <t>SKELLEFTEÅ</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36728-2022</t>
        </is>
      </c>
      <c r="B1420" s="1" t="n">
        <v>44804</v>
      </c>
      <c r="C1420" s="1" t="n">
        <v>45807</v>
      </c>
      <c r="D1420" t="inlineStr">
        <is>
          <t>VÄSTERBOTTENS LÄN</t>
        </is>
      </c>
      <c r="E1420" t="inlineStr">
        <is>
          <t>SKELLEFTEÅ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37669-2022</t>
        </is>
      </c>
      <c r="B1421" s="1" t="n">
        <v>44810</v>
      </c>
      <c r="C1421" s="1" t="n">
        <v>45807</v>
      </c>
      <c r="D1421" t="inlineStr">
        <is>
          <t>VÄSTERBOTTENS LÄN</t>
        </is>
      </c>
      <c r="E1421" t="inlineStr">
        <is>
          <t>SKELLEFTEÅ</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37823-2022</t>
        </is>
      </c>
      <c r="B1422" s="1" t="n">
        <v>44811</v>
      </c>
      <c r="C1422" s="1" t="n">
        <v>45807</v>
      </c>
      <c r="D1422" t="inlineStr">
        <is>
          <t>VÄSTERBOTTENS LÄN</t>
        </is>
      </c>
      <c r="E1422" t="inlineStr">
        <is>
          <t>SKELLEFTEÅ</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37819-2022</t>
        </is>
      </c>
      <c r="B1423" s="1" t="n">
        <v>44810</v>
      </c>
      <c r="C1423" s="1" t="n">
        <v>45807</v>
      </c>
      <c r="D1423" t="inlineStr">
        <is>
          <t>VÄSTERBOTTENS LÄN</t>
        </is>
      </c>
      <c r="E1423" t="inlineStr">
        <is>
          <t>SKELLEFTEÅ</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37825-2022</t>
        </is>
      </c>
      <c r="B1424" s="1" t="n">
        <v>44811</v>
      </c>
      <c r="C1424" s="1" t="n">
        <v>45807</v>
      </c>
      <c r="D1424" t="inlineStr">
        <is>
          <t>VÄSTERBOTTENS LÄN</t>
        </is>
      </c>
      <c r="E1424" t="inlineStr">
        <is>
          <t>SKELLEFTEÅ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37944-2022</t>
        </is>
      </c>
      <c r="B1425" s="1" t="n">
        <v>44811</v>
      </c>
      <c r="C1425" s="1" t="n">
        <v>45807</v>
      </c>
      <c r="D1425" t="inlineStr">
        <is>
          <t>VÄSTERBOTTENS LÄN</t>
        </is>
      </c>
      <c r="E1425" t="inlineStr">
        <is>
          <t>SKELLEFTEÅ</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37940-2022</t>
        </is>
      </c>
      <c r="B1426" s="1" t="n">
        <v>44811</v>
      </c>
      <c r="C1426" s="1" t="n">
        <v>45807</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37950-2022</t>
        </is>
      </c>
      <c r="B1427" s="1" t="n">
        <v>44811</v>
      </c>
      <c r="C1427" s="1" t="n">
        <v>45807</v>
      </c>
      <c r="D1427" t="inlineStr">
        <is>
          <t>VÄSTERBOTTENS LÄN</t>
        </is>
      </c>
      <c r="E1427" t="inlineStr">
        <is>
          <t>SKELLEFTEÅ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38275-2022</t>
        </is>
      </c>
      <c r="B1428" s="1" t="n">
        <v>44812</v>
      </c>
      <c r="C1428" s="1" t="n">
        <v>45807</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38457-2022</t>
        </is>
      </c>
      <c r="B1429" s="1" t="n">
        <v>44813</v>
      </c>
      <c r="C1429" s="1" t="n">
        <v>45807</v>
      </c>
      <c r="D1429" t="inlineStr">
        <is>
          <t>VÄSTERBOTTENS LÄN</t>
        </is>
      </c>
      <c r="E1429" t="inlineStr">
        <is>
          <t>SKELLEFTEÅ</t>
        </is>
      </c>
      <c r="F1429" t="inlineStr">
        <is>
          <t>Holmen skog AB</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38578-2022</t>
        </is>
      </c>
      <c r="B1430" s="1" t="n">
        <v>44813</v>
      </c>
      <c r="C1430" s="1" t="n">
        <v>45807</v>
      </c>
      <c r="D1430" t="inlineStr">
        <is>
          <t>VÄSTERBOTTENS LÄN</t>
        </is>
      </c>
      <c r="E1430" t="inlineStr">
        <is>
          <t>SKELLEFTEÅ</t>
        </is>
      </c>
      <c r="F1430" t="inlineStr">
        <is>
          <t>Holmen skog AB</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38514-2022</t>
        </is>
      </c>
      <c r="B1431" s="1" t="n">
        <v>44813</v>
      </c>
      <c r="C1431" s="1" t="n">
        <v>45807</v>
      </c>
      <c r="D1431" t="inlineStr">
        <is>
          <t>VÄSTERBOTTENS LÄN</t>
        </is>
      </c>
      <c r="E1431" t="inlineStr">
        <is>
          <t>SKELLEFTEÅ</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38728-2022</t>
        </is>
      </c>
      <c r="B1432" s="1" t="n">
        <v>44816</v>
      </c>
      <c r="C1432" s="1" t="n">
        <v>45807</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38727-2022</t>
        </is>
      </c>
      <c r="B1433" s="1" t="n">
        <v>44816</v>
      </c>
      <c r="C1433" s="1" t="n">
        <v>45807</v>
      </c>
      <c r="D1433" t="inlineStr">
        <is>
          <t>VÄSTERBOTTENS LÄN</t>
        </is>
      </c>
      <c r="E1433" t="inlineStr">
        <is>
          <t>SKELLEFTEÅ</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38767-2022</t>
        </is>
      </c>
      <c r="B1434" s="1" t="n">
        <v>44816</v>
      </c>
      <c r="C1434" s="1" t="n">
        <v>45807</v>
      </c>
      <c r="D1434" t="inlineStr">
        <is>
          <t>VÄSTERBOTTENS LÄN</t>
        </is>
      </c>
      <c r="E1434" t="inlineStr">
        <is>
          <t>SKELLEFTEÅ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38873-2022</t>
        </is>
      </c>
      <c r="B1435" s="1" t="n">
        <v>44816</v>
      </c>
      <c r="C1435" s="1" t="n">
        <v>45807</v>
      </c>
      <c r="D1435" t="inlineStr">
        <is>
          <t>VÄSTERBOTTENS LÄN</t>
        </is>
      </c>
      <c r="E1435" t="inlineStr">
        <is>
          <t>SKELLEFTEÅ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38876-2022</t>
        </is>
      </c>
      <c r="B1436" s="1" t="n">
        <v>44816</v>
      </c>
      <c r="C1436" s="1" t="n">
        <v>45807</v>
      </c>
      <c r="D1436" t="inlineStr">
        <is>
          <t>VÄSTERBOTTENS LÄN</t>
        </is>
      </c>
      <c r="E1436" t="inlineStr">
        <is>
          <t>SKELLEFTEÅ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38932-2022</t>
        </is>
      </c>
      <c r="B1437" s="1" t="n">
        <v>44816</v>
      </c>
      <c r="C1437" s="1" t="n">
        <v>45807</v>
      </c>
      <c r="D1437" t="inlineStr">
        <is>
          <t>VÄSTERBOTTENS LÄN</t>
        </is>
      </c>
      <c r="E1437" t="inlineStr">
        <is>
          <t>SKELLEFTEÅ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38940-2022</t>
        </is>
      </c>
      <c r="B1438" s="1" t="n">
        <v>44816</v>
      </c>
      <c r="C1438" s="1" t="n">
        <v>45807</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38995-2022</t>
        </is>
      </c>
      <c r="B1439" s="1" t="n">
        <v>44816</v>
      </c>
      <c r="C1439" s="1" t="n">
        <v>45807</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38997-2022</t>
        </is>
      </c>
      <c r="B1440" s="1" t="n">
        <v>44817</v>
      </c>
      <c r="C1440" s="1" t="n">
        <v>45807</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38998-2022</t>
        </is>
      </c>
      <c r="B1441" s="1" t="n">
        <v>44817</v>
      </c>
      <c r="C1441" s="1" t="n">
        <v>45807</v>
      </c>
      <c r="D1441" t="inlineStr">
        <is>
          <t>VÄSTERBOTTENS LÄN</t>
        </is>
      </c>
      <c r="E1441" t="inlineStr">
        <is>
          <t>SKELLEFTEÅ</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38993-2022</t>
        </is>
      </c>
      <c r="B1442" s="1" t="n">
        <v>44816</v>
      </c>
      <c r="C1442" s="1" t="n">
        <v>45807</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39019-2022</t>
        </is>
      </c>
      <c r="B1443" s="1" t="n">
        <v>44817</v>
      </c>
      <c r="C1443" s="1" t="n">
        <v>45807</v>
      </c>
      <c r="D1443" t="inlineStr">
        <is>
          <t>VÄSTERBOTTENS LÄN</t>
        </is>
      </c>
      <c r="E1443" t="inlineStr">
        <is>
          <t>SKELLEFTEÅ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39668-2022</t>
        </is>
      </c>
      <c r="B1444" s="1" t="n">
        <v>44818</v>
      </c>
      <c r="C1444" s="1" t="n">
        <v>45807</v>
      </c>
      <c r="D1444" t="inlineStr">
        <is>
          <t>VÄSTERBOTTENS LÄN</t>
        </is>
      </c>
      <c r="E1444" t="inlineStr">
        <is>
          <t>SKELLEFTEÅ</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39794-2022</t>
        </is>
      </c>
      <c r="B1445" s="1" t="n">
        <v>44819</v>
      </c>
      <c r="C1445" s="1" t="n">
        <v>45807</v>
      </c>
      <c r="D1445" t="inlineStr">
        <is>
          <t>VÄSTERBOTTENS LÄN</t>
        </is>
      </c>
      <c r="E1445" t="inlineStr">
        <is>
          <t>SKELLEFTEÅ</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39732-2022</t>
        </is>
      </c>
      <c r="B1446" s="1" t="n">
        <v>44819</v>
      </c>
      <c r="C1446" s="1" t="n">
        <v>45807</v>
      </c>
      <c r="D1446" t="inlineStr">
        <is>
          <t>VÄSTERBOTTENS LÄN</t>
        </is>
      </c>
      <c r="E1446" t="inlineStr">
        <is>
          <t>SKELLEFTEÅ</t>
        </is>
      </c>
      <c r="F1446" t="inlineStr">
        <is>
          <t>Holmen skog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39918-2022</t>
        </is>
      </c>
      <c r="B1447" s="1" t="n">
        <v>44819</v>
      </c>
      <c r="C1447" s="1" t="n">
        <v>45807</v>
      </c>
      <c r="D1447" t="inlineStr">
        <is>
          <t>VÄSTERBOTTENS LÄN</t>
        </is>
      </c>
      <c r="E1447" t="inlineStr">
        <is>
          <t>SKELLEFTEÅ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39986-2022</t>
        </is>
      </c>
      <c r="B1448" s="1" t="n">
        <v>44820</v>
      </c>
      <c r="C1448" s="1" t="n">
        <v>45807</v>
      </c>
      <c r="D1448" t="inlineStr">
        <is>
          <t>VÄSTERBOTTENS LÄN</t>
        </is>
      </c>
      <c r="E1448" t="inlineStr">
        <is>
          <t>SKELLEFTEÅ</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39998-2022</t>
        </is>
      </c>
      <c r="B1449" s="1" t="n">
        <v>44820</v>
      </c>
      <c r="C1449" s="1" t="n">
        <v>45807</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40013-2022</t>
        </is>
      </c>
      <c r="B1450" s="1" t="n">
        <v>44820</v>
      </c>
      <c r="C1450" s="1" t="n">
        <v>45807</v>
      </c>
      <c r="D1450" t="inlineStr">
        <is>
          <t>VÄSTERBOTTENS LÄN</t>
        </is>
      </c>
      <c r="E1450" t="inlineStr">
        <is>
          <t>SKELLEFTEÅ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40034-2022</t>
        </is>
      </c>
      <c r="B1451" s="1" t="n">
        <v>44820</v>
      </c>
      <c r="C1451" s="1" t="n">
        <v>45807</v>
      </c>
      <c r="D1451" t="inlineStr">
        <is>
          <t>VÄSTERBOTTENS LÄN</t>
        </is>
      </c>
      <c r="E1451" t="inlineStr">
        <is>
          <t>SKELLEFTEÅ</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39985-2022</t>
        </is>
      </c>
      <c r="B1452" s="1" t="n">
        <v>44820</v>
      </c>
      <c r="C1452" s="1" t="n">
        <v>45807</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40219-2022</t>
        </is>
      </c>
      <c r="B1453" s="1" t="n">
        <v>44820</v>
      </c>
      <c r="C1453" s="1" t="n">
        <v>45807</v>
      </c>
      <c r="D1453" t="inlineStr">
        <is>
          <t>VÄSTERBOTTENS LÄN</t>
        </is>
      </c>
      <c r="E1453" t="inlineStr">
        <is>
          <t>SKELLEFTEÅ</t>
        </is>
      </c>
      <c r="F1453" t="inlineStr">
        <is>
          <t>Sveaskog</t>
        </is>
      </c>
      <c r="G1453" t="n">
        <v>12.7</v>
      </c>
      <c r="H1453" t="n">
        <v>0</v>
      </c>
      <c r="I1453" t="n">
        <v>0</v>
      </c>
      <c r="J1453" t="n">
        <v>0</v>
      </c>
      <c r="K1453" t="n">
        <v>0</v>
      </c>
      <c r="L1453" t="n">
        <v>0</v>
      </c>
      <c r="M1453" t="n">
        <v>0</v>
      </c>
      <c r="N1453" t="n">
        <v>0</v>
      </c>
      <c r="O1453" t="n">
        <v>0</v>
      </c>
      <c r="P1453" t="n">
        <v>0</v>
      </c>
      <c r="Q1453" t="n">
        <v>0</v>
      </c>
      <c r="R1453" s="2" t="inlineStr"/>
    </row>
    <row r="1454" ht="15" customHeight="1">
      <c r="A1454" t="inlineStr">
        <is>
          <t>A 40905-2022</t>
        </is>
      </c>
      <c r="B1454" s="1" t="n">
        <v>44820</v>
      </c>
      <c r="C1454" s="1" t="n">
        <v>45807</v>
      </c>
      <c r="D1454" t="inlineStr">
        <is>
          <t>VÄSTERBOTTENS LÄN</t>
        </is>
      </c>
      <c r="E1454" t="inlineStr">
        <is>
          <t>SKELLEFTEÅ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40345-2022</t>
        </is>
      </c>
      <c r="B1455" s="1" t="n">
        <v>44823</v>
      </c>
      <c r="C1455" s="1" t="n">
        <v>45807</v>
      </c>
      <c r="D1455" t="inlineStr">
        <is>
          <t>VÄSTERBOTTENS LÄN</t>
        </is>
      </c>
      <c r="E1455" t="inlineStr">
        <is>
          <t>SKELLEFTEÅ</t>
        </is>
      </c>
      <c r="F1455" t="inlineStr">
        <is>
          <t>Holmen skog AB</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40314-2022</t>
        </is>
      </c>
      <c r="B1456" s="1" t="n">
        <v>44823</v>
      </c>
      <c r="C1456" s="1" t="n">
        <v>45807</v>
      </c>
      <c r="D1456" t="inlineStr">
        <is>
          <t>VÄSTERBOTTENS LÄN</t>
        </is>
      </c>
      <c r="E1456" t="inlineStr">
        <is>
          <t>SKELLEFTEÅ</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40329-2022</t>
        </is>
      </c>
      <c r="B1457" s="1" t="n">
        <v>44823</v>
      </c>
      <c r="C1457" s="1" t="n">
        <v>45807</v>
      </c>
      <c r="D1457" t="inlineStr">
        <is>
          <t>VÄSTERBOTTENS LÄN</t>
        </is>
      </c>
      <c r="E1457" t="inlineStr">
        <is>
          <t>SKELLEFTEÅ</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40964-2022</t>
        </is>
      </c>
      <c r="B1458" s="1" t="n">
        <v>44823</v>
      </c>
      <c r="C1458" s="1" t="n">
        <v>45807</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40969-2022</t>
        </is>
      </c>
      <c r="B1459" s="1" t="n">
        <v>44824</v>
      </c>
      <c r="C1459" s="1" t="n">
        <v>45807</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41010-2022</t>
        </is>
      </c>
      <c r="B1460" s="1" t="n">
        <v>44825</v>
      </c>
      <c r="C1460" s="1" t="n">
        <v>45807</v>
      </c>
      <c r="D1460" t="inlineStr">
        <is>
          <t>VÄSTERBOTTENS LÄN</t>
        </is>
      </c>
      <c r="E1460" t="inlineStr">
        <is>
          <t>SKELLEFTEÅ</t>
        </is>
      </c>
      <c r="F1460" t="inlineStr">
        <is>
          <t>Kyrkan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40851-2022</t>
        </is>
      </c>
      <c r="B1461" s="1" t="n">
        <v>44825</v>
      </c>
      <c r="C1461" s="1" t="n">
        <v>45807</v>
      </c>
      <c r="D1461" t="inlineStr">
        <is>
          <t>VÄSTERBOTTENS LÄN</t>
        </is>
      </c>
      <c r="E1461" t="inlineStr">
        <is>
          <t>SKELLEFTEÅ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41360-2022</t>
        </is>
      </c>
      <c r="B1462" s="1" t="n">
        <v>44825</v>
      </c>
      <c r="C1462" s="1" t="n">
        <v>45807</v>
      </c>
      <c r="D1462" t="inlineStr">
        <is>
          <t>VÄSTERBOTTENS LÄN</t>
        </is>
      </c>
      <c r="E1462" t="inlineStr">
        <is>
          <t>SKELLEFTEÅ</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41409-2022</t>
        </is>
      </c>
      <c r="B1463" s="1" t="n">
        <v>44826</v>
      </c>
      <c r="C1463" s="1" t="n">
        <v>45807</v>
      </c>
      <c r="D1463" t="inlineStr">
        <is>
          <t>VÄSTERBOTTENS LÄN</t>
        </is>
      </c>
      <c r="E1463" t="inlineStr">
        <is>
          <t>SKELLEFTEÅ</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41513-2022</t>
        </is>
      </c>
      <c r="B1464" s="1" t="n">
        <v>44827</v>
      </c>
      <c r="C1464" s="1" t="n">
        <v>45807</v>
      </c>
      <c r="D1464" t="inlineStr">
        <is>
          <t>VÄSTERBOTTENS LÄN</t>
        </is>
      </c>
      <c r="E1464" t="inlineStr">
        <is>
          <t>SKELLEFTEÅ</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41802-2022</t>
        </is>
      </c>
      <c r="B1465" s="1" t="n">
        <v>44827</v>
      </c>
      <c r="C1465" s="1" t="n">
        <v>45807</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41803-2022</t>
        </is>
      </c>
      <c r="B1466" s="1" t="n">
        <v>44828</v>
      </c>
      <c r="C1466" s="1" t="n">
        <v>45807</v>
      </c>
      <c r="D1466" t="inlineStr">
        <is>
          <t>VÄSTERBOTTENS LÄN</t>
        </is>
      </c>
      <c r="E1466" t="inlineStr">
        <is>
          <t>SKELLEFTEÅ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41801-2022</t>
        </is>
      </c>
      <c r="B1467" s="1" t="n">
        <v>44828</v>
      </c>
      <c r="C1467" s="1" t="n">
        <v>45807</v>
      </c>
      <c r="D1467" t="inlineStr">
        <is>
          <t>VÄSTERBOTTENS LÄN</t>
        </is>
      </c>
      <c r="E1467" t="inlineStr">
        <is>
          <t>SKELLEFTEÅ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42357-2022</t>
        </is>
      </c>
      <c r="B1468" s="1" t="n">
        <v>44827</v>
      </c>
      <c r="C1468" s="1" t="n">
        <v>45807</v>
      </c>
      <c r="D1468" t="inlineStr">
        <is>
          <t>VÄSTERBOTTENS LÄN</t>
        </is>
      </c>
      <c r="E1468" t="inlineStr">
        <is>
          <t>SKELLEFTEÅ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42348-2022</t>
        </is>
      </c>
      <c r="B1469" s="1" t="n">
        <v>44827</v>
      </c>
      <c r="C1469" s="1" t="n">
        <v>45807</v>
      </c>
      <c r="D1469" t="inlineStr">
        <is>
          <t>VÄSTERBOTTENS LÄN</t>
        </is>
      </c>
      <c r="E1469" t="inlineStr">
        <is>
          <t>SKELLEFTEÅ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42109-2022</t>
        </is>
      </c>
      <c r="B1470" s="1" t="n">
        <v>44827</v>
      </c>
      <c r="C1470" s="1" t="n">
        <v>45807</v>
      </c>
      <c r="D1470" t="inlineStr">
        <is>
          <t>VÄSTERBOTTENS LÄN</t>
        </is>
      </c>
      <c r="E1470" t="inlineStr">
        <is>
          <t>SKELLEFTEÅ</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42099-2022</t>
        </is>
      </c>
      <c r="B1471" s="1" t="n">
        <v>44827</v>
      </c>
      <c r="C1471" s="1" t="n">
        <v>45807</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41889-2022</t>
        </is>
      </c>
      <c r="B1472" s="1" t="n">
        <v>44830</v>
      </c>
      <c r="C1472" s="1" t="n">
        <v>45807</v>
      </c>
      <c r="D1472" t="inlineStr">
        <is>
          <t>VÄSTERBOTTENS LÄN</t>
        </is>
      </c>
      <c r="E1472" t="inlineStr">
        <is>
          <t>SKELLEFTEÅ</t>
        </is>
      </c>
      <c r="G1472" t="n">
        <v>15.3</v>
      </c>
      <c r="H1472" t="n">
        <v>0</v>
      </c>
      <c r="I1472" t="n">
        <v>0</v>
      </c>
      <c r="J1472" t="n">
        <v>0</v>
      </c>
      <c r="K1472" t="n">
        <v>0</v>
      </c>
      <c r="L1472" t="n">
        <v>0</v>
      </c>
      <c r="M1472" t="n">
        <v>0</v>
      </c>
      <c r="N1472" t="n">
        <v>0</v>
      </c>
      <c r="O1472" t="n">
        <v>0</v>
      </c>
      <c r="P1472" t="n">
        <v>0</v>
      </c>
      <c r="Q1472" t="n">
        <v>0</v>
      </c>
      <c r="R1472" s="2" t="inlineStr"/>
    </row>
    <row r="1473" ht="15" customHeight="1">
      <c r="A1473" t="inlineStr">
        <is>
          <t>A 41956-2022</t>
        </is>
      </c>
      <c r="B1473" s="1" t="n">
        <v>44830</v>
      </c>
      <c r="C1473" s="1" t="n">
        <v>45807</v>
      </c>
      <c r="D1473" t="inlineStr">
        <is>
          <t>VÄSTERBOTTENS LÄN</t>
        </is>
      </c>
      <c r="E1473" t="inlineStr">
        <is>
          <t>SKELLEFTEÅ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41883-2022</t>
        </is>
      </c>
      <c r="B1474" s="1" t="n">
        <v>44830</v>
      </c>
      <c r="C1474" s="1" t="n">
        <v>45807</v>
      </c>
      <c r="D1474" t="inlineStr">
        <is>
          <t>VÄSTERBOTTENS LÄN</t>
        </is>
      </c>
      <c r="E1474" t="inlineStr">
        <is>
          <t>SKELLEFTEÅ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42255-2022</t>
        </is>
      </c>
      <c r="B1475" s="1" t="n">
        <v>44830</v>
      </c>
      <c r="C1475" s="1" t="n">
        <v>45807</v>
      </c>
      <c r="D1475" t="inlineStr">
        <is>
          <t>VÄSTERBOTTENS LÄN</t>
        </is>
      </c>
      <c r="E1475" t="inlineStr">
        <is>
          <t>SKELLEFTEÅ</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42260-2022</t>
        </is>
      </c>
      <c r="B1476" s="1" t="n">
        <v>44830</v>
      </c>
      <c r="C1476" s="1" t="n">
        <v>45807</v>
      </c>
      <c r="D1476" t="inlineStr">
        <is>
          <t>VÄSTERBOTTENS LÄN</t>
        </is>
      </c>
      <c r="E1476" t="inlineStr">
        <is>
          <t>SKELLEFTEÅ</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42682-2022</t>
        </is>
      </c>
      <c r="B1477" s="1" t="n">
        <v>44831</v>
      </c>
      <c r="C1477" s="1" t="n">
        <v>45807</v>
      </c>
      <c r="D1477" t="inlineStr">
        <is>
          <t>VÄSTERBOTTENS LÄN</t>
        </is>
      </c>
      <c r="E1477" t="inlineStr">
        <is>
          <t>SKELLEFTEÅ</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42798-2022</t>
        </is>
      </c>
      <c r="B1478" s="1" t="n">
        <v>44832</v>
      </c>
      <c r="C1478" s="1" t="n">
        <v>45807</v>
      </c>
      <c r="D1478" t="inlineStr">
        <is>
          <t>VÄSTERBOTTENS LÄN</t>
        </is>
      </c>
      <c r="E1478" t="inlineStr">
        <is>
          <t>SKELLEFTEÅ</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42808-2022</t>
        </is>
      </c>
      <c r="B1479" s="1" t="n">
        <v>44832</v>
      </c>
      <c r="C1479" s="1" t="n">
        <v>45807</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42946-2022</t>
        </is>
      </c>
      <c r="B1480" s="1" t="n">
        <v>44833</v>
      </c>
      <c r="C1480" s="1" t="n">
        <v>45807</v>
      </c>
      <c r="D1480" t="inlineStr">
        <is>
          <t>VÄSTERBOTTENS LÄN</t>
        </is>
      </c>
      <c r="E1480" t="inlineStr">
        <is>
          <t>SKELLEFTEÅ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43069-2022</t>
        </is>
      </c>
      <c r="B1481" s="1" t="n">
        <v>44833</v>
      </c>
      <c r="C1481" s="1" t="n">
        <v>45807</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43078-2022</t>
        </is>
      </c>
      <c r="B1482" s="1" t="n">
        <v>44833</v>
      </c>
      <c r="C1482" s="1" t="n">
        <v>45807</v>
      </c>
      <c r="D1482" t="inlineStr">
        <is>
          <t>VÄSTERBOTTENS LÄN</t>
        </is>
      </c>
      <c r="E1482" t="inlineStr">
        <is>
          <t>SKELLEFTEÅ</t>
        </is>
      </c>
      <c r="F1482" t="inlineStr">
        <is>
          <t>Sveaskog</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43515-2022</t>
        </is>
      </c>
      <c r="B1483" s="1" t="n">
        <v>44837</v>
      </c>
      <c r="C1483" s="1" t="n">
        <v>45807</v>
      </c>
      <c r="D1483" t="inlineStr">
        <is>
          <t>VÄSTERBOTTENS LÄN</t>
        </is>
      </c>
      <c r="E1483" t="inlineStr">
        <is>
          <t>SKELLEFTEÅ</t>
        </is>
      </c>
      <c r="F1483" t="inlineStr">
        <is>
          <t>Holmen skog AB</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43544-2022</t>
        </is>
      </c>
      <c r="B1484" s="1" t="n">
        <v>44837</v>
      </c>
      <c r="C1484" s="1" t="n">
        <v>45807</v>
      </c>
      <c r="D1484" t="inlineStr">
        <is>
          <t>VÄSTERBOTTENS LÄN</t>
        </is>
      </c>
      <c r="E1484" t="inlineStr">
        <is>
          <t>SKELLEFTEÅ</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43763-2022</t>
        </is>
      </c>
      <c r="B1485" s="1" t="n">
        <v>44838</v>
      </c>
      <c r="C1485" s="1" t="n">
        <v>45807</v>
      </c>
      <c r="D1485" t="inlineStr">
        <is>
          <t>VÄSTERBOTTENS LÄN</t>
        </is>
      </c>
      <c r="E1485" t="inlineStr">
        <is>
          <t>SKELLEFTEÅ</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43917-2022</t>
        </is>
      </c>
      <c r="B1486" s="1" t="n">
        <v>44838</v>
      </c>
      <c r="C1486" s="1" t="n">
        <v>45807</v>
      </c>
      <c r="D1486" t="inlineStr">
        <is>
          <t>VÄSTERBOTTENS LÄN</t>
        </is>
      </c>
      <c r="E1486" t="inlineStr">
        <is>
          <t>SKELLEFTEÅ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44621-2022</t>
        </is>
      </c>
      <c r="B1487" s="1" t="n">
        <v>44838</v>
      </c>
      <c r="C1487" s="1" t="n">
        <v>45807</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44397-2022</t>
        </is>
      </c>
      <c r="B1488" s="1" t="n">
        <v>44839</v>
      </c>
      <c r="C1488" s="1" t="n">
        <v>45807</v>
      </c>
      <c r="D1488" t="inlineStr">
        <is>
          <t>VÄSTERBOTTENS LÄN</t>
        </is>
      </c>
      <c r="E1488" t="inlineStr">
        <is>
          <t>SKELLEFTEÅ</t>
        </is>
      </c>
      <c r="F1488" t="inlineStr">
        <is>
          <t>Sveaskog</t>
        </is>
      </c>
      <c r="G1488" t="n">
        <v>31.1</v>
      </c>
      <c r="H1488" t="n">
        <v>0</v>
      </c>
      <c r="I1488" t="n">
        <v>0</v>
      </c>
      <c r="J1488" t="n">
        <v>0</v>
      </c>
      <c r="K1488" t="n">
        <v>0</v>
      </c>
      <c r="L1488" t="n">
        <v>0</v>
      </c>
      <c r="M1488" t="n">
        <v>0</v>
      </c>
      <c r="N1488" t="n">
        <v>0</v>
      </c>
      <c r="O1488" t="n">
        <v>0</v>
      </c>
      <c r="P1488" t="n">
        <v>0</v>
      </c>
      <c r="Q1488" t="n">
        <v>0</v>
      </c>
      <c r="R1488" s="2" t="inlineStr"/>
    </row>
    <row r="1489" ht="15" customHeight="1">
      <c r="A1489" t="inlineStr">
        <is>
          <t>A 44398-2022</t>
        </is>
      </c>
      <c r="B1489" s="1" t="n">
        <v>44839</v>
      </c>
      <c r="C1489" s="1" t="n">
        <v>45807</v>
      </c>
      <c r="D1489" t="inlineStr">
        <is>
          <t>VÄSTERBOTTENS LÄN</t>
        </is>
      </c>
      <c r="E1489" t="inlineStr">
        <is>
          <t>SKELLEFTEÅ</t>
        </is>
      </c>
      <c r="F1489" t="inlineStr">
        <is>
          <t>Sveaskog</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44616-2022</t>
        </is>
      </c>
      <c r="B1490" s="1" t="n">
        <v>44839</v>
      </c>
      <c r="C1490" s="1" t="n">
        <v>45807</v>
      </c>
      <c r="D1490" t="inlineStr">
        <is>
          <t>VÄSTERBOTTENS LÄN</t>
        </is>
      </c>
      <c r="E1490" t="inlineStr">
        <is>
          <t>SKELLEFTEÅ</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44959-2022</t>
        </is>
      </c>
      <c r="B1491" s="1" t="n">
        <v>44839</v>
      </c>
      <c r="C1491" s="1" t="n">
        <v>45807</v>
      </c>
      <c r="D1491" t="inlineStr">
        <is>
          <t>VÄSTERBOTTENS LÄN</t>
        </is>
      </c>
      <c r="E1491" t="inlineStr">
        <is>
          <t>SKELLEFTEÅ</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44724-2022</t>
        </is>
      </c>
      <c r="B1492" s="1" t="n">
        <v>44840</v>
      </c>
      <c r="C1492" s="1" t="n">
        <v>45807</v>
      </c>
      <c r="D1492" t="inlineStr">
        <is>
          <t>VÄSTERBOTTENS LÄN</t>
        </is>
      </c>
      <c r="E1492" t="inlineStr">
        <is>
          <t>SKELLEFTEÅ</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44722-2022</t>
        </is>
      </c>
      <c r="B1493" s="1" t="n">
        <v>44840</v>
      </c>
      <c r="C1493" s="1" t="n">
        <v>45807</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45011-2022</t>
        </is>
      </c>
      <c r="B1494" s="1" t="n">
        <v>44840</v>
      </c>
      <c r="C1494" s="1" t="n">
        <v>45807</v>
      </c>
      <c r="D1494" t="inlineStr">
        <is>
          <t>VÄSTERBOTTENS LÄN</t>
        </is>
      </c>
      <c r="E1494" t="inlineStr">
        <is>
          <t>SKELLEFTEÅ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45266-2022</t>
        </is>
      </c>
      <c r="B1495" s="1" t="n">
        <v>44844</v>
      </c>
      <c r="C1495" s="1" t="n">
        <v>45807</v>
      </c>
      <c r="D1495" t="inlineStr">
        <is>
          <t>VÄSTERBOTTENS LÄN</t>
        </is>
      </c>
      <c r="E1495" t="inlineStr">
        <is>
          <t>SKELLEFTEÅ</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45250-2022</t>
        </is>
      </c>
      <c r="B1496" s="1" t="n">
        <v>44844</v>
      </c>
      <c r="C1496" s="1" t="n">
        <v>45807</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45985-2022</t>
        </is>
      </c>
      <c r="B1497" s="1" t="n">
        <v>44844</v>
      </c>
      <c r="C1497" s="1" t="n">
        <v>45807</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45890-2022</t>
        </is>
      </c>
      <c r="B1498" s="1" t="n">
        <v>44844</v>
      </c>
      <c r="C1498" s="1" t="n">
        <v>45807</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45495-2022</t>
        </is>
      </c>
      <c r="B1499" s="1" t="n">
        <v>44845</v>
      </c>
      <c r="C1499" s="1" t="n">
        <v>45807</v>
      </c>
      <c r="D1499" t="inlineStr">
        <is>
          <t>VÄSTERBOTTENS LÄN</t>
        </is>
      </c>
      <c r="E1499" t="inlineStr">
        <is>
          <t>SKELLEFTEÅ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45554-2022</t>
        </is>
      </c>
      <c r="B1500" s="1" t="n">
        <v>44845</v>
      </c>
      <c r="C1500" s="1" t="n">
        <v>45807</v>
      </c>
      <c r="D1500" t="inlineStr">
        <is>
          <t>VÄSTERBOTTENS LÄN</t>
        </is>
      </c>
      <c r="E1500" t="inlineStr">
        <is>
          <t>SKELLEFTEÅ</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45619-2022</t>
        </is>
      </c>
      <c r="B1501" s="1" t="n">
        <v>44845</v>
      </c>
      <c r="C1501" s="1" t="n">
        <v>45807</v>
      </c>
      <c r="D1501" t="inlineStr">
        <is>
          <t>VÄSTERBOTTENS LÄN</t>
        </is>
      </c>
      <c r="E1501" t="inlineStr">
        <is>
          <t>SKELLEFTEÅ</t>
        </is>
      </c>
      <c r="F1501" t="inlineStr">
        <is>
          <t>Holmen skog AB</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46181-2022</t>
        </is>
      </c>
      <c r="B1502" s="1" t="n">
        <v>44845</v>
      </c>
      <c r="C1502" s="1" t="n">
        <v>45807</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46218-2022</t>
        </is>
      </c>
      <c r="B1503" s="1" t="n">
        <v>44845</v>
      </c>
      <c r="C1503" s="1" t="n">
        <v>45807</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45748-2022</t>
        </is>
      </c>
      <c r="B1504" s="1" t="n">
        <v>44846</v>
      </c>
      <c r="C1504" s="1" t="n">
        <v>45807</v>
      </c>
      <c r="D1504" t="inlineStr">
        <is>
          <t>VÄSTERBOTTENS LÄN</t>
        </is>
      </c>
      <c r="E1504" t="inlineStr">
        <is>
          <t>SKELLEFTEÅ</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46233-2022</t>
        </is>
      </c>
      <c r="B1505" s="1" t="n">
        <v>44847</v>
      </c>
      <c r="C1505" s="1" t="n">
        <v>45807</v>
      </c>
      <c r="D1505" t="inlineStr">
        <is>
          <t>VÄSTERBOTTENS LÄN</t>
        </is>
      </c>
      <c r="E1505" t="inlineStr">
        <is>
          <t>SKELLEFTEÅ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46216-2022</t>
        </is>
      </c>
      <c r="B1506" s="1" t="n">
        <v>44847</v>
      </c>
      <c r="C1506" s="1" t="n">
        <v>45807</v>
      </c>
      <c r="D1506" t="inlineStr">
        <is>
          <t>VÄSTERBOTTENS LÄN</t>
        </is>
      </c>
      <c r="E1506" t="inlineStr">
        <is>
          <t>SKELLEFTEÅ</t>
        </is>
      </c>
      <c r="F1506" t="inlineStr">
        <is>
          <t>Holmen skog AB</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46409-2022</t>
        </is>
      </c>
      <c r="B1507" s="1" t="n">
        <v>44848</v>
      </c>
      <c r="C1507" s="1" t="n">
        <v>45807</v>
      </c>
      <c r="D1507" t="inlineStr">
        <is>
          <t>VÄSTERBOTTENS LÄN</t>
        </is>
      </c>
      <c r="E1507" t="inlineStr">
        <is>
          <t>SKELLEFTEÅ</t>
        </is>
      </c>
      <c r="F1507" t="inlineStr">
        <is>
          <t>Holmen skog AB</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46445-2022</t>
        </is>
      </c>
      <c r="B1508" s="1" t="n">
        <v>44848</v>
      </c>
      <c r="C1508" s="1" t="n">
        <v>45807</v>
      </c>
      <c r="D1508" t="inlineStr">
        <is>
          <t>VÄSTERBOTTENS LÄN</t>
        </is>
      </c>
      <c r="E1508" t="inlineStr">
        <is>
          <t>SKELLEFTEÅ</t>
        </is>
      </c>
      <c r="F1508" t="inlineStr">
        <is>
          <t>Holmen skog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46868-2022</t>
        </is>
      </c>
      <c r="B1509" s="1" t="n">
        <v>44848</v>
      </c>
      <c r="C1509" s="1" t="n">
        <v>45807</v>
      </c>
      <c r="D1509" t="inlineStr">
        <is>
          <t>VÄSTERBOTTENS LÄN</t>
        </is>
      </c>
      <c r="E1509" t="inlineStr">
        <is>
          <t>SKELLEFTEÅ</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47637-2022</t>
        </is>
      </c>
      <c r="B1510" s="1" t="n">
        <v>44852</v>
      </c>
      <c r="C1510" s="1" t="n">
        <v>45807</v>
      </c>
      <c r="D1510" t="inlineStr">
        <is>
          <t>VÄSTERBOTTENS LÄN</t>
        </is>
      </c>
      <c r="E1510" t="inlineStr">
        <is>
          <t>SKELLEFTEÅ</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47500-2022</t>
        </is>
      </c>
      <c r="B1511" s="1" t="n">
        <v>44852</v>
      </c>
      <c r="C1511" s="1" t="n">
        <v>45807</v>
      </c>
      <c r="D1511" t="inlineStr">
        <is>
          <t>VÄSTERBOTTENS LÄN</t>
        </is>
      </c>
      <c r="E1511" t="inlineStr">
        <is>
          <t>SKELLEFTEÅ</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47410-2022</t>
        </is>
      </c>
      <c r="B1512" s="1" t="n">
        <v>44853</v>
      </c>
      <c r="C1512" s="1" t="n">
        <v>45807</v>
      </c>
      <c r="D1512" t="inlineStr">
        <is>
          <t>VÄSTERBOTTENS LÄN</t>
        </is>
      </c>
      <c r="E1512" t="inlineStr">
        <is>
          <t>SKELLEFTEÅ</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47548-2022</t>
        </is>
      </c>
      <c r="B1513" s="1" t="n">
        <v>44854</v>
      </c>
      <c r="C1513" s="1" t="n">
        <v>45807</v>
      </c>
      <c r="D1513" t="inlineStr">
        <is>
          <t>VÄSTERBOTTENS LÄN</t>
        </is>
      </c>
      <c r="E1513" t="inlineStr">
        <is>
          <t>SKELLEFTEÅ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47554-2022</t>
        </is>
      </c>
      <c r="B1514" s="1" t="n">
        <v>44854</v>
      </c>
      <c r="C1514" s="1" t="n">
        <v>45807</v>
      </c>
      <c r="D1514" t="inlineStr">
        <is>
          <t>VÄSTERBOTTENS LÄN</t>
        </is>
      </c>
      <c r="E1514" t="inlineStr">
        <is>
          <t>SKELLEFTEÅ</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47988-2022</t>
        </is>
      </c>
      <c r="B1515" s="1" t="n">
        <v>44853</v>
      </c>
      <c r="C1515" s="1" t="n">
        <v>45807</v>
      </c>
      <c r="D1515" t="inlineStr">
        <is>
          <t>VÄSTERBOTTENS LÄN</t>
        </is>
      </c>
      <c r="E1515" t="inlineStr">
        <is>
          <t>SKELLEFTEÅ</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47984-2022</t>
        </is>
      </c>
      <c r="B1516" s="1" t="n">
        <v>44853</v>
      </c>
      <c r="C1516" s="1" t="n">
        <v>45807</v>
      </c>
      <c r="D1516" t="inlineStr">
        <is>
          <t>VÄSTERBOTTENS LÄN</t>
        </is>
      </c>
      <c r="E1516" t="inlineStr">
        <is>
          <t>SKELLEFTEÅ</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47991-2022</t>
        </is>
      </c>
      <c r="B1517" s="1" t="n">
        <v>44853</v>
      </c>
      <c r="C1517" s="1" t="n">
        <v>45807</v>
      </c>
      <c r="D1517" t="inlineStr">
        <is>
          <t>VÄSTERBOTTENS LÄN</t>
        </is>
      </c>
      <c r="E1517" t="inlineStr">
        <is>
          <t>SKELLEFTEÅ</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47696-2022</t>
        </is>
      </c>
      <c r="B1518" s="1" t="n">
        <v>44854</v>
      </c>
      <c r="C1518" s="1" t="n">
        <v>45807</v>
      </c>
      <c r="D1518" t="inlineStr">
        <is>
          <t>VÄSTERBOTTENS LÄN</t>
        </is>
      </c>
      <c r="E1518" t="inlineStr">
        <is>
          <t>SKELLEFTEÅ</t>
        </is>
      </c>
      <c r="F1518" t="inlineStr">
        <is>
          <t>Holmen skog AB</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48011-2022</t>
        </is>
      </c>
      <c r="B1519" s="1" t="n">
        <v>44855</v>
      </c>
      <c r="C1519" s="1" t="n">
        <v>45807</v>
      </c>
      <c r="D1519" t="inlineStr">
        <is>
          <t>VÄSTERBOTTENS LÄN</t>
        </is>
      </c>
      <c r="E1519" t="inlineStr">
        <is>
          <t>SKELLEFTEÅ</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48082-2022</t>
        </is>
      </c>
      <c r="B1520" s="1" t="n">
        <v>44856</v>
      </c>
      <c r="C1520" s="1" t="n">
        <v>45807</v>
      </c>
      <c r="D1520" t="inlineStr">
        <is>
          <t>VÄSTERBOTTENS LÄN</t>
        </is>
      </c>
      <c r="E1520" t="inlineStr">
        <is>
          <t>SKELLEFTEÅ</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48722-2022</t>
        </is>
      </c>
      <c r="B1521" s="1" t="n">
        <v>44855</v>
      </c>
      <c r="C1521" s="1" t="n">
        <v>45807</v>
      </c>
      <c r="D1521" t="inlineStr">
        <is>
          <t>VÄSTERBOTTENS LÄN</t>
        </is>
      </c>
      <c r="E1521" t="inlineStr">
        <is>
          <t>SKELLEFTEÅ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48125-2022</t>
        </is>
      </c>
      <c r="B1522" s="1" t="n">
        <v>44857</v>
      </c>
      <c r="C1522" s="1" t="n">
        <v>45807</v>
      </c>
      <c r="D1522" t="inlineStr">
        <is>
          <t>VÄSTERBOTTENS LÄN</t>
        </is>
      </c>
      <c r="E1522" t="inlineStr">
        <is>
          <t>SKELLEFTEÅ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48133-2022</t>
        </is>
      </c>
      <c r="B1523" s="1" t="n">
        <v>44857</v>
      </c>
      <c r="C1523" s="1" t="n">
        <v>45807</v>
      </c>
      <c r="D1523" t="inlineStr">
        <is>
          <t>VÄSTERBOTTENS LÄN</t>
        </is>
      </c>
      <c r="E1523" t="inlineStr">
        <is>
          <t>SKELLEFTEÅ</t>
        </is>
      </c>
      <c r="F1523" t="inlineStr">
        <is>
          <t>Sveaskog</t>
        </is>
      </c>
      <c r="G1523" t="n">
        <v>18.3</v>
      </c>
      <c r="H1523" t="n">
        <v>0</v>
      </c>
      <c r="I1523" t="n">
        <v>0</v>
      </c>
      <c r="J1523" t="n">
        <v>0</v>
      </c>
      <c r="K1523" t="n">
        <v>0</v>
      </c>
      <c r="L1523" t="n">
        <v>0</v>
      </c>
      <c r="M1523" t="n">
        <v>0</v>
      </c>
      <c r="N1523" t="n">
        <v>0</v>
      </c>
      <c r="O1523" t="n">
        <v>0</v>
      </c>
      <c r="P1523" t="n">
        <v>0</v>
      </c>
      <c r="Q1523" t="n">
        <v>0</v>
      </c>
      <c r="R1523" s="2" t="inlineStr"/>
    </row>
    <row r="1524" ht="15" customHeight="1">
      <c r="A1524" t="inlineStr">
        <is>
          <t>A 49241-2022</t>
        </is>
      </c>
      <c r="B1524" s="1" t="n">
        <v>44858</v>
      </c>
      <c r="C1524" s="1" t="n">
        <v>45807</v>
      </c>
      <c r="D1524" t="inlineStr">
        <is>
          <t>VÄSTERBOTTENS LÄN</t>
        </is>
      </c>
      <c r="E1524" t="inlineStr">
        <is>
          <t>SKELLEFTEÅ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49992-2022</t>
        </is>
      </c>
      <c r="B1525" s="1" t="n">
        <v>44860</v>
      </c>
      <c r="C1525" s="1" t="n">
        <v>45807</v>
      </c>
      <c r="D1525" t="inlineStr">
        <is>
          <t>VÄSTERBOTTENS LÄN</t>
        </is>
      </c>
      <c r="E1525" t="inlineStr">
        <is>
          <t>SKELLEFTEÅ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49246-2022</t>
        </is>
      </c>
      <c r="B1526" s="1" t="n">
        <v>44861</v>
      </c>
      <c r="C1526" s="1" t="n">
        <v>45807</v>
      </c>
      <c r="D1526" t="inlineStr">
        <is>
          <t>VÄSTERBOTTENS LÄN</t>
        </is>
      </c>
      <c r="E1526" t="inlineStr">
        <is>
          <t>SKELLEFTEÅ</t>
        </is>
      </c>
      <c r="F1526" t="inlineStr">
        <is>
          <t>Holmen skog AB</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49328-2022</t>
        </is>
      </c>
      <c r="B1527" s="1" t="n">
        <v>44861</v>
      </c>
      <c r="C1527" s="1" t="n">
        <v>45807</v>
      </c>
      <c r="D1527" t="inlineStr">
        <is>
          <t>VÄSTERBOTTENS LÄN</t>
        </is>
      </c>
      <c r="E1527" t="inlineStr">
        <is>
          <t>SKELLEFTEÅ</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49382-2022</t>
        </is>
      </c>
      <c r="B1528" s="1" t="n">
        <v>44861</v>
      </c>
      <c r="C1528" s="1" t="n">
        <v>45807</v>
      </c>
      <c r="D1528" t="inlineStr">
        <is>
          <t>VÄSTERBOTTENS LÄN</t>
        </is>
      </c>
      <c r="E1528" t="inlineStr">
        <is>
          <t>SKELLEFTEÅ</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49277-2022</t>
        </is>
      </c>
      <c r="B1529" s="1" t="n">
        <v>44861</v>
      </c>
      <c r="C1529" s="1" t="n">
        <v>45807</v>
      </c>
      <c r="D1529" t="inlineStr">
        <is>
          <t>VÄSTERBOTTENS LÄN</t>
        </is>
      </c>
      <c r="E1529" t="inlineStr">
        <is>
          <t>SKELLEFTEÅ</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49757-2022</t>
        </is>
      </c>
      <c r="B1530" s="1" t="n">
        <v>44862</v>
      </c>
      <c r="C1530" s="1" t="n">
        <v>45807</v>
      </c>
      <c r="D1530" t="inlineStr">
        <is>
          <t>VÄSTERBOTTENS LÄN</t>
        </is>
      </c>
      <c r="E1530" t="inlineStr">
        <is>
          <t>SKELLEFTEÅ</t>
        </is>
      </c>
      <c r="F1530" t="inlineStr">
        <is>
          <t>Holmen skog AB</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49749-2022</t>
        </is>
      </c>
      <c r="B1531" s="1" t="n">
        <v>44862</v>
      </c>
      <c r="C1531" s="1" t="n">
        <v>45807</v>
      </c>
      <c r="D1531" t="inlineStr">
        <is>
          <t>VÄSTERBOTTENS LÄN</t>
        </is>
      </c>
      <c r="E1531" t="inlineStr">
        <is>
          <t>SKELLEFTEÅ</t>
        </is>
      </c>
      <c r="F1531" t="inlineStr">
        <is>
          <t>Holmen skog AB</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49876-2022</t>
        </is>
      </c>
      <c r="B1532" s="1" t="n">
        <v>44864</v>
      </c>
      <c r="C1532" s="1" t="n">
        <v>45807</v>
      </c>
      <c r="D1532" t="inlineStr">
        <is>
          <t>VÄSTERBOTTENS LÄN</t>
        </is>
      </c>
      <c r="E1532" t="inlineStr">
        <is>
          <t>SKELLEFTEÅ</t>
        </is>
      </c>
      <c r="F1532" t="inlineStr">
        <is>
          <t>SCA</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49875-2022</t>
        </is>
      </c>
      <c r="B1533" s="1" t="n">
        <v>44864</v>
      </c>
      <c r="C1533" s="1" t="n">
        <v>45807</v>
      </c>
      <c r="D1533" t="inlineStr">
        <is>
          <t>VÄSTERBOTTENS LÄN</t>
        </is>
      </c>
      <c r="E1533" t="inlineStr">
        <is>
          <t>SKELLEFTEÅ</t>
        </is>
      </c>
      <c r="F1533" t="inlineStr">
        <is>
          <t>SCA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49906-2022</t>
        </is>
      </c>
      <c r="B1534" s="1" t="n">
        <v>44864</v>
      </c>
      <c r="C1534" s="1" t="n">
        <v>45807</v>
      </c>
      <c r="D1534" t="inlineStr">
        <is>
          <t>VÄSTERBOTTENS LÄN</t>
        </is>
      </c>
      <c r="E1534" t="inlineStr">
        <is>
          <t>SKELLEFTEÅ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49908-2022</t>
        </is>
      </c>
      <c r="B1535" s="1" t="n">
        <v>44864</v>
      </c>
      <c r="C1535" s="1" t="n">
        <v>45807</v>
      </c>
      <c r="D1535" t="inlineStr">
        <is>
          <t>VÄSTERBOTTENS LÄN</t>
        </is>
      </c>
      <c r="E1535" t="inlineStr">
        <is>
          <t>SKELLEFTEÅ</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49905-2022</t>
        </is>
      </c>
      <c r="B1536" s="1" t="n">
        <v>44864</v>
      </c>
      <c r="C1536" s="1" t="n">
        <v>45807</v>
      </c>
      <c r="D1536" t="inlineStr">
        <is>
          <t>VÄSTERBOTTENS LÄN</t>
        </is>
      </c>
      <c r="E1536" t="inlineStr">
        <is>
          <t>SKELLEFTEÅ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49907-2022</t>
        </is>
      </c>
      <c r="B1537" s="1" t="n">
        <v>44864</v>
      </c>
      <c r="C1537" s="1" t="n">
        <v>45807</v>
      </c>
      <c r="D1537" t="inlineStr">
        <is>
          <t>VÄSTERBOTTENS LÄN</t>
        </is>
      </c>
      <c r="E1537" t="inlineStr">
        <is>
          <t>SKELLEFTEÅ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50055-2022</t>
        </is>
      </c>
      <c r="B1538" s="1" t="n">
        <v>44865</v>
      </c>
      <c r="C1538" s="1" t="n">
        <v>45807</v>
      </c>
      <c r="D1538" t="inlineStr">
        <is>
          <t>VÄSTERBOTTENS LÄN</t>
        </is>
      </c>
      <c r="E1538" t="inlineStr">
        <is>
          <t>SKELLEFTEÅ</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49961-2022</t>
        </is>
      </c>
      <c r="B1539" s="1" t="n">
        <v>44865</v>
      </c>
      <c r="C1539" s="1" t="n">
        <v>45807</v>
      </c>
      <c r="D1539" t="inlineStr">
        <is>
          <t>VÄSTERBOTTENS LÄN</t>
        </is>
      </c>
      <c r="E1539" t="inlineStr">
        <is>
          <t>SKELLEFTEÅ</t>
        </is>
      </c>
      <c r="F1539" t="inlineStr">
        <is>
          <t>Holmen skog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50371-2022</t>
        </is>
      </c>
      <c r="B1540" s="1" t="n">
        <v>44866</v>
      </c>
      <c r="C1540" s="1" t="n">
        <v>45807</v>
      </c>
      <c r="D1540" t="inlineStr">
        <is>
          <t>VÄSTERBOTTENS LÄN</t>
        </is>
      </c>
      <c r="E1540" t="inlineStr">
        <is>
          <t>SKELLEFTEÅ</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50366-2022</t>
        </is>
      </c>
      <c r="B1541" s="1" t="n">
        <v>44866</v>
      </c>
      <c r="C1541" s="1" t="n">
        <v>45807</v>
      </c>
      <c r="D1541" t="inlineStr">
        <is>
          <t>VÄSTERBOTTENS LÄN</t>
        </is>
      </c>
      <c r="E1541" t="inlineStr">
        <is>
          <t>SKELLEFTEÅ</t>
        </is>
      </c>
      <c r="F1541" t="inlineStr">
        <is>
          <t>Holmen skog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50529-2022</t>
        </is>
      </c>
      <c r="B1542" s="1" t="n">
        <v>44866</v>
      </c>
      <c r="C1542" s="1" t="n">
        <v>45807</v>
      </c>
      <c r="D1542" t="inlineStr">
        <is>
          <t>VÄSTERBOTTENS LÄN</t>
        </is>
      </c>
      <c r="E1542" t="inlineStr">
        <is>
          <t>SKELLEFTEÅ</t>
        </is>
      </c>
      <c r="F1542" t="inlineStr">
        <is>
          <t>Holmen skog AB</t>
        </is>
      </c>
      <c r="G1542" t="n">
        <v>20.7</v>
      </c>
      <c r="H1542" t="n">
        <v>0</v>
      </c>
      <c r="I1542" t="n">
        <v>0</v>
      </c>
      <c r="J1542" t="n">
        <v>0</v>
      </c>
      <c r="K1542" t="n">
        <v>0</v>
      </c>
      <c r="L1542" t="n">
        <v>0</v>
      </c>
      <c r="M1542" t="n">
        <v>0</v>
      </c>
      <c r="N1542" t="n">
        <v>0</v>
      </c>
      <c r="O1542" t="n">
        <v>0</v>
      </c>
      <c r="P1542" t="n">
        <v>0</v>
      </c>
      <c r="Q1542" t="n">
        <v>0</v>
      </c>
      <c r="R1542" s="2" t="inlineStr"/>
    </row>
    <row r="1543" ht="15" customHeight="1">
      <c r="A1543" t="inlineStr">
        <is>
          <t>A 50409-2022</t>
        </is>
      </c>
      <c r="B1543" s="1" t="n">
        <v>44866</v>
      </c>
      <c r="C1543" s="1" t="n">
        <v>45807</v>
      </c>
      <c r="D1543" t="inlineStr">
        <is>
          <t>VÄSTERBOTTENS LÄN</t>
        </is>
      </c>
      <c r="E1543" t="inlineStr">
        <is>
          <t>SKELLEFTEÅ</t>
        </is>
      </c>
      <c r="F1543" t="inlineStr">
        <is>
          <t>Holmen skog AB</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50538-2022</t>
        </is>
      </c>
      <c r="B1544" s="1" t="n">
        <v>44866</v>
      </c>
      <c r="C1544" s="1" t="n">
        <v>45807</v>
      </c>
      <c r="D1544" t="inlineStr">
        <is>
          <t>VÄSTERBOTTENS LÄN</t>
        </is>
      </c>
      <c r="E1544" t="inlineStr">
        <is>
          <t>SKELLEFTEÅ</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50549-2022</t>
        </is>
      </c>
      <c r="B1545" s="1" t="n">
        <v>44866</v>
      </c>
      <c r="C1545" s="1" t="n">
        <v>45807</v>
      </c>
      <c r="D1545" t="inlineStr">
        <is>
          <t>VÄSTERBOTTENS LÄN</t>
        </is>
      </c>
      <c r="E1545" t="inlineStr">
        <is>
          <t>SKELLEFTEÅ</t>
        </is>
      </c>
      <c r="F1545" t="inlineStr">
        <is>
          <t>Kommuner</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50531-2022</t>
        </is>
      </c>
      <c r="B1546" s="1" t="n">
        <v>44866</v>
      </c>
      <c r="C1546" s="1" t="n">
        <v>45807</v>
      </c>
      <c r="D1546" t="inlineStr">
        <is>
          <t>VÄSTERBOTTENS LÄN</t>
        </is>
      </c>
      <c r="E1546" t="inlineStr">
        <is>
          <t>SKELLEFTEÅ</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50554-2022</t>
        </is>
      </c>
      <c r="B1547" s="1" t="n">
        <v>44866</v>
      </c>
      <c r="C1547" s="1" t="n">
        <v>45807</v>
      </c>
      <c r="D1547" t="inlineStr">
        <is>
          <t>VÄSTERBOTTENS LÄN</t>
        </is>
      </c>
      <c r="E1547" t="inlineStr">
        <is>
          <t>SKELLEFTEÅ</t>
        </is>
      </c>
      <c r="F1547" t="inlineStr">
        <is>
          <t>Kommuner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50872-2022</t>
        </is>
      </c>
      <c r="B1548" s="1" t="n">
        <v>44867</v>
      </c>
      <c r="C1548" s="1" t="n">
        <v>45807</v>
      </c>
      <c r="D1548" t="inlineStr">
        <is>
          <t>VÄSTERBOTTENS LÄN</t>
        </is>
      </c>
      <c r="E1548" t="inlineStr">
        <is>
          <t>SKELLEFTEÅ</t>
        </is>
      </c>
      <c r="F1548" t="inlineStr">
        <is>
          <t>Holmen skog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50838-2022</t>
        </is>
      </c>
      <c r="B1549" s="1" t="n">
        <v>44867</v>
      </c>
      <c r="C1549" s="1" t="n">
        <v>45807</v>
      </c>
      <c r="D1549" t="inlineStr">
        <is>
          <t>VÄSTERBOTTENS LÄN</t>
        </is>
      </c>
      <c r="E1549" t="inlineStr">
        <is>
          <t>SKELLEFTEÅ</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51222-2022</t>
        </is>
      </c>
      <c r="B1550" s="1" t="n">
        <v>44868</v>
      </c>
      <c r="C1550" s="1" t="n">
        <v>45807</v>
      </c>
      <c r="D1550" t="inlineStr">
        <is>
          <t>VÄSTERBOTTENS LÄN</t>
        </is>
      </c>
      <c r="E1550" t="inlineStr">
        <is>
          <t>SKELLEFTEÅ</t>
        </is>
      </c>
      <c r="F1550" t="inlineStr">
        <is>
          <t>Holmen skog AB</t>
        </is>
      </c>
      <c r="G1550" t="n">
        <v>16.4</v>
      </c>
      <c r="H1550" t="n">
        <v>0</v>
      </c>
      <c r="I1550" t="n">
        <v>0</v>
      </c>
      <c r="J1550" t="n">
        <v>0</v>
      </c>
      <c r="K1550" t="n">
        <v>0</v>
      </c>
      <c r="L1550" t="n">
        <v>0</v>
      </c>
      <c r="M1550" t="n">
        <v>0</v>
      </c>
      <c r="N1550" t="n">
        <v>0</v>
      </c>
      <c r="O1550" t="n">
        <v>0</v>
      </c>
      <c r="P1550" t="n">
        <v>0</v>
      </c>
      <c r="Q1550" t="n">
        <v>0</v>
      </c>
      <c r="R1550" s="2" t="inlineStr"/>
    </row>
    <row r="1551" ht="15" customHeight="1">
      <c r="A1551" t="inlineStr">
        <is>
          <t>A 51160-2022</t>
        </is>
      </c>
      <c r="B1551" s="1" t="n">
        <v>44868</v>
      </c>
      <c r="C1551" s="1" t="n">
        <v>45807</v>
      </c>
      <c r="D1551" t="inlineStr">
        <is>
          <t>VÄSTERBOTTENS LÄN</t>
        </is>
      </c>
      <c r="E1551" t="inlineStr">
        <is>
          <t>SKELLEFTEÅ</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51240-2022</t>
        </is>
      </c>
      <c r="B1552" s="1" t="n">
        <v>44868</v>
      </c>
      <c r="C1552" s="1" t="n">
        <v>45807</v>
      </c>
      <c r="D1552" t="inlineStr">
        <is>
          <t>VÄSTERBOTTENS LÄN</t>
        </is>
      </c>
      <c r="E1552" t="inlineStr">
        <is>
          <t>SKELLEFTEÅ</t>
        </is>
      </c>
      <c r="F1552" t="inlineStr">
        <is>
          <t>Holmen skog AB</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52129-2022</t>
        </is>
      </c>
      <c r="B1553" s="1" t="n">
        <v>44868</v>
      </c>
      <c r="C1553" s="1" t="n">
        <v>45807</v>
      </c>
      <c r="D1553" t="inlineStr">
        <is>
          <t>VÄSTERBOTTENS LÄN</t>
        </is>
      </c>
      <c r="E1553" t="inlineStr">
        <is>
          <t>SKELLEFTEÅ</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52141-2022</t>
        </is>
      </c>
      <c r="B1554" s="1" t="n">
        <v>44868</v>
      </c>
      <c r="C1554" s="1" t="n">
        <v>45807</v>
      </c>
      <c r="D1554" t="inlineStr">
        <is>
          <t>VÄSTERBOTTENS LÄN</t>
        </is>
      </c>
      <c r="E1554" t="inlineStr">
        <is>
          <t>SKELLEFTEÅ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52148-2022</t>
        </is>
      </c>
      <c r="B1555" s="1" t="n">
        <v>44868</v>
      </c>
      <c r="C1555" s="1" t="n">
        <v>45807</v>
      </c>
      <c r="D1555" t="inlineStr">
        <is>
          <t>VÄSTERBOTTENS LÄN</t>
        </is>
      </c>
      <c r="E1555" t="inlineStr">
        <is>
          <t>SKELLEFTEÅ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52135-2022</t>
        </is>
      </c>
      <c r="B1556" s="1" t="n">
        <v>44868</v>
      </c>
      <c r="C1556" s="1" t="n">
        <v>45807</v>
      </c>
      <c r="D1556" t="inlineStr">
        <is>
          <t>VÄSTERBOTTENS LÄN</t>
        </is>
      </c>
      <c r="E1556" t="inlineStr">
        <is>
          <t>SKELLEFTEÅ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51486-2022</t>
        </is>
      </c>
      <c r="B1557" s="1" t="n">
        <v>44869</v>
      </c>
      <c r="C1557" s="1" t="n">
        <v>45807</v>
      </c>
      <c r="D1557" t="inlineStr">
        <is>
          <t>VÄSTERBOTTENS LÄN</t>
        </is>
      </c>
      <c r="E1557" t="inlineStr">
        <is>
          <t>SKELLEFTEÅ</t>
        </is>
      </c>
      <c r="F1557" t="inlineStr">
        <is>
          <t>Holmen skog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51427-2022</t>
        </is>
      </c>
      <c r="B1558" s="1" t="n">
        <v>44869</v>
      </c>
      <c r="C1558" s="1" t="n">
        <v>45807</v>
      </c>
      <c r="D1558" t="inlineStr">
        <is>
          <t>VÄSTERBOTTENS LÄN</t>
        </is>
      </c>
      <c r="E1558" t="inlineStr">
        <is>
          <t>SKELLEFTEÅ</t>
        </is>
      </c>
      <c r="F1558" t="inlineStr">
        <is>
          <t>Holmen skog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51438-2022</t>
        </is>
      </c>
      <c r="B1559" s="1" t="n">
        <v>44869</v>
      </c>
      <c r="C1559" s="1" t="n">
        <v>45807</v>
      </c>
      <c r="D1559" t="inlineStr">
        <is>
          <t>VÄSTERBOTTENS LÄN</t>
        </is>
      </c>
      <c r="E1559" t="inlineStr">
        <is>
          <t>SKELLEFTEÅ</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52482-2022</t>
        </is>
      </c>
      <c r="B1560" s="1" t="n">
        <v>44869</v>
      </c>
      <c r="C1560" s="1" t="n">
        <v>45807</v>
      </c>
      <c r="D1560" t="inlineStr">
        <is>
          <t>VÄSTERBOTTENS LÄN</t>
        </is>
      </c>
      <c r="E1560" t="inlineStr">
        <is>
          <t>SKELLEFTEÅ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52500-2022</t>
        </is>
      </c>
      <c r="B1561" s="1" t="n">
        <v>44869</v>
      </c>
      <c r="C1561" s="1" t="n">
        <v>45807</v>
      </c>
      <c r="D1561" t="inlineStr">
        <is>
          <t>VÄSTERBOTTENS LÄN</t>
        </is>
      </c>
      <c r="E1561" t="inlineStr">
        <is>
          <t>SKELLEFTEÅ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52475-2022</t>
        </is>
      </c>
      <c r="B1562" s="1" t="n">
        <v>44869</v>
      </c>
      <c r="C1562" s="1" t="n">
        <v>45807</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52497-2022</t>
        </is>
      </c>
      <c r="B1563" s="1" t="n">
        <v>44869</v>
      </c>
      <c r="C1563" s="1" t="n">
        <v>45807</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52459-2022</t>
        </is>
      </c>
      <c r="B1564" s="1" t="n">
        <v>44869</v>
      </c>
      <c r="C1564" s="1" t="n">
        <v>45807</v>
      </c>
      <c r="D1564" t="inlineStr">
        <is>
          <t>VÄSTERBOTTENS LÄN</t>
        </is>
      </c>
      <c r="E1564" t="inlineStr">
        <is>
          <t>SKELLEFTEÅ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52492-2022</t>
        </is>
      </c>
      <c r="B1565" s="1" t="n">
        <v>44869</v>
      </c>
      <c r="C1565" s="1" t="n">
        <v>45807</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52488-2022</t>
        </is>
      </c>
      <c r="B1566" s="1" t="n">
        <v>44869</v>
      </c>
      <c r="C1566" s="1" t="n">
        <v>45807</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51919-2022</t>
        </is>
      </c>
      <c r="B1567" s="1" t="n">
        <v>44872</v>
      </c>
      <c r="C1567" s="1" t="n">
        <v>45807</v>
      </c>
      <c r="D1567" t="inlineStr">
        <is>
          <t>VÄSTERBOTTENS LÄN</t>
        </is>
      </c>
      <c r="E1567" t="inlineStr">
        <is>
          <t>SKELLEFTEÅ</t>
        </is>
      </c>
      <c r="F1567" t="inlineStr">
        <is>
          <t>Holmen skog AB</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51951-2022</t>
        </is>
      </c>
      <c r="B1568" s="1" t="n">
        <v>44872</v>
      </c>
      <c r="C1568" s="1" t="n">
        <v>45807</v>
      </c>
      <c r="D1568" t="inlineStr">
        <is>
          <t>VÄSTERBOTTENS LÄN</t>
        </is>
      </c>
      <c r="E1568" t="inlineStr">
        <is>
          <t>SKELLEFTEÅ</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52009-2022</t>
        </is>
      </c>
      <c r="B1569" s="1" t="n">
        <v>44872</v>
      </c>
      <c r="C1569" s="1" t="n">
        <v>45807</v>
      </c>
      <c r="D1569" t="inlineStr">
        <is>
          <t>VÄSTERBOTTENS LÄN</t>
        </is>
      </c>
      <c r="E1569" t="inlineStr">
        <is>
          <t>SKELLEFTEÅ</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51982-2022</t>
        </is>
      </c>
      <c r="B1570" s="1" t="n">
        <v>44872</v>
      </c>
      <c r="C1570" s="1" t="n">
        <v>45807</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51874-2022</t>
        </is>
      </c>
      <c r="B1571" s="1" t="n">
        <v>44872</v>
      </c>
      <c r="C1571" s="1" t="n">
        <v>45807</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52864-2022</t>
        </is>
      </c>
      <c r="B1572" s="1" t="n">
        <v>44872</v>
      </c>
      <c r="C1572" s="1" t="n">
        <v>45807</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52003-2022</t>
        </is>
      </c>
      <c r="B1573" s="1" t="n">
        <v>44872</v>
      </c>
      <c r="C1573" s="1" t="n">
        <v>45807</v>
      </c>
      <c r="D1573" t="inlineStr">
        <is>
          <t>VÄSTERBOTTENS LÄN</t>
        </is>
      </c>
      <c r="E1573" t="inlineStr">
        <is>
          <t>SKELLEFTEÅ</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52817-2022</t>
        </is>
      </c>
      <c r="B1574" s="1" t="n">
        <v>44872</v>
      </c>
      <c r="C1574" s="1" t="n">
        <v>45807</v>
      </c>
      <c r="D1574" t="inlineStr">
        <is>
          <t>VÄSTERBOTTENS LÄN</t>
        </is>
      </c>
      <c r="E1574" t="inlineStr">
        <is>
          <t>SKELLEFTEÅ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53753-2022</t>
        </is>
      </c>
      <c r="B1575" s="1" t="n">
        <v>44872</v>
      </c>
      <c r="C1575" s="1" t="n">
        <v>45807</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52871-2022</t>
        </is>
      </c>
      <c r="B1576" s="1" t="n">
        <v>44872</v>
      </c>
      <c r="C1576" s="1" t="n">
        <v>45807</v>
      </c>
      <c r="D1576" t="inlineStr">
        <is>
          <t>VÄSTERBOTTENS LÄN</t>
        </is>
      </c>
      <c r="E1576" t="inlineStr">
        <is>
          <t>SKELLEFTEÅ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53743-2022</t>
        </is>
      </c>
      <c r="B1577" s="1" t="n">
        <v>44872</v>
      </c>
      <c r="C1577" s="1" t="n">
        <v>45807</v>
      </c>
      <c r="D1577" t="inlineStr">
        <is>
          <t>VÄSTERBOTTENS LÄN</t>
        </is>
      </c>
      <c r="E1577" t="inlineStr">
        <is>
          <t>SKELLEFTEÅ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52855-2022</t>
        </is>
      </c>
      <c r="B1578" s="1" t="n">
        <v>44872</v>
      </c>
      <c r="C1578" s="1" t="n">
        <v>45807</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52043-2022</t>
        </is>
      </c>
      <c r="B1579" s="1" t="n">
        <v>44873</v>
      </c>
      <c r="C1579" s="1" t="n">
        <v>45807</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52589-2022</t>
        </is>
      </c>
      <c r="B1580" s="1" t="n">
        <v>44874</v>
      </c>
      <c r="C1580" s="1" t="n">
        <v>45807</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52548-2022</t>
        </is>
      </c>
      <c r="B1581" s="1" t="n">
        <v>44874</v>
      </c>
      <c r="C1581" s="1" t="n">
        <v>45807</v>
      </c>
      <c r="D1581" t="inlineStr">
        <is>
          <t>VÄSTERBOTTENS LÄN</t>
        </is>
      </c>
      <c r="E1581" t="inlineStr">
        <is>
          <t>SKELLEFTEÅ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52555-2022</t>
        </is>
      </c>
      <c r="B1582" s="1" t="n">
        <v>44874</v>
      </c>
      <c r="C1582" s="1" t="n">
        <v>45807</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52835-2022</t>
        </is>
      </c>
      <c r="B1583" s="1" t="n">
        <v>44875</v>
      </c>
      <c r="C1583" s="1" t="n">
        <v>45807</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52869-2022</t>
        </is>
      </c>
      <c r="B1584" s="1" t="n">
        <v>44875</v>
      </c>
      <c r="C1584" s="1" t="n">
        <v>45807</v>
      </c>
      <c r="D1584" t="inlineStr">
        <is>
          <t>VÄSTERBOTTENS LÄN</t>
        </is>
      </c>
      <c r="E1584" t="inlineStr">
        <is>
          <t>SKELLEFTEÅ</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52986-2022</t>
        </is>
      </c>
      <c r="B1585" s="1" t="n">
        <v>44875</v>
      </c>
      <c r="C1585" s="1" t="n">
        <v>45807</v>
      </c>
      <c r="D1585" t="inlineStr">
        <is>
          <t>VÄSTERBOTTENS LÄN</t>
        </is>
      </c>
      <c r="E1585" t="inlineStr">
        <is>
          <t>SKELLEFTEÅ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52988-2022</t>
        </is>
      </c>
      <c r="B1586" s="1" t="n">
        <v>44875</v>
      </c>
      <c r="C1586" s="1" t="n">
        <v>45807</v>
      </c>
      <c r="D1586" t="inlineStr">
        <is>
          <t>VÄSTERBOTTENS LÄN</t>
        </is>
      </c>
      <c r="E1586" t="inlineStr">
        <is>
          <t>SKELLEFTEÅ</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53033-2022</t>
        </is>
      </c>
      <c r="B1587" s="1" t="n">
        <v>44876</v>
      </c>
      <c r="C1587" s="1" t="n">
        <v>45807</v>
      </c>
      <c r="D1587" t="inlineStr">
        <is>
          <t>VÄSTERBOTTENS LÄN</t>
        </is>
      </c>
      <c r="E1587" t="inlineStr">
        <is>
          <t>SKELLEFTEÅ</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53075-2022</t>
        </is>
      </c>
      <c r="B1588" s="1" t="n">
        <v>44876</v>
      </c>
      <c r="C1588" s="1" t="n">
        <v>45807</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53089-2022</t>
        </is>
      </c>
      <c r="B1589" s="1" t="n">
        <v>44876</v>
      </c>
      <c r="C1589" s="1" t="n">
        <v>45807</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53092-2022</t>
        </is>
      </c>
      <c r="B1590" s="1" t="n">
        <v>44876</v>
      </c>
      <c r="C1590" s="1" t="n">
        <v>45807</v>
      </c>
      <c r="D1590" t="inlineStr">
        <is>
          <t>VÄSTERBOTTENS LÄN</t>
        </is>
      </c>
      <c r="E1590" t="inlineStr">
        <is>
          <t>SKELLEFTEÅ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53083-2022</t>
        </is>
      </c>
      <c r="B1591" s="1" t="n">
        <v>44876</v>
      </c>
      <c r="C1591" s="1" t="n">
        <v>45807</v>
      </c>
      <c r="D1591" t="inlineStr">
        <is>
          <t>VÄSTERBOTTENS LÄN</t>
        </is>
      </c>
      <c r="E1591" t="inlineStr">
        <is>
          <t>SKELLEFTEÅ</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53639-2022</t>
        </is>
      </c>
      <c r="B1592" s="1" t="n">
        <v>44879</v>
      </c>
      <c r="C1592" s="1" t="n">
        <v>45807</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53646-2022</t>
        </is>
      </c>
      <c r="B1593" s="1" t="n">
        <v>44879</v>
      </c>
      <c r="C1593" s="1" t="n">
        <v>45807</v>
      </c>
      <c r="D1593" t="inlineStr">
        <is>
          <t>VÄSTERBOTTENS LÄN</t>
        </is>
      </c>
      <c r="E1593" t="inlineStr">
        <is>
          <t>SKELLEFTEÅ</t>
        </is>
      </c>
      <c r="G1593" t="n">
        <v>10.6</v>
      </c>
      <c r="H1593" t="n">
        <v>0</v>
      </c>
      <c r="I1593" t="n">
        <v>0</v>
      </c>
      <c r="J1593" t="n">
        <v>0</v>
      </c>
      <c r="K1593" t="n">
        <v>0</v>
      </c>
      <c r="L1593" t="n">
        <v>0</v>
      </c>
      <c r="M1593" t="n">
        <v>0</v>
      </c>
      <c r="N1593" t="n">
        <v>0</v>
      </c>
      <c r="O1593" t="n">
        <v>0</v>
      </c>
      <c r="P1593" t="n">
        <v>0</v>
      </c>
      <c r="Q1593" t="n">
        <v>0</v>
      </c>
      <c r="R1593" s="2" t="inlineStr"/>
    </row>
    <row r="1594" ht="15" customHeight="1">
      <c r="A1594" t="inlineStr">
        <is>
          <t>A 53642-2022</t>
        </is>
      </c>
      <c r="B1594" s="1" t="n">
        <v>44879</v>
      </c>
      <c r="C1594" s="1" t="n">
        <v>45807</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53641-2022</t>
        </is>
      </c>
      <c r="B1595" s="1" t="n">
        <v>44879</v>
      </c>
      <c r="C1595" s="1" t="n">
        <v>45807</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54316-2022</t>
        </is>
      </c>
      <c r="B1596" s="1" t="n">
        <v>44879</v>
      </c>
      <c r="C1596" s="1" t="n">
        <v>45807</v>
      </c>
      <c r="D1596" t="inlineStr">
        <is>
          <t>VÄSTERBOTTENS LÄN</t>
        </is>
      </c>
      <c r="E1596" t="inlineStr">
        <is>
          <t>SKELLEFTEÅ</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54438-2022</t>
        </is>
      </c>
      <c r="B1597" s="1" t="n">
        <v>44880</v>
      </c>
      <c r="C1597" s="1" t="n">
        <v>45807</v>
      </c>
      <c r="D1597" t="inlineStr">
        <is>
          <t>VÄSTERBOTTENS LÄN</t>
        </is>
      </c>
      <c r="E1597" t="inlineStr">
        <is>
          <t>SKELLEFTEÅ</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53903-2022</t>
        </is>
      </c>
      <c r="B1598" s="1" t="n">
        <v>44880</v>
      </c>
      <c r="C1598" s="1" t="n">
        <v>45807</v>
      </c>
      <c r="D1598" t="inlineStr">
        <is>
          <t>VÄSTERBOTTENS LÄN</t>
        </is>
      </c>
      <c r="E1598" t="inlineStr">
        <is>
          <t>SKELLEFTEÅ</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54456-2022</t>
        </is>
      </c>
      <c r="B1599" s="1" t="n">
        <v>44880</v>
      </c>
      <c r="C1599" s="1" t="n">
        <v>45807</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54081-2022</t>
        </is>
      </c>
      <c r="B1600" s="1" t="n">
        <v>44881</v>
      </c>
      <c r="C1600" s="1" t="n">
        <v>45807</v>
      </c>
      <c r="D1600" t="inlineStr">
        <is>
          <t>VÄSTERBOTTENS LÄN</t>
        </is>
      </c>
      <c r="E1600" t="inlineStr">
        <is>
          <t>SKELLEFTEÅ</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54825-2022</t>
        </is>
      </c>
      <c r="B1601" s="1" t="n">
        <v>44883</v>
      </c>
      <c r="C1601" s="1" t="n">
        <v>45807</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54635-2022</t>
        </is>
      </c>
      <c r="B1602" s="1" t="n">
        <v>44883</v>
      </c>
      <c r="C1602" s="1" t="n">
        <v>45807</v>
      </c>
      <c r="D1602" t="inlineStr">
        <is>
          <t>VÄSTERBOTTENS LÄN</t>
        </is>
      </c>
      <c r="E1602" t="inlineStr">
        <is>
          <t>SKELLEFTEÅ</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55018-2022</t>
        </is>
      </c>
      <c r="B1603" s="1" t="n">
        <v>44886</v>
      </c>
      <c r="C1603" s="1" t="n">
        <v>45807</v>
      </c>
      <c r="D1603" t="inlineStr">
        <is>
          <t>VÄSTERBOTTENS LÄN</t>
        </is>
      </c>
      <c r="E1603" t="inlineStr">
        <is>
          <t>SKELLEFTEÅ</t>
        </is>
      </c>
      <c r="F1603" t="inlineStr">
        <is>
          <t>Holmen skog AB</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55063-2022</t>
        </is>
      </c>
      <c r="B1604" s="1" t="n">
        <v>44886</v>
      </c>
      <c r="C1604" s="1" t="n">
        <v>45807</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55037-2022</t>
        </is>
      </c>
      <c r="B1605" s="1" t="n">
        <v>44886</v>
      </c>
      <c r="C1605" s="1" t="n">
        <v>45807</v>
      </c>
      <c r="D1605" t="inlineStr">
        <is>
          <t>VÄSTERBOTTENS LÄN</t>
        </is>
      </c>
      <c r="E1605" t="inlineStr">
        <is>
          <t>SKELLEFTEÅ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55176-2022</t>
        </is>
      </c>
      <c r="B1606" s="1" t="n">
        <v>44886</v>
      </c>
      <c r="C1606" s="1" t="n">
        <v>45807</v>
      </c>
      <c r="D1606" t="inlineStr">
        <is>
          <t>VÄSTERBOTTENS LÄN</t>
        </is>
      </c>
      <c r="E1606" t="inlineStr">
        <is>
          <t>SKELLEFTEÅ</t>
        </is>
      </c>
      <c r="F1606" t="inlineStr">
        <is>
          <t>Sveaskog</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56313-2022</t>
        </is>
      </c>
      <c r="B1607" s="1" t="n">
        <v>44887</v>
      </c>
      <c r="C1607" s="1" t="n">
        <v>45807</v>
      </c>
      <c r="D1607" t="inlineStr">
        <is>
          <t>VÄSTERBOTTENS LÄN</t>
        </is>
      </c>
      <c r="E1607" t="inlineStr">
        <is>
          <t>SKELLEFTEÅ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56299-2022</t>
        </is>
      </c>
      <c r="B1608" s="1" t="n">
        <v>44887</v>
      </c>
      <c r="C1608" s="1" t="n">
        <v>45807</v>
      </c>
      <c r="D1608" t="inlineStr">
        <is>
          <t>VÄSTERBOTTENS LÄN</t>
        </is>
      </c>
      <c r="E1608" t="inlineStr">
        <is>
          <t>SKELLEFTEÅ</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55611-2022</t>
        </is>
      </c>
      <c r="B1609" s="1" t="n">
        <v>44888</v>
      </c>
      <c r="C1609" s="1" t="n">
        <v>45807</v>
      </c>
      <c r="D1609" t="inlineStr">
        <is>
          <t>VÄSTERBOTTENS LÄN</t>
        </is>
      </c>
      <c r="E1609" t="inlineStr">
        <is>
          <t>SKELLEFTEÅ</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55584-2022</t>
        </is>
      </c>
      <c r="B1610" s="1" t="n">
        <v>44888</v>
      </c>
      <c r="C1610" s="1" t="n">
        <v>45807</v>
      </c>
      <c r="D1610" t="inlineStr">
        <is>
          <t>VÄSTERBOTTENS LÄN</t>
        </is>
      </c>
      <c r="E1610" t="inlineStr">
        <is>
          <t>SKELLEFTEÅ</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55603-2022</t>
        </is>
      </c>
      <c r="B1611" s="1" t="n">
        <v>44888</v>
      </c>
      <c r="C1611" s="1" t="n">
        <v>45807</v>
      </c>
      <c r="D1611" t="inlineStr">
        <is>
          <t>VÄSTERBOTTENS LÄN</t>
        </is>
      </c>
      <c r="E1611" t="inlineStr">
        <is>
          <t>SKELLEFTEÅ</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55623-2022</t>
        </is>
      </c>
      <c r="B1612" s="1" t="n">
        <v>44888</v>
      </c>
      <c r="C1612" s="1" t="n">
        <v>45807</v>
      </c>
      <c r="D1612" t="inlineStr">
        <is>
          <t>VÄSTERBOTTENS LÄN</t>
        </is>
      </c>
      <c r="E1612" t="inlineStr">
        <is>
          <t>SKELLEFTEÅ</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55815-2022</t>
        </is>
      </c>
      <c r="B1613" s="1" t="n">
        <v>44888</v>
      </c>
      <c r="C1613" s="1" t="n">
        <v>45807</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55827-2022</t>
        </is>
      </c>
      <c r="B1614" s="1" t="n">
        <v>44888</v>
      </c>
      <c r="C1614" s="1" t="n">
        <v>45807</v>
      </c>
      <c r="D1614" t="inlineStr">
        <is>
          <t>VÄSTERBOTTENS LÄN</t>
        </is>
      </c>
      <c r="E1614" t="inlineStr">
        <is>
          <t>SKELLEFTEÅ</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56824-2022</t>
        </is>
      </c>
      <c r="B1615" s="1" t="n">
        <v>44888</v>
      </c>
      <c r="C1615" s="1" t="n">
        <v>45807</v>
      </c>
      <c r="D1615" t="inlineStr">
        <is>
          <t>VÄSTERBOTTENS LÄN</t>
        </is>
      </c>
      <c r="E1615" t="inlineStr">
        <is>
          <t>SKELLEFTEÅ</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56031-2022</t>
        </is>
      </c>
      <c r="B1616" s="1" t="n">
        <v>44889</v>
      </c>
      <c r="C1616" s="1" t="n">
        <v>45807</v>
      </c>
      <c r="D1616" t="inlineStr">
        <is>
          <t>VÄSTERBOTTENS LÄN</t>
        </is>
      </c>
      <c r="E1616" t="inlineStr">
        <is>
          <t>SKELLEFTEÅ</t>
        </is>
      </c>
      <c r="F1616" t="inlineStr">
        <is>
          <t>Sveaskog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55982-2022</t>
        </is>
      </c>
      <c r="B1617" s="1" t="n">
        <v>44889</v>
      </c>
      <c r="C1617" s="1" t="n">
        <v>45807</v>
      </c>
      <c r="D1617" t="inlineStr">
        <is>
          <t>VÄSTERBOTTENS LÄN</t>
        </is>
      </c>
      <c r="E1617" t="inlineStr">
        <is>
          <t>SKELLEFTEÅ</t>
        </is>
      </c>
      <c r="F1617" t="inlineStr">
        <is>
          <t>Holmen skog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55999-2022</t>
        </is>
      </c>
      <c r="B1618" s="1" t="n">
        <v>44889</v>
      </c>
      <c r="C1618" s="1" t="n">
        <v>45807</v>
      </c>
      <c r="D1618" t="inlineStr">
        <is>
          <t>VÄSTERBOTTENS LÄN</t>
        </is>
      </c>
      <c r="E1618" t="inlineStr">
        <is>
          <t>SKELLEFTEÅ</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56072-2022</t>
        </is>
      </c>
      <c r="B1619" s="1" t="n">
        <v>44889</v>
      </c>
      <c r="C1619" s="1" t="n">
        <v>45807</v>
      </c>
      <c r="D1619" t="inlineStr">
        <is>
          <t>VÄSTERBOTTENS LÄN</t>
        </is>
      </c>
      <c r="E1619" t="inlineStr">
        <is>
          <t>SKELLEFTEÅ</t>
        </is>
      </c>
      <c r="F1619" t="inlineStr">
        <is>
          <t>Holmen skog AB</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56141-2022</t>
        </is>
      </c>
      <c r="B1620" s="1" t="n">
        <v>44889</v>
      </c>
      <c r="C1620" s="1" t="n">
        <v>45807</v>
      </c>
      <c r="D1620" t="inlineStr">
        <is>
          <t>VÄSTERBOTTENS LÄN</t>
        </is>
      </c>
      <c r="E1620" t="inlineStr">
        <is>
          <t>SKELLEFTEÅ</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56155-2022</t>
        </is>
      </c>
      <c r="B1621" s="1" t="n">
        <v>44889</v>
      </c>
      <c r="C1621" s="1" t="n">
        <v>45807</v>
      </c>
      <c r="D1621" t="inlineStr">
        <is>
          <t>VÄSTERBOTTENS LÄN</t>
        </is>
      </c>
      <c r="E1621" t="inlineStr">
        <is>
          <t>SKELLEFTEÅ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56113-2022</t>
        </is>
      </c>
      <c r="B1622" s="1" t="n">
        <v>44889</v>
      </c>
      <c r="C1622" s="1" t="n">
        <v>45807</v>
      </c>
      <c r="D1622" t="inlineStr">
        <is>
          <t>VÄSTERBOTTENS LÄN</t>
        </is>
      </c>
      <c r="E1622" t="inlineStr">
        <is>
          <t>SKELLEFTEÅ</t>
        </is>
      </c>
      <c r="F1622" t="inlineStr">
        <is>
          <t>Sveaskog</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56156-2022</t>
        </is>
      </c>
      <c r="B1623" s="1" t="n">
        <v>44889</v>
      </c>
      <c r="C1623" s="1" t="n">
        <v>45807</v>
      </c>
      <c r="D1623" t="inlineStr">
        <is>
          <t>VÄSTERBOTTENS LÄN</t>
        </is>
      </c>
      <c r="E1623" t="inlineStr">
        <is>
          <t>SKELLEFTEÅ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57405-2022</t>
        </is>
      </c>
      <c r="B1624" s="1" t="n">
        <v>44889</v>
      </c>
      <c r="C1624" s="1" t="n">
        <v>45807</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57432-2022</t>
        </is>
      </c>
      <c r="B1625" s="1" t="n">
        <v>44889</v>
      </c>
      <c r="C1625" s="1" t="n">
        <v>45807</v>
      </c>
      <c r="D1625" t="inlineStr">
        <is>
          <t>VÄSTERBOTTENS LÄN</t>
        </is>
      </c>
      <c r="E1625" t="inlineStr">
        <is>
          <t>SKELLEFTEÅ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56284-2022</t>
        </is>
      </c>
      <c r="B1626" s="1" t="n">
        <v>44890</v>
      </c>
      <c r="C1626" s="1" t="n">
        <v>45807</v>
      </c>
      <c r="D1626" t="inlineStr">
        <is>
          <t>VÄSTERBOTTENS LÄN</t>
        </is>
      </c>
      <c r="E1626" t="inlineStr">
        <is>
          <t>SKELLEFTEÅ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56394-2022</t>
        </is>
      </c>
      <c r="B1627" s="1" t="n">
        <v>44890</v>
      </c>
      <c r="C1627" s="1" t="n">
        <v>45807</v>
      </c>
      <c r="D1627" t="inlineStr">
        <is>
          <t>VÄSTERBOTTENS LÄN</t>
        </is>
      </c>
      <c r="E1627" t="inlineStr">
        <is>
          <t>SKELLEFTEÅ</t>
        </is>
      </c>
      <c r="F1627" t="inlineStr">
        <is>
          <t>Sveaskog</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56435-2022</t>
        </is>
      </c>
      <c r="B1628" s="1" t="n">
        <v>44892</v>
      </c>
      <c r="C1628" s="1" t="n">
        <v>45807</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56503-2022</t>
        </is>
      </c>
      <c r="B1629" s="1" t="n">
        <v>44893</v>
      </c>
      <c r="C1629" s="1" t="n">
        <v>45807</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57406-2022</t>
        </is>
      </c>
      <c r="B1630" s="1" t="n">
        <v>44893</v>
      </c>
      <c r="C1630" s="1" t="n">
        <v>45807</v>
      </c>
      <c r="D1630" t="inlineStr">
        <is>
          <t>VÄSTERBOTTENS LÄN</t>
        </is>
      </c>
      <c r="E1630" t="inlineStr">
        <is>
          <t>SKELLEFTEÅ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58114-2022</t>
        </is>
      </c>
      <c r="B1631" s="1" t="n">
        <v>44893</v>
      </c>
      <c r="C1631" s="1" t="n">
        <v>45807</v>
      </c>
      <c r="D1631" t="inlineStr">
        <is>
          <t>VÄSTERBOTTENS LÄN</t>
        </is>
      </c>
      <c r="E1631" t="inlineStr">
        <is>
          <t>SKELLEFTEÅ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56993-2022</t>
        </is>
      </c>
      <c r="B1632" s="1" t="n">
        <v>44894</v>
      </c>
      <c r="C1632" s="1" t="n">
        <v>45807</v>
      </c>
      <c r="D1632" t="inlineStr">
        <is>
          <t>VÄSTERBOTTENS LÄN</t>
        </is>
      </c>
      <c r="E1632" t="inlineStr">
        <is>
          <t>SKELLEFTEÅ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56960-2022</t>
        </is>
      </c>
      <c r="B1633" s="1" t="n">
        <v>44894</v>
      </c>
      <c r="C1633" s="1" t="n">
        <v>45807</v>
      </c>
      <c r="D1633" t="inlineStr">
        <is>
          <t>VÄSTERBOTTENS LÄN</t>
        </is>
      </c>
      <c r="E1633" t="inlineStr">
        <is>
          <t>SKELLEFTEÅ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56995-2022</t>
        </is>
      </c>
      <c r="B1634" s="1" t="n">
        <v>44894</v>
      </c>
      <c r="C1634" s="1" t="n">
        <v>45807</v>
      </c>
      <c r="D1634" t="inlineStr">
        <is>
          <t>VÄSTERBOTTENS LÄN</t>
        </is>
      </c>
      <c r="E1634" t="inlineStr">
        <is>
          <t>SKELLEFTEÅ</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58250-2022</t>
        </is>
      </c>
      <c r="B1635" s="1" t="n">
        <v>44894</v>
      </c>
      <c r="C1635" s="1" t="n">
        <v>45807</v>
      </c>
      <c r="D1635" t="inlineStr">
        <is>
          <t>VÄSTERBOTTENS LÄN</t>
        </is>
      </c>
      <c r="E1635" t="inlineStr">
        <is>
          <t>SKELLEFTEÅ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58634-2022</t>
        </is>
      </c>
      <c r="B1636" s="1" t="n">
        <v>44894</v>
      </c>
      <c r="C1636" s="1" t="n">
        <v>45807</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57059-2022</t>
        </is>
      </c>
      <c r="B1637" s="1" t="n">
        <v>44895</v>
      </c>
      <c r="C1637" s="1" t="n">
        <v>45807</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57103-2022</t>
        </is>
      </c>
      <c r="B1638" s="1" t="n">
        <v>44895</v>
      </c>
      <c r="C1638" s="1" t="n">
        <v>45807</v>
      </c>
      <c r="D1638" t="inlineStr">
        <is>
          <t>VÄSTERBOTTENS LÄN</t>
        </is>
      </c>
      <c r="E1638" t="inlineStr">
        <is>
          <t>SKELLEFTEÅ</t>
        </is>
      </c>
      <c r="F1638" t="inlineStr">
        <is>
          <t>Holmen skog AB</t>
        </is>
      </c>
      <c r="G1638" t="n">
        <v>18.7</v>
      </c>
      <c r="H1638" t="n">
        <v>0</v>
      </c>
      <c r="I1638" t="n">
        <v>0</v>
      </c>
      <c r="J1638" t="n">
        <v>0</v>
      </c>
      <c r="K1638" t="n">
        <v>0</v>
      </c>
      <c r="L1638" t="n">
        <v>0</v>
      </c>
      <c r="M1638" t="n">
        <v>0</v>
      </c>
      <c r="N1638" t="n">
        <v>0</v>
      </c>
      <c r="O1638" t="n">
        <v>0</v>
      </c>
      <c r="P1638" t="n">
        <v>0</v>
      </c>
      <c r="Q1638" t="n">
        <v>0</v>
      </c>
      <c r="R1638" s="2" t="inlineStr"/>
    </row>
    <row r="1639" ht="15" customHeight="1">
      <c r="A1639" t="inlineStr">
        <is>
          <t>A 57057-2022</t>
        </is>
      </c>
      <c r="B1639" s="1" t="n">
        <v>44895</v>
      </c>
      <c r="C1639" s="1" t="n">
        <v>45807</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57054-2022</t>
        </is>
      </c>
      <c r="B1640" s="1" t="n">
        <v>44895</v>
      </c>
      <c r="C1640" s="1" t="n">
        <v>45807</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57152-2022</t>
        </is>
      </c>
      <c r="B1641" s="1" t="n">
        <v>44895</v>
      </c>
      <c r="C1641" s="1" t="n">
        <v>45807</v>
      </c>
      <c r="D1641" t="inlineStr">
        <is>
          <t>VÄSTERBOTTENS LÄN</t>
        </is>
      </c>
      <c r="E1641" t="inlineStr">
        <is>
          <t>SKELLEFTEÅ</t>
        </is>
      </c>
      <c r="F1641" t="inlineStr">
        <is>
          <t>Holmen skog AB</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57187-2022</t>
        </is>
      </c>
      <c r="B1642" s="1" t="n">
        <v>44895</v>
      </c>
      <c r="C1642" s="1" t="n">
        <v>45807</v>
      </c>
      <c r="D1642" t="inlineStr">
        <is>
          <t>VÄSTERBOTTENS LÄN</t>
        </is>
      </c>
      <c r="E1642" t="inlineStr">
        <is>
          <t>SKELLEFTEÅ</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58897-2022</t>
        </is>
      </c>
      <c r="B1643" s="1" t="n">
        <v>44895</v>
      </c>
      <c r="C1643" s="1" t="n">
        <v>45807</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58814-2022</t>
        </is>
      </c>
      <c r="B1644" s="1" t="n">
        <v>44895</v>
      </c>
      <c r="C1644" s="1" t="n">
        <v>45807</v>
      </c>
      <c r="D1644" t="inlineStr">
        <is>
          <t>VÄSTERBOTTENS LÄN</t>
        </is>
      </c>
      <c r="E1644" t="inlineStr">
        <is>
          <t>SKELLEFTEÅ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57364-2022</t>
        </is>
      </c>
      <c r="B1645" s="1" t="n">
        <v>44896</v>
      </c>
      <c r="C1645" s="1" t="n">
        <v>45807</v>
      </c>
      <c r="D1645" t="inlineStr">
        <is>
          <t>VÄSTERBOTTENS LÄN</t>
        </is>
      </c>
      <c r="E1645" t="inlineStr">
        <is>
          <t>SKELLEFTEÅ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57417-2022</t>
        </is>
      </c>
      <c r="B1646" s="1" t="n">
        <v>44896</v>
      </c>
      <c r="C1646" s="1" t="n">
        <v>45807</v>
      </c>
      <c r="D1646" t="inlineStr">
        <is>
          <t>VÄSTERBOTTENS LÄN</t>
        </is>
      </c>
      <c r="E1646" t="inlineStr">
        <is>
          <t>SKELLEFTEÅ</t>
        </is>
      </c>
      <c r="F1646" t="inlineStr">
        <is>
          <t>Holmen skog AB</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57579-2022</t>
        </is>
      </c>
      <c r="B1647" s="1" t="n">
        <v>44896</v>
      </c>
      <c r="C1647" s="1" t="n">
        <v>45807</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57362-2022</t>
        </is>
      </c>
      <c r="B1648" s="1" t="n">
        <v>44896</v>
      </c>
      <c r="C1648" s="1" t="n">
        <v>45807</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57457-2022</t>
        </is>
      </c>
      <c r="B1649" s="1" t="n">
        <v>44896</v>
      </c>
      <c r="C1649" s="1" t="n">
        <v>45807</v>
      </c>
      <c r="D1649" t="inlineStr">
        <is>
          <t>VÄSTERBOTTENS LÄN</t>
        </is>
      </c>
      <c r="E1649" t="inlineStr">
        <is>
          <t>SKELLEFTEÅ</t>
        </is>
      </c>
      <c r="F1649" t="inlineStr">
        <is>
          <t>Holmen skog AB</t>
        </is>
      </c>
      <c r="G1649" t="n">
        <v>16.2</v>
      </c>
      <c r="H1649" t="n">
        <v>0</v>
      </c>
      <c r="I1649" t="n">
        <v>0</v>
      </c>
      <c r="J1649" t="n">
        <v>0</v>
      </c>
      <c r="K1649" t="n">
        <v>0</v>
      </c>
      <c r="L1649" t="n">
        <v>0</v>
      </c>
      <c r="M1649" t="n">
        <v>0</v>
      </c>
      <c r="N1649" t="n">
        <v>0</v>
      </c>
      <c r="O1649" t="n">
        <v>0</v>
      </c>
      <c r="P1649" t="n">
        <v>0</v>
      </c>
      <c r="Q1649" t="n">
        <v>0</v>
      </c>
      <c r="R1649" s="2" t="inlineStr"/>
    </row>
    <row r="1650" ht="15" customHeight="1">
      <c r="A1650" t="inlineStr">
        <is>
          <t>A 57569-2022</t>
        </is>
      </c>
      <c r="B1650" s="1" t="n">
        <v>44896</v>
      </c>
      <c r="C1650" s="1" t="n">
        <v>45807</v>
      </c>
      <c r="D1650" t="inlineStr">
        <is>
          <t>VÄSTERBOTTENS LÄN</t>
        </is>
      </c>
      <c r="E1650" t="inlineStr">
        <is>
          <t>SKELLEFTEÅ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57570-2022</t>
        </is>
      </c>
      <c r="B1651" s="1" t="n">
        <v>44896</v>
      </c>
      <c r="C1651" s="1" t="n">
        <v>45807</v>
      </c>
      <c r="D1651" t="inlineStr">
        <is>
          <t>VÄSTERBOTTENS LÄN</t>
        </is>
      </c>
      <c r="E1651" t="inlineStr">
        <is>
          <t>SKELLEFTEÅ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57577-2022</t>
        </is>
      </c>
      <c r="B1652" s="1" t="n">
        <v>44896</v>
      </c>
      <c r="C1652" s="1" t="n">
        <v>45807</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57583-2022</t>
        </is>
      </c>
      <c r="B1653" s="1" t="n">
        <v>44896</v>
      </c>
      <c r="C1653" s="1" t="n">
        <v>45807</v>
      </c>
      <c r="D1653" t="inlineStr">
        <is>
          <t>VÄSTERBOTTENS LÄN</t>
        </is>
      </c>
      <c r="E1653" t="inlineStr">
        <is>
          <t>SKELLEFTEÅ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57582-2022</t>
        </is>
      </c>
      <c r="B1654" s="1" t="n">
        <v>44896</v>
      </c>
      <c r="C1654" s="1" t="n">
        <v>45807</v>
      </c>
      <c r="D1654" t="inlineStr">
        <is>
          <t>VÄSTERBOTTENS LÄN</t>
        </is>
      </c>
      <c r="E1654" t="inlineStr">
        <is>
          <t>SKELLEFTEÅ</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57571-2022</t>
        </is>
      </c>
      <c r="B1655" s="1" t="n">
        <v>44896</v>
      </c>
      <c r="C1655" s="1" t="n">
        <v>45807</v>
      </c>
      <c r="D1655" t="inlineStr">
        <is>
          <t>VÄSTERBOTTENS LÄN</t>
        </is>
      </c>
      <c r="E1655" t="inlineStr">
        <is>
          <t>SKELLEFTEÅ</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57578-2022</t>
        </is>
      </c>
      <c r="B1656" s="1" t="n">
        <v>44896</v>
      </c>
      <c r="C1656" s="1" t="n">
        <v>45807</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57584-2022</t>
        </is>
      </c>
      <c r="B1657" s="1" t="n">
        <v>44896</v>
      </c>
      <c r="C1657" s="1" t="n">
        <v>45807</v>
      </c>
      <c r="D1657" t="inlineStr">
        <is>
          <t>VÄSTERBOTTENS LÄN</t>
        </is>
      </c>
      <c r="E1657" t="inlineStr">
        <is>
          <t>SKELLEFTEÅ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58877-2022</t>
        </is>
      </c>
      <c r="B1658" s="1" t="n">
        <v>44896</v>
      </c>
      <c r="C1658" s="1" t="n">
        <v>45807</v>
      </c>
      <c r="D1658" t="inlineStr">
        <is>
          <t>VÄSTERBOTTENS LÄN</t>
        </is>
      </c>
      <c r="E1658" t="inlineStr">
        <is>
          <t>SKELLEFTEÅ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58926-2022</t>
        </is>
      </c>
      <c r="B1659" s="1" t="n">
        <v>44896</v>
      </c>
      <c r="C1659" s="1" t="n">
        <v>45807</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57646-2022</t>
        </is>
      </c>
      <c r="B1660" s="1" t="n">
        <v>44897</v>
      </c>
      <c r="C1660" s="1" t="n">
        <v>45807</v>
      </c>
      <c r="D1660" t="inlineStr">
        <is>
          <t>VÄSTERBOTTENS LÄN</t>
        </is>
      </c>
      <c r="E1660" t="inlineStr">
        <is>
          <t>SKELLEFTEÅ</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57770-2022</t>
        </is>
      </c>
      <c r="B1661" s="1" t="n">
        <v>44897</v>
      </c>
      <c r="C1661" s="1" t="n">
        <v>45807</v>
      </c>
      <c r="D1661" t="inlineStr">
        <is>
          <t>VÄSTERBOTTENS LÄN</t>
        </is>
      </c>
      <c r="E1661" t="inlineStr">
        <is>
          <t>SKELLEFTEÅ</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57654-2022</t>
        </is>
      </c>
      <c r="B1662" s="1" t="n">
        <v>44897</v>
      </c>
      <c r="C1662" s="1" t="n">
        <v>45807</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57659-2022</t>
        </is>
      </c>
      <c r="B1663" s="1" t="n">
        <v>44897</v>
      </c>
      <c r="C1663" s="1" t="n">
        <v>45807</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59020-2022</t>
        </is>
      </c>
      <c r="B1664" s="1" t="n">
        <v>44897</v>
      </c>
      <c r="C1664" s="1" t="n">
        <v>45807</v>
      </c>
      <c r="D1664" t="inlineStr">
        <is>
          <t>VÄSTERBOTTENS LÄN</t>
        </is>
      </c>
      <c r="E1664" t="inlineStr">
        <is>
          <t>SKELLEFTEÅ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57847-2022</t>
        </is>
      </c>
      <c r="B1665" s="1" t="n">
        <v>44898</v>
      </c>
      <c r="C1665" s="1" t="n">
        <v>45807</v>
      </c>
      <c r="D1665" t="inlineStr">
        <is>
          <t>VÄSTERBOTTENS LÄN</t>
        </is>
      </c>
      <c r="E1665" t="inlineStr">
        <is>
          <t>SKELLEFTEÅ</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57849-2022</t>
        </is>
      </c>
      <c r="B1666" s="1" t="n">
        <v>44898</v>
      </c>
      <c r="C1666" s="1" t="n">
        <v>45807</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57848-2022</t>
        </is>
      </c>
      <c r="B1667" s="1" t="n">
        <v>44898</v>
      </c>
      <c r="C1667" s="1" t="n">
        <v>45807</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57908-2022</t>
        </is>
      </c>
      <c r="B1668" s="1" t="n">
        <v>44900</v>
      </c>
      <c r="C1668" s="1" t="n">
        <v>45807</v>
      </c>
      <c r="D1668" t="inlineStr">
        <is>
          <t>VÄSTERBOTTENS LÄN</t>
        </is>
      </c>
      <c r="E1668" t="inlineStr">
        <is>
          <t>SKELLEFTEÅ</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58053-2022</t>
        </is>
      </c>
      <c r="B1669" s="1" t="n">
        <v>44900</v>
      </c>
      <c r="C1669" s="1" t="n">
        <v>45807</v>
      </c>
      <c r="D1669" t="inlineStr">
        <is>
          <t>VÄSTERBOTTENS LÄN</t>
        </is>
      </c>
      <c r="E1669" t="inlineStr">
        <is>
          <t>SKELLEFTEÅ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57899-2022</t>
        </is>
      </c>
      <c r="B1670" s="1" t="n">
        <v>44900</v>
      </c>
      <c r="C1670" s="1" t="n">
        <v>45807</v>
      </c>
      <c r="D1670" t="inlineStr">
        <is>
          <t>VÄSTERBOTTENS LÄN</t>
        </is>
      </c>
      <c r="E1670" t="inlineStr">
        <is>
          <t>SKELLEFTEÅ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58063-2022</t>
        </is>
      </c>
      <c r="B1671" s="1" t="n">
        <v>44900</v>
      </c>
      <c r="C1671" s="1" t="n">
        <v>45807</v>
      </c>
      <c r="D1671" t="inlineStr">
        <is>
          <t>VÄSTERBOTTENS LÄN</t>
        </is>
      </c>
      <c r="E1671" t="inlineStr">
        <is>
          <t>SKELLEFTEÅ</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59754-2022</t>
        </is>
      </c>
      <c r="B1672" s="1" t="n">
        <v>44900</v>
      </c>
      <c r="C1672" s="1" t="n">
        <v>45807</v>
      </c>
      <c r="D1672" t="inlineStr">
        <is>
          <t>VÄSTERBOTTENS LÄN</t>
        </is>
      </c>
      <c r="E1672" t="inlineStr">
        <is>
          <t>SKELLEFTEÅ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58298-2022</t>
        </is>
      </c>
      <c r="B1673" s="1" t="n">
        <v>44901</v>
      </c>
      <c r="C1673" s="1" t="n">
        <v>45807</v>
      </c>
      <c r="D1673" t="inlineStr">
        <is>
          <t>VÄSTERBOTTENS LÄN</t>
        </is>
      </c>
      <c r="E1673" t="inlineStr">
        <is>
          <t>SKELLEFTEÅ</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58325-2022</t>
        </is>
      </c>
      <c r="B1674" s="1" t="n">
        <v>44901</v>
      </c>
      <c r="C1674" s="1" t="n">
        <v>45807</v>
      </c>
      <c r="D1674" t="inlineStr">
        <is>
          <t>VÄSTERBOTTENS LÄN</t>
        </is>
      </c>
      <c r="E1674" t="inlineStr">
        <is>
          <t>SKELLEFTEÅ</t>
        </is>
      </c>
      <c r="F1674" t="inlineStr">
        <is>
          <t>Sveaskog</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58376-2022</t>
        </is>
      </c>
      <c r="B1675" s="1" t="n">
        <v>44901</v>
      </c>
      <c r="C1675" s="1" t="n">
        <v>45807</v>
      </c>
      <c r="D1675" t="inlineStr">
        <is>
          <t>VÄSTERBOTTENS LÄN</t>
        </is>
      </c>
      <c r="E1675" t="inlineStr">
        <is>
          <t>SKELLEFTEÅ</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58429-2022</t>
        </is>
      </c>
      <c r="B1676" s="1" t="n">
        <v>44901</v>
      </c>
      <c r="C1676" s="1" t="n">
        <v>45807</v>
      </c>
      <c r="D1676" t="inlineStr">
        <is>
          <t>VÄSTERBOTTENS LÄN</t>
        </is>
      </c>
      <c r="E1676" t="inlineStr">
        <is>
          <t>SKELLEFTEÅ</t>
        </is>
      </c>
      <c r="F1676" t="inlineStr">
        <is>
          <t>SCA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58304-2022</t>
        </is>
      </c>
      <c r="B1677" s="1" t="n">
        <v>44901</v>
      </c>
      <c r="C1677" s="1" t="n">
        <v>45807</v>
      </c>
      <c r="D1677" t="inlineStr">
        <is>
          <t>VÄSTERBOTTENS LÄN</t>
        </is>
      </c>
      <c r="E1677" t="inlineStr">
        <is>
          <t>SKELLEFTEÅ</t>
        </is>
      </c>
      <c r="F1677" t="inlineStr">
        <is>
          <t>Sveaskog</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58197-2022</t>
        </is>
      </c>
      <c r="B1678" s="1" t="n">
        <v>44901</v>
      </c>
      <c r="C1678" s="1" t="n">
        <v>45807</v>
      </c>
      <c r="D1678" t="inlineStr">
        <is>
          <t>VÄSTERBOTTENS LÄN</t>
        </is>
      </c>
      <c r="E1678" t="inlineStr">
        <is>
          <t>SKELLEFTEÅ</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58295-2022</t>
        </is>
      </c>
      <c r="B1679" s="1" t="n">
        <v>44901</v>
      </c>
      <c r="C1679" s="1" t="n">
        <v>45807</v>
      </c>
      <c r="D1679" t="inlineStr">
        <is>
          <t>VÄSTERBOTTENS LÄN</t>
        </is>
      </c>
      <c r="E1679" t="inlineStr">
        <is>
          <t>SKELLEFTEÅ</t>
        </is>
      </c>
      <c r="F1679" t="inlineStr">
        <is>
          <t>Sveaskog</t>
        </is>
      </c>
      <c r="G1679" t="n">
        <v>18.3</v>
      </c>
      <c r="H1679" t="n">
        <v>0</v>
      </c>
      <c r="I1679" t="n">
        <v>0</v>
      </c>
      <c r="J1679" t="n">
        <v>0</v>
      </c>
      <c r="K1679" t="n">
        <v>0</v>
      </c>
      <c r="L1679" t="n">
        <v>0</v>
      </c>
      <c r="M1679" t="n">
        <v>0</v>
      </c>
      <c r="N1679" t="n">
        <v>0</v>
      </c>
      <c r="O1679" t="n">
        <v>0</v>
      </c>
      <c r="P1679" t="n">
        <v>0</v>
      </c>
      <c r="Q1679" t="n">
        <v>0</v>
      </c>
      <c r="R1679" s="2" t="inlineStr"/>
    </row>
    <row r="1680" ht="15" customHeight="1">
      <c r="A1680" t="inlineStr">
        <is>
          <t>A 58349-2022</t>
        </is>
      </c>
      <c r="B1680" s="1" t="n">
        <v>44901</v>
      </c>
      <c r="C1680" s="1" t="n">
        <v>45807</v>
      </c>
      <c r="D1680" t="inlineStr">
        <is>
          <t>VÄSTERBOTTENS LÄN</t>
        </is>
      </c>
      <c r="E1680" t="inlineStr">
        <is>
          <t>SKELLEFTEÅ</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58464-2022</t>
        </is>
      </c>
      <c r="B1681" s="1" t="n">
        <v>44902</v>
      </c>
      <c r="C1681" s="1" t="n">
        <v>45807</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58572-2022</t>
        </is>
      </c>
      <c r="B1682" s="1" t="n">
        <v>44902</v>
      </c>
      <c r="C1682" s="1" t="n">
        <v>45807</v>
      </c>
      <c r="D1682" t="inlineStr">
        <is>
          <t>VÄSTERBOTTENS LÄN</t>
        </is>
      </c>
      <c r="E1682" t="inlineStr">
        <is>
          <t>SKELLEFTEÅ</t>
        </is>
      </c>
      <c r="F1682" t="inlineStr">
        <is>
          <t>Sveaskog</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58676-2022</t>
        </is>
      </c>
      <c r="B1683" s="1" t="n">
        <v>44902</v>
      </c>
      <c r="C1683" s="1" t="n">
        <v>45807</v>
      </c>
      <c r="D1683" t="inlineStr">
        <is>
          <t>VÄSTERBOTTENS LÄN</t>
        </is>
      </c>
      <c r="E1683" t="inlineStr">
        <is>
          <t>SKELLEFTEÅ</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58803-2022</t>
        </is>
      </c>
      <c r="B1684" s="1" t="n">
        <v>44903</v>
      </c>
      <c r="C1684" s="1" t="n">
        <v>45807</v>
      </c>
      <c r="D1684" t="inlineStr">
        <is>
          <t>VÄSTERBOTTENS LÄN</t>
        </is>
      </c>
      <c r="E1684" t="inlineStr">
        <is>
          <t>SKELLEFTEÅ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60237-2022</t>
        </is>
      </c>
      <c r="B1685" s="1" t="n">
        <v>44903</v>
      </c>
      <c r="C1685" s="1" t="n">
        <v>45807</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59067-2022</t>
        </is>
      </c>
      <c r="B1686" s="1" t="n">
        <v>44904</v>
      </c>
      <c r="C1686" s="1" t="n">
        <v>45807</v>
      </c>
      <c r="D1686" t="inlineStr">
        <is>
          <t>VÄSTERBOTTENS LÄN</t>
        </is>
      </c>
      <c r="E1686" t="inlineStr">
        <is>
          <t>SKELLEFTEÅ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60558-2022</t>
        </is>
      </c>
      <c r="B1687" s="1" t="n">
        <v>44904</v>
      </c>
      <c r="C1687" s="1" t="n">
        <v>45807</v>
      </c>
      <c r="D1687" t="inlineStr">
        <is>
          <t>VÄSTERBOTTENS LÄN</t>
        </is>
      </c>
      <c r="E1687" t="inlineStr">
        <is>
          <t>SKELLEFTEÅ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60356-2022</t>
        </is>
      </c>
      <c r="B1688" s="1" t="n">
        <v>44904</v>
      </c>
      <c r="C1688" s="1" t="n">
        <v>45807</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59531-2022</t>
        </is>
      </c>
      <c r="B1689" s="1" t="n">
        <v>44907</v>
      </c>
      <c r="C1689" s="1" t="n">
        <v>45807</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60981-2022</t>
        </is>
      </c>
      <c r="B1690" s="1" t="n">
        <v>44907</v>
      </c>
      <c r="C1690" s="1" t="n">
        <v>45807</v>
      </c>
      <c r="D1690" t="inlineStr">
        <is>
          <t>VÄSTERBOTTENS LÄN</t>
        </is>
      </c>
      <c r="E1690" t="inlineStr">
        <is>
          <t>SKELLEFTEÅ</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60785-2022</t>
        </is>
      </c>
      <c r="B1691" s="1" t="n">
        <v>44907</v>
      </c>
      <c r="C1691" s="1" t="n">
        <v>45807</v>
      </c>
      <c r="D1691" t="inlineStr">
        <is>
          <t>VÄSTERBOTTENS LÄN</t>
        </is>
      </c>
      <c r="E1691" t="inlineStr">
        <is>
          <t>SKELLEFTEÅ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60970-2022</t>
        </is>
      </c>
      <c r="B1692" s="1" t="n">
        <v>44907</v>
      </c>
      <c r="C1692" s="1" t="n">
        <v>45807</v>
      </c>
      <c r="D1692" t="inlineStr">
        <is>
          <t>VÄSTERBOTTENS LÄN</t>
        </is>
      </c>
      <c r="E1692" t="inlineStr">
        <is>
          <t>SKELLEFTEÅ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59666-2022</t>
        </is>
      </c>
      <c r="B1693" s="1" t="n">
        <v>44908</v>
      </c>
      <c r="C1693" s="1" t="n">
        <v>45807</v>
      </c>
      <c r="D1693" t="inlineStr">
        <is>
          <t>VÄSTERBOTTENS LÄN</t>
        </is>
      </c>
      <c r="E1693" t="inlineStr">
        <is>
          <t>SKELLEFTEÅ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59744-2022</t>
        </is>
      </c>
      <c r="B1694" s="1" t="n">
        <v>44908</v>
      </c>
      <c r="C1694" s="1" t="n">
        <v>45807</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59664-2022</t>
        </is>
      </c>
      <c r="B1695" s="1" t="n">
        <v>44908</v>
      </c>
      <c r="C1695" s="1" t="n">
        <v>45807</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59748-2022</t>
        </is>
      </c>
      <c r="B1696" s="1" t="n">
        <v>44908</v>
      </c>
      <c r="C1696" s="1" t="n">
        <v>45807</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61153-2022</t>
        </is>
      </c>
      <c r="B1697" s="1" t="n">
        <v>44908</v>
      </c>
      <c r="C1697" s="1" t="n">
        <v>45807</v>
      </c>
      <c r="D1697" t="inlineStr">
        <is>
          <t>VÄSTERBOTTENS LÄN</t>
        </is>
      </c>
      <c r="E1697" t="inlineStr">
        <is>
          <t>SKELLEFTEÅ</t>
        </is>
      </c>
      <c r="G1697" t="n">
        <v>18.3</v>
      </c>
      <c r="H1697" t="n">
        <v>0</v>
      </c>
      <c r="I1697" t="n">
        <v>0</v>
      </c>
      <c r="J1697" t="n">
        <v>0</v>
      </c>
      <c r="K1697" t="n">
        <v>0</v>
      </c>
      <c r="L1697" t="n">
        <v>0</v>
      </c>
      <c r="M1697" t="n">
        <v>0</v>
      </c>
      <c r="N1697" t="n">
        <v>0</v>
      </c>
      <c r="O1697" t="n">
        <v>0</v>
      </c>
      <c r="P1697" t="n">
        <v>0</v>
      </c>
      <c r="Q1697" t="n">
        <v>0</v>
      </c>
      <c r="R1697" s="2" t="inlineStr"/>
    </row>
    <row r="1698" ht="15" customHeight="1">
      <c r="A1698" t="inlineStr">
        <is>
          <t>A 60000-2022</t>
        </is>
      </c>
      <c r="B1698" s="1" t="n">
        <v>44909</v>
      </c>
      <c r="C1698" s="1" t="n">
        <v>45807</v>
      </c>
      <c r="D1698" t="inlineStr">
        <is>
          <t>VÄSTERBOTTENS LÄN</t>
        </is>
      </c>
      <c r="E1698" t="inlineStr">
        <is>
          <t>SKELLEFTEÅ</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61275-2022</t>
        </is>
      </c>
      <c r="B1699" s="1" t="n">
        <v>44909</v>
      </c>
      <c r="C1699" s="1" t="n">
        <v>45807</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60378-2022</t>
        </is>
      </c>
      <c r="B1700" s="1" t="n">
        <v>44910</v>
      </c>
      <c r="C1700" s="1" t="n">
        <v>45807</v>
      </c>
      <c r="D1700" t="inlineStr">
        <is>
          <t>VÄSTERBOTTENS LÄN</t>
        </is>
      </c>
      <c r="E1700" t="inlineStr">
        <is>
          <t>SKELLEFTEÅ</t>
        </is>
      </c>
      <c r="F1700" t="inlineStr">
        <is>
          <t>Holmen skog AB</t>
        </is>
      </c>
      <c r="G1700" t="n">
        <v>18.8</v>
      </c>
      <c r="H1700" t="n">
        <v>0</v>
      </c>
      <c r="I1700" t="n">
        <v>0</v>
      </c>
      <c r="J1700" t="n">
        <v>0</v>
      </c>
      <c r="K1700" t="n">
        <v>0</v>
      </c>
      <c r="L1700" t="n">
        <v>0</v>
      </c>
      <c r="M1700" t="n">
        <v>0</v>
      </c>
      <c r="N1700" t="n">
        <v>0</v>
      </c>
      <c r="O1700" t="n">
        <v>0</v>
      </c>
      <c r="P1700" t="n">
        <v>0</v>
      </c>
      <c r="Q1700" t="n">
        <v>0</v>
      </c>
      <c r="R1700" s="2" t="inlineStr"/>
    </row>
    <row r="1701" ht="15" customHeight="1">
      <c r="A1701" t="inlineStr">
        <is>
          <t>A 60488-2022</t>
        </is>
      </c>
      <c r="B1701" s="1" t="n">
        <v>44911</v>
      </c>
      <c r="C1701" s="1" t="n">
        <v>45807</v>
      </c>
      <c r="D1701" t="inlineStr">
        <is>
          <t>VÄSTERBOTTENS LÄN</t>
        </is>
      </c>
      <c r="E1701" t="inlineStr">
        <is>
          <t>SKELLEFTEÅ</t>
        </is>
      </c>
      <c r="F1701" t="inlineStr">
        <is>
          <t>Sveaskog</t>
        </is>
      </c>
      <c r="G1701" t="n">
        <v>11.6</v>
      </c>
      <c r="H1701" t="n">
        <v>0</v>
      </c>
      <c r="I1701" t="n">
        <v>0</v>
      </c>
      <c r="J1701" t="n">
        <v>0</v>
      </c>
      <c r="K1701" t="n">
        <v>0</v>
      </c>
      <c r="L1701" t="n">
        <v>0</v>
      </c>
      <c r="M1701" t="n">
        <v>0</v>
      </c>
      <c r="N1701" t="n">
        <v>0</v>
      </c>
      <c r="O1701" t="n">
        <v>0</v>
      </c>
      <c r="P1701" t="n">
        <v>0</v>
      </c>
      <c r="Q1701" t="n">
        <v>0</v>
      </c>
      <c r="R1701" s="2" t="inlineStr"/>
      <c r="U1701">
        <f>HYPERLINK("https://klasma.github.io/Logging_2482/knärot/A 60488-2022 karta knärot.png", "A 60488-2022")</f>
        <v/>
      </c>
      <c r="V1701">
        <f>HYPERLINK("https://klasma.github.io/Logging_2482/klagomål/A 60488-2022 FSC-klagomål.docx", "A 60488-2022")</f>
        <v/>
      </c>
      <c r="W1701">
        <f>HYPERLINK("https://klasma.github.io/Logging_2482/klagomålsmail/A 60488-2022 FSC-klagomål mail.docx", "A 60488-2022")</f>
        <v/>
      </c>
      <c r="X1701">
        <f>HYPERLINK("https://klasma.github.io/Logging_2482/tillsyn/A 60488-2022 tillsynsbegäran.docx", "A 60488-2022")</f>
        <v/>
      </c>
      <c r="Y1701">
        <f>HYPERLINK("https://klasma.github.io/Logging_2482/tillsynsmail/A 60488-2022 tillsynsbegäran mail.docx", "A 60488-2022")</f>
        <v/>
      </c>
    </row>
    <row r="1702" ht="15" customHeight="1">
      <c r="A1702" t="inlineStr">
        <is>
          <t>A 60498-2022</t>
        </is>
      </c>
      <c r="B1702" s="1" t="n">
        <v>44911</v>
      </c>
      <c r="C1702" s="1" t="n">
        <v>45807</v>
      </c>
      <c r="D1702" t="inlineStr">
        <is>
          <t>VÄSTERBOTTENS LÄN</t>
        </is>
      </c>
      <c r="E1702" t="inlineStr">
        <is>
          <t>SKELLEFTEÅ</t>
        </is>
      </c>
      <c r="F1702" t="inlineStr">
        <is>
          <t>Sveaskog</t>
        </is>
      </c>
      <c r="G1702" t="n">
        <v>21.2</v>
      </c>
      <c r="H1702" t="n">
        <v>0</v>
      </c>
      <c r="I1702" t="n">
        <v>0</v>
      </c>
      <c r="J1702" t="n">
        <v>0</v>
      </c>
      <c r="K1702" t="n">
        <v>0</v>
      </c>
      <c r="L1702" t="n">
        <v>0</v>
      </c>
      <c r="M1702" t="n">
        <v>0</v>
      </c>
      <c r="N1702" t="n">
        <v>0</v>
      </c>
      <c r="O1702" t="n">
        <v>0</v>
      </c>
      <c r="P1702" t="n">
        <v>0</v>
      </c>
      <c r="Q1702" t="n">
        <v>0</v>
      </c>
      <c r="R1702" s="2" t="inlineStr"/>
    </row>
    <row r="1703" ht="15" customHeight="1">
      <c r="A1703" t="inlineStr">
        <is>
          <t>A 60582-2022</t>
        </is>
      </c>
      <c r="B1703" s="1" t="n">
        <v>44911</v>
      </c>
      <c r="C1703" s="1" t="n">
        <v>45807</v>
      </c>
      <c r="D1703" t="inlineStr">
        <is>
          <t>VÄSTERBOTTENS LÄN</t>
        </is>
      </c>
      <c r="E1703" t="inlineStr">
        <is>
          <t>SKELLEFTEÅ</t>
        </is>
      </c>
      <c r="F1703" t="inlineStr">
        <is>
          <t>Sveaskog</t>
        </is>
      </c>
      <c r="G1703" t="n">
        <v>27.3</v>
      </c>
      <c r="H1703" t="n">
        <v>0</v>
      </c>
      <c r="I1703" t="n">
        <v>0</v>
      </c>
      <c r="J1703" t="n">
        <v>0</v>
      </c>
      <c r="K1703" t="n">
        <v>0</v>
      </c>
      <c r="L1703" t="n">
        <v>0</v>
      </c>
      <c r="M1703" t="n">
        <v>0</v>
      </c>
      <c r="N1703" t="n">
        <v>0</v>
      </c>
      <c r="O1703" t="n">
        <v>0</v>
      </c>
      <c r="P1703" t="n">
        <v>0</v>
      </c>
      <c r="Q1703" t="n">
        <v>0</v>
      </c>
      <c r="R1703" s="2" t="inlineStr"/>
    </row>
    <row r="1704" ht="15" customHeight="1">
      <c r="A1704" t="inlineStr">
        <is>
          <t>A 60656-2022</t>
        </is>
      </c>
      <c r="B1704" s="1" t="n">
        <v>44911</v>
      </c>
      <c r="C1704" s="1" t="n">
        <v>45807</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60452-2022</t>
        </is>
      </c>
      <c r="B1705" s="1" t="n">
        <v>44911</v>
      </c>
      <c r="C1705" s="1" t="n">
        <v>45807</v>
      </c>
      <c r="D1705" t="inlineStr">
        <is>
          <t>VÄSTERBOTTENS LÄN</t>
        </is>
      </c>
      <c r="E1705" t="inlineStr">
        <is>
          <t>SKELLEFTEÅ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60502-2022</t>
        </is>
      </c>
      <c r="B1706" s="1" t="n">
        <v>44911</v>
      </c>
      <c r="C1706" s="1" t="n">
        <v>45807</v>
      </c>
      <c r="D1706" t="inlineStr">
        <is>
          <t>VÄSTERBOTTENS LÄN</t>
        </is>
      </c>
      <c r="E1706" t="inlineStr">
        <is>
          <t>SKELLEFTEÅ</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60524-2022</t>
        </is>
      </c>
      <c r="B1707" s="1" t="n">
        <v>44911</v>
      </c>
      <c r="C1707" s="1" t="n">
        <v>45807</v>
      </c>
      <c r="D1707" t="inlineStr">
        <is>
          <t>VÄSTERBOTTENS LÄN</t>
        </is>
      </c>
      <c r="E1707" t="inlineStr">
        <is>
          <t>SKELLEFTEÅ</t>
        </is>
      </c>
      <c r="F1707" t="inlineStr">
        <is>
          <t>Sveaskog</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60581-2022</t>
        </is>
      </c>
      <c r="B1708" s="1" t="n">
        <v>44911</v>
      </c>
      <c r="C1708" s="1" t="n">
        <v>45807</v>
      </c>
      <c r="D1708" t="inlineStr">
        <is>
          <t>VÄSTERBOTTENS LÄN</t>
        </is>
      </c>
      <c r="E1708" t="inlineStr">
        <is>
          <t>SKELLEFTEÅ</t>
        </is>
      </c>
      <c r="F1708" t="inlineStr">
        <is>
          <t>Sveaskog</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60655-2022</t>
        </is>
      </c>
      <c r="B1709" s="1" t="n">
        <v>44911</v>
      </c>
      <c r="C1709" s="1" t="n">
        <v>45807</v>
      </c>
      <c r="D1709" t="inlineStr">
        <is>
          <t>VÄSTERBOTTENS LÄN</t>
        </is>
      </c>
      <c r="E1709" t="inlineStr">
        <is>
          <t>SKELLEFTEÅ</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60506-2022</t>
        </is>
      </c>
      <c r="B1710" s="1" t="n">
        <v>44911</v>
      </c>
      <c r="C1710" s="1" t="n">
        <v>45807</v>
      </c>
      <c r="D1710" t="inlineStr">
        <is>
          <t>VÄSTERBOTTENS LÄN</t>
        </is>
      </c>
      <c r="E1710" t="inlineStr">
        <is>
          <t>SKELLEFTEÅ</t>
        </is>
      </c>
      <c r="F1710" t="inlineStr">
        <is>
          <t>Sveaskog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60484-2022</t>
        </is>
      </c>
      <c r="B1711" s="1" t="n">
        <v>44911</v>
      </c>
      <c r="C1711" s="1" t="n">
        <v>45807</v>
      </c>
      <c r="D1711" t="inlineStr">
        <is>
          <t>VÄSTERBOTTENS LÄN</t>
        </is>
      </c>
      <c r="E1711" t="inlineStr">
        <is>
          <t>SKELLEFTEÅ</t>
        </is>
      </c>
      <c r="G1711" t="n">
        <v>13.8</v>
      </c>
      <c r="H1711" t="n">
        <v>0</v>
      </c>
      <c r="I1711" t="n">
        <v>0</v>
      </c>
      <c r="J1711" t="n">
        <v>0</v>
      </c>
      <c r="K1711" t="n">
        <v>0</v>
      </c>
      <c r="L1711" t="n">
        <v>0</v>
      </c>
      <c r="M1711" t="n">
        <v>0</v>
      </c>
      <c r="N1711" t="n">
        <v>0</v>
      </c>
      <c r="O1711" t="n">
        <v>0</v>
      </c>
      <c r="P1711" t="n">
        <v>0</v>
      </c>
      <c r="Q1711" t="n">
        <v>0</v>
      </c>
      <c r="R1711" s="2" t="inlineStr"/>
    </row>
    <row r="1712" ht="15" customHeight="1">
      <c r="A1712" t="inlineStr">
        <is>
          <t>A 60585-2022</t>
        </is>
      </c>
      <c r="B1712" s="1" t="n">
        <v>44911</v>
      </c>
      <c r="C1712" s="1" t="n">
        <v>45807</v>
      </c>
      <c r="D1712" t="inlineStr">
        <is>
          <t>VÄSTERBOTTENS LÄN</t>
        </is>
      </c>
      <c r="E1712" t="inlineStr">
        <is>
          <t>SKELLEFTEÅ</t>
        </is>
      </c>
      <c r="F1712" t="inlineStr">
        <is>
          <t>Sveaskog</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60590-2022</t>
        </is>
      </c>
      <c r="B1713" s="1" t="n">
        <v>44911</v>
      </c>
      <c r="C1713" s="1" t="n">
        <v>45807</v>
      </c>
      <c r="D1713" t="inlineStr">
        <is>
          <t>VÄSTERBOTTENS LÄN</t>
        </is>
      </c>
      <c r="E1713" t="inlineStr">
        <is>
          <t>SKELLEFTEÅ</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61697-2022</t>
        </is>
      </c>
      <c r="B1714" s="1" t="n">
        <v>44911</v>
      </c>
      <c r="C1714" s="1" t="n">
        <v>45807</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61700-2022</t>
        </is>
      </c>
      <c r="B1715" s="1" t="n">
        <v>44911</v>
      </c>
      <c r="C1715" s="1" t="n">
        <v>45807</v>
      </c>
      <c r="D1715" t="inlineStr">
        <is>
          <t>VÄSTERBOTTENS LÄN</t>
        </is>
      </c>
      <c r="E1715" t="inlineStr">
        <is>
          <t>SKELLEFTEÅ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60787-2022</t>
        </is>
      </c>
      <c r="B1716" s="1" t="n">
        <v>44914</v>
      </c>
      <c r="C1716" s="1" t="n">
        <v>45807</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60853-2022</t>
        </is>
      </c>
      <c r="B1717" s="1" t="n">
        <v>44914</v>
      </c>
      <c r="C1717" s="1" t="n">
        <v>45807</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60858-2022</t>
        </is>
      </c>
      <c r="B1718" s="1" t="n">
        <v>44914</v>
      </c>
      <c r="C1718" s="1" t="n">
        <v>45807</v>
      </c>
      <c r="D1718" t="inlineStr">
        <is>
          <t>VÄSTERBOTTENS LÄN</t>
        </is>
      </c>
      <c r="E1718" t="inlineStr">
        <is>
          <t>SKELLEFTEÅ</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60789-2022</t>
        </is>
      </c>
      <c r="B1719" s="1" t="n">
        <v>44914</v>
      </c>
      <c r="C1719" s="1" t="n">
        <v>45807</v>
      </c>
      <c r="D1719" t="inlineStr">
        <is>
          <t>VÄSTERBOTTENS LÄN</t>
        </is>
      </c>
      <c r="E1719" t="inlineStr">
        <is>
          <t>SKELLEFTEÅ</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62028-2022</t>
        </is>
      </c>
      <c r="B1720" s="1" t="n">
        <v>44914</v>
      </c>
      <c r="C1720" s="1" t="n">
        <v>45807</v>
      </c>
      <c r="D1720" t="inlineStr">
        <is>
          <t>VÄSTERBOTTENS LÄN</t>
        </is>
      </c>
      <c r="E1720" t="inlineStr">
        <is>
          <t>SKELLEFTEÅ</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62027-2022</t>
        </is>
      </c>
      <c r="B1721" s="1" t="n">
        <v>44914</v>
      </c>
      <c r="C1721" s="1" t="n">
        <v>45807</v>
      </c>
      <c r="D1721" t="inlineStr">
        <is>
          <t>VÄSTERBOTTENS LÄN</t>
        </is>
      </c>
      <c r="E1721" t="inlineStr">
        <is>
          <t>SKELLEFTEÅ</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62025-2022</t>
        </is>
      </c>
      <c r="B1722" s="1" t="n">
        <v>44914</v>
      </c>
      <c r="C1722" s="1" t="n">
        <v>45807</v>
      </c>
      <c r="D1722" t="inlineStr">
        <is>
          <t>VÄSTERBOTTENS LÄN</t>
        </is>
      </c>
      <c r="E1722" t="inlineStr">
        <is>
          <t>SKELLEFTEÅ</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61105-2022</t>
        </is>
      </c>
      <c r="B1723" s="1" t="n">
        <v>44915</v>
      </c>
      <c r="C1723" s="1" t="n">
        <v>45807</v>
      </c>
      <c r="D1723" t="inlineStr">
        <is>
          <t>VÄSTERBOTTENS LÄN</t>
        </is>
      </c>
      <c r="E1723" t="inlineStr">
        <is>
          <t>SKELLEFTEÅ</t>
        </is>
      </c>
      <c r="F1723" t="inlineStr">
        <is>
          <t>Sveaskog</t>
        </is>
      </c>
      <c r="G1723" t="n">
        <v>19.5</v>
      </c>
      <c r="H1723" t="n">
        <v>0</v>
      </c>
      <c r="I1723" t="n">
        <v>0</v>
      </c>
      <c r="J1723" t="n">
        <v>0</v>
      </c>
      <c r="K1723" t="n">
        <v>0</v>
      </c>
      <c r="L1723" t="n">
        <v>0</v>
      </c>
      <c r="M1723" t="n">
        <v>0</v>
      </c>
      <c r="N1723" t="n">
        <v>0</v>
      </c>
      <c r="O1723" t="n">
        <v>0</v>
      </c>
      <c r="P1723" t="n">
        <v>0</v>
      </c>
      <c r="Q1723" t="n">
        <v>0</v>
      </c>
      <c r="R1723" s="2" t="inlineStr"/>
    </row>
    <row r="1724" ht="15" customHeight="1">
      <c r="A1724" t="inlineStr">
        <is>
          <t>A 61101-2022</t>
        </is>
      </c>
      <c r="B1724" s="1" t="n">
        <v>44915</v>
      </c>
      <c r="C1724" s="1" t="n">
        <v>45807</v>
      </c>
      <c r="D1724" t="inlineStr">
        <is>
          <t>VÄSTERBOTTENS LÄN</t>
        </is>
      </c>
      <c r="E1724" t="inlineStr">
        <is>
          <t>SKELLEFTEÅ</t>
        </is>
      </c>
      <c r="F1724" t="inlineStr">
        <is>
          <t>Sveaskog</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61132-2022</t>
        </is>
      </c>
      <c r="B1725" s="1" t="n">
        <v>44915</v>
      </c>
      <c r="C1725" s="1" t="n">
        <v>45807</v>
      </c>
      <c r="D1725" t="inlineStr">
        <is>
          <t>VÄSTERBOTTENS LÄN</t>
        </is>
      </c>
      <c r="E1725" t="inlineStr">
        <is>
          <t>SKELLEFTEÅ</t>
        </is>
      </c>
      <c r="F1725" t="inlineStr">
        <is>
          <t>Sveaskog</t>
        </is>
      </c>
      <c r="G1725" t="n">
        <v>14.5</v>
      </c>
      <c r="H1725" t="n">
        <v>0</v>
      </c>
      <c r="I1725" t="n">
        <v>0</v>
      </c>
      <c r="J1725" t="n">
        <v>0</v>
      </c>
      <c r="K1725" t="n">
        <v>0</v>
      </c>
      <c r="L1725" t="n">
        <v>0</v>
      </c>
      <c r="M1725" t="n">
        <v>0</v>
      </c>
      <c r="N1725" t="n">
        <v>0</v>
      </c>
      <c r="O1725" t="n">
        <v>0</v>
      </c>
      <c r="P1725" t="n">
        <v>0</v>
      </c>
      <c r="Q1725" t="n">
        <v>0</v>
      </c>
      <c r="R1725" s="2" t="inlineStr"/>
    </row>
    <row r="1726" ht="15" customHeight="1">
      <c r="A1726" t="inlineStr">
        <is>
          <t>A 61348-2022</t>
        </is>
      </c>
      <c r="B1726" s="1" t="n">
        <v>44915</v>
      </c>
      <c r="C1726" s="1" t="n">
        <v>45807</v>
      </c>
      <c r="D1726" t="inlineStr">
        <is>
          <t>VÄSTERBOTTENS LÄN</t>
        </is>
      </c>
      <c r="E1726" t="inlineStr">
        <is>
          <t>SKELLEFTEÅ</t>
        </is>
      </c>
      <c r="F1726" t="inlineStr">
        <is>
          <t>Sveaskog</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61467-2022</t>
        </is>
      </c>
      <c r="B1727" s="1" t="n">
        <v>44916</v>
      </c>
      <c r="C1727" s="1" t="n">
        <v>45807</v>
      </c>
      <c r="D1727" t="inlineStr">
        <is>
          <t>VÄSTERBOTTENS LÄN</t>
        </is>
      </c>
      <c r="E1727" t="inlineStr">
        <is>
          <t>SKELLEFTEÅ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61635-2022</t>
        </is>
      </c>
      <c r="B1728" s="1" t="n">
        <v>44916</v>
      </c>
      <c r="C1728" s="1" t="n">
        <v>45807</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61634-2022</t>
        </is>
      </c>
      <c r="B1729" s="1" t="n">
        <v>44916</v>
      </c>
      <c r="C1729" s="1" t="n">
        <v>45807</v>
      </c>
      <c r="D1729" t="inlineStr">
        <is>
          <t>VÄSTERBOTTENS LÄN</t>
        </is>
      </c>
      <c r="E1729" t="inlineStr">
        <is>
          <t>SKELLEFTEÅ</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61569-2022</t>
        </is>
      </c>
      <c r="B1730" s="1" t="n">
        <v>44916</v>
      </c>
      <c r="C1730" s="1" t="n">
        <v>45807</v>
      </c>
      <c r="D1730" t="inlineStr">
        <is>
          <t>VÄSTERBOTTENS LÄN</t>
        </is>
      </c>
      <c r="E1730" t="inlineStr">
        <is>
          <t>SKELLEFTEÅ</t>
        </is>
      </c>
      <c r="F1730" t="inlineStr">
        <is>
          <t>Holmen skog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61631-2022</t>
        </is>
      </c>
      <c r="B1731" s="1" t="n">
        <v>44916</v>
      </c>
      <c r="C1731" s="1" t="n">
        <v>45807</v>
      </c>
      <c r="D1731" t="inlineStr">
        <is>
          <t>VÄSTERBOTTENS LÄN</t>
        </is>
      </c>
      <c r="E1731" t="inlineStr">
        <is>
          <t>SKELLEFTEÅ</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62325-2022</t>
        </is>
      </c>
      <c r="B1732" s="1" t="n">
        <v>44916</v>
      </c>
      <c r="C1732" s="1" t="n">
        <v>45807</v>
      </c>
      <c r="D1732" t="inlineStr">
        <is>
          <t>VÄSTERBOTTENS LÄN</t>
        </is>
      </c>
      <c r="E1732" t="inlineStr">
        <is>
          <t>SKELLEFTEÅ</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62323-2022</t>
        </is>
      </c>
      <c r="B1733" s="1" t="n">
        <v>44916</v>
      </c>
      <c r="C1733" s="1" t="n">
        <v>45807</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62536-2022</t>
        </is>
      </c>
      <c r="B1734" s="1" t="n">
        <v>44917</v>
      </c>
      <c r="C1734" s="1" t="n">
        <v>45807</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121-2023</t>
        </is>
      </c>
      <c r="B1735" s="1" t="n">
        <v>44918</v>
      </c>
      <c r="C1735" s="1" t="n">
        <v>45807</v>
      </c>
      <c r="D1735" t="inlineStr">
        <is>
          <t>VÄSTERBOTTENS LÄN</t>
        </is>
      </c>
      <c r="E1735" t="inlineStr">
        <is>
          <t>SKELLEFTEÅ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62249-2022</t>
        </is>
      </c>
      <c r="B1736" s="1" t="n">
        <v>44922</v>
      </c>
      <c r="C1736" s="1" t="n">
        <v>45807</v>
      </c>
      <c r="D1736" t="inlineStr">
        <is>
          <t>VÄSTERBOTTENS LÄN</t>
        </is>
      </c>
      <c r="E1736" t="inlineStr">
        <is>
          <t>SKELLEFTEÅ</t>
        </is>
      </c>
      <c r="G1736" t="n">
        <v>18.2</v>
      </c>
      <c r="H1736" t="n">
        <v>0</v>
      </c>
      <c r="I1736" t="n">
        <v>0</v>
      </c>
      <c r="J1736" t="n">
        <v>0</v>
      </c>
      <c r="K1736" t="n">
        <v>0</v>
      </c>
      <c r="L1736" t="n">
        <v>0</v>
      </c>
      <c r="M1736" t="n">
        <v>0</v>
      </c>
      <c r="N1736" t="n">
        <v>0</v>
      </c>
      <c r="O1736" t="n">
        <v>0</v>
      </c>
      <c r="P1736" t="n">
        <v>0</v>
      </c>
      <c r="Q1736" t="n">
        <v>0</v>
      </c>
      <c r="R1736" s="2" t="inlineStr"/>
    </row>
    <row r="1737" ht="15" customHeight="1">
      <c r="A1737" t="inlineStr">
        <is>
          <t>A 62279-2022</t>
        </is>
      </c>
      <c r="B1737" s="1" t="n">
        <v>44923</v>
      </c>
      <c r="C1737" s="1" t="n">
        <v>45807</v>
      </c>
      <c r="D1737" t="inlineStr">
        <is>
          <t>VÄSTERBOTTENS LÄN</t>
        </is>
      </c>
      <c r="E1737" t="inlineStr">
        <is>
          <t>SKELLEFTEÅ</t>
        </is>
      </c>
      <c r="F1737" t="inlineStr">
        <is>
          <t>Sveaskog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62284-2022</t>
        </is>
      </c>
      <c r="B1738" s="1" t="n">
        <v>44923</v>
      </c>
      <c r="C1738" s="1" t="n">
        <v>45807</v>
      </c>
      <c r="D1738" t="inlineStr">
        <is>
          <t>VÄSTERBOTTENS LÄN</t>
        </is>
      </c>
      <c r="E1738" t="inlineStr">
        <is>
          <t>SKELLEFTEÅ</t>
        </is>
      </c>
      <c r="F1738" t="inlineStr">
        <is>
          <t>Sveaskog</t>
        </is>
      </c>
      <c r="G1738" t="n">
        <v>13.4</v>
      </c>
      <c r="H1738" t="n">
        <v>0</v>
      </c>
      <c r="I1738" t="n">
        <v>0</v>
      </c>
      <c r="J1738" t="n">
        <v>0</v>
      </c>
      <c r="K1738" t="n">
        <v>0</v>
      </c>
      <c r="L1738" t="n">
        <v>0</v>
      </c>
      <c r="M1738" t="n">
        <v>0</v>
      </c>
      <c r="N1738" t="n">
        <v>0</v>
      </c>
      <c r="O1738" t="n">
        <v>0</v>
      </c>
      <c r="P1738" t="n">
        <v>0</v>
      </c>
      <c r="Q1738" t="n">
        <v>0</v>
      </c>
      <c r="R1738" s="2" t="inlineStr"/>
    </row>
    <row r="1739" ht="15" customHeight="1">
      <c r="A1739" t="inlineStr">
        <is>
          <t>A 62308-2022</t>
        </is>
      </c>
      <c r="B1739" s="1" t="n">
        <v>44923</v>
      </c>
      <c r="C1739" s="1" t="n">
        <v>45807</v>
      </c>
      <c r="D1739" t="inlineStr">
        <is>
          <t>VÄSTERBOTTENS LÄN</t>
        </is>
      </c>
      <c r="E1739" t="inlineStr">
        <is>
          <t>SKELLEFTEÅ</t>
        </is>
      </c>
      <c r="F1739" t="inlineStr">
        <is>
          <t>Sveaskog</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62319-2022</t>
        </is>
      </c>
      <c r="B1740" s="1" t="n">
        <v>44923</v>
      </c>
      <c r="C1740" s="1" t="n">
        <v>45807</v>
      </c>
      <c r="D1740" t="inlineStr">
        <is>
          <t>VÄSTERBOTTENS LÄN</t>
        </is>
      </c>
      <c r="E1740" t="inlineStr">
        <is>
          <t>SKELLEFTEÅ</t>
        </is>
      </c>
      <c r="F1740" t="inlineStr">
        <is>
          <t>Sveaskog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62483-2022</t>
        </is>
      </c>
      <c r="B1741" s="1" t="n">
        <v>44924</v>
      </c>
      <c r="C1741" s="1" t="n">
        <v>45807</v>
      </c>
      <c r="D1741" t="inlineStr">
        <is>
          <t>VÄSTERBOTTENS LÄN</t>
        </is>
      </c>
      <c r="E1741" t="inlineStr">
        <is>
          <t>SKELLEFTEÅ</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62577-2022</t>
        </is>
      </c>
      <c r="B1742" s="1" t="n">
        <v>44924</v>
      </c>
      <c r="C1742" s="1" t="n">
        <v>45807</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62642-2022</t>
        </is>
      </c>
      <c r="B1743" s="1" t="n">
        <v>44925</v>
      </c>
      <c r="C1743" s="1" t="n">
        <v>45807</v>
      </c>
      <c r="D1743" t="inlineStr">
        <is>
          <t>VÄSTERBOTTENS LÄN</t>
        </is>
      </c>
      <c r="E1743" t="inlineStr">
        <is>
          <t>SKELLEFTEÅ</t>
        </is>
      </c>
      <c r="F1743" t="inlineStr">
        <is>
          <t>Holmen skog AB</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531-2023</t>
        </is>
      </c>
      <c r="B1744" s="1" t="n">
        <v>44925</v>
      </c>
      <c r="C1744" s="1" t="n">
        <v>45807</v>
      </c>
      <c r="D1744" t="inlineStr">
        <is>
          <t>VÄSTERBOTTENS LÄN</t>
        </is>
      </c>
      <c r="E1744" t="inlineStr">
        <is>
          <t>SKELLEFTEÅ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639-2023</t>
        </is>
      </c>
      <c r="B1745" s="1" t="n">
        <v>44928</v>
      </c>
      <c r="C1745" s="1" t="n">
        <v>45807</v>
      </c>
      <c r="D1745" t="inlineStr">
        <is>
          <t>VÄSTERBOTTENS LÄN</t>
        </is>
      </c>
      <c r="E1745" t="inlineStr">
        <is>
          <t>SKELLEFTEÅ</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640-2023</t>
        </is>
      </c>
      <c r="B1746" s="1" t="n">
        <v>44928</v>
      </c>
      <c r="C1746" s="1" t="n">
        <v>45807</v>
      </c>
      <c r="D1746" t="inlineStr">
        <is>
          <t>VÄSTERBOTTENS LÄN</t>
        </is>
      </c>
      <c r="E1746" t="inlineStr">
        <is>
          <t>SKELLEFTEÅ</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1076-2023</t>
        </is>
      </c>
      <c r="B1747" s="1" t="n">
        <v>44929</v>
      </c>
      <c r="C1747" s="1" t="n">
        <v>45807</v>
      </c>
      <c r="D1747" t="inlineStr">
        <is>
          <t>VÄSTERBOTTENS LÄN</t>
        </is>
      </c>
      <c r="E1747" t="inlineStr">
        <is>
          <t>SKELLEFTEÅ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547-2023</t>
        </is>
      </c>
      <c r="B1748" s="1" t="n">
        <v>44930</v>
      </c>
      <c r="C1748" s="1" t="n">
        <v>45807</v>
      </c>
      <c r="D1748" t="inlineStr">
        <is>
          <t>VÄSTERBOTTENS LÄN</t>
        </is>
      </c>
      <c r="E1748" t="inlineStr">
        <is>
          <t>SKELLEFTEÅ</t>
        </is>
      </c>
      <c r="F1748" t="inlineStr">
        <is>
          <t>Holmen skog AB</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589-2023</t>
        </is>
      </c>
      <c r="B1749" s="1" t="n">
        <v>44930</v>
      </c>
      <c r="C1749" s="1" t="n">
        <v>45807</v>
      </c>
      <c r="D1749" t="inlineStr">
        <is>
          <t>VÄSTERBOTTENS LÄN</t>
        </is>
      </c>
      <c r="E1749" t="inlineStr">
        <is>
          <t>SKELLEFTEÅ</t>
        </is>
      </c>
      <c r="F1749" t="inlineStr">
        <is>
          <t>Holmen skog AB</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703-2023</t>
        </is>
      </c>
      <c r="B1750" s="1" t="n">
        <v>44930</v>
      </c>
      <c r="C1750" s="1" t="n">
        <v>45807</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707-2023</t>
        </is>
      </c>
      <c r="B1751" s="1" t="n">
        <v>44930</v>
      </c>
      <c r="C1751" s="1" t="n">
        <v>45807</v>
      </c>
      <c r="D1751" t="inlineStr">
        <is>
          <t>VÄSTERBOTTENS LÄN</t>
        </is>
      </c>
      <c r="E1751" t="inlineStr">
        <is>
          <t>SKELLEFTEÅ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702-2023</t>
        </is>
      </c>
      <c r="B1752" s="1" t="n">
        <v>44930</v>
      </c>
      <c r="C1752" s="1" t="n">
        <v>45807</v>
      </c>
      <c r="D1752" t="inlineStr">
        <is>
          <t>VÄSTERBOTTENS LÄN</t>
        </is>
      </c>
      <c r="E1752" t="inlineStr">
        <is>
          <t>SKELLEFTEÅ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706-2023</t>
        </is>
      </c>
      <c r="B1753" s="1" t="n">
        <v>44930</v>
      </c>
      <c r="C1753" s="1" t="n">
        <v>45807</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1206-2023</t>
        </is>
      </c>
      <c r="B1754" s="1" t="n">
        <v>44930</v>
      </c>
      <c r="C1754" s="1" t="n">
        <v>45807</v>
      </c>
      <c r="D1754" t="inlineStr">
        <is>
          <t>VÄSTERBOTTENS LÄN</t>
        </is>
      </c>
      <c r="E1754" t="inlineStr">
        <is>
          <t>SKELLEFTEÅ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911-2023</t>
        </is>
      </c>
      <c r="B1755" s="1" t="n">
        <v>44931</v>
      </c>
      <c r="C1755" s="1" t="n">
        <v>45807</v>
      </c>
      <c r="D1755" t="inlineStr">
        <is>
          <t>VÄSTERBOTTENS LÄN</t>
        </is>
      </c>
      <c r="E1755" t="inlineStr">
        <is>
          <t>SKELLEFTEÅ</t>
        </is>
      </c>
      <c r="G1755" t="n">
        <v>18.3</v>
      </c>
      <c r="H1755" t="n">
        <v>0</v>
      </c>
      <c r="I1755" t="n">
        <v>0</v>
      </c>
      <c r="J1755" t="n">
        <v>0</v>
      </c>
      <c r="K1755" t="n">
        <v>0</v>
      </c>
      <c r="L1755" t="n">
        <v>0</v>
      </c>
      <c r="M1755" t="n">
        <v>0</v>
      </c>
      <c r="N1755" t="n">
        <v>0</v>
      </c>
      <c r="O1755" t="n">
        <v>0</v>
      </c>
      <c r="P1755" t="n">
        <v>0</v>
      </c>
      <c r="Q1755" t="n">
        <v>0</v>
      </c>
      <c r="R1755" s="2" t="inlineStr"/>
    </row>
    <row r="1756" ht="15" customHeight="1">
      <c r="A1756" t="inlineStr">
        <is>
          <t>A 900-2023</t>
        </is>
      </c>
      <c r="B1756" s="1" t="n">
        <v>44931</v>
      </c>
      <c r="C1756" s="1" t="n">
        <v>45807</v>
      </c>
      <c r="D1756" t="inlineStr">
        <is>
          <t>VÄSTERBOTTENS LÄN</t>
        </is>
      </c>
      <c r="E1756" t="inlineStr">
        <is>
          <t>SKELLEFTEÅ</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904-2023</t>
        </is>
      </c>
      <c r="B1757" s="1" t="n">
        <v>44931</v>
      </c>
      <c r="C1757" s="1" t="n">
        <v>45807</v>
      </c>
      <c r="D1757" t="inlineStr">
        <is>
          <t>VÄSTERBOTTENS LÄN</t>
        </is>
      </c>
      <c r="E1757" t="inlineStr">
        <is>
          <t>SKELLEFTEÅ</t>
        </is>
      </c>
      <c r="G1757" t="n">
        <v>22.2</v>
      </c>
      <c r="H1757" t="n">
        <v>0</v>
      </c>
      <c r="I1757" t="n">
        <v>0</v>
      </c>
      <c r="J1757" t="n">
        <v>0</v>
      </c>
      <c r="K1757" t="n">
        <v>0</v>
      </c>
      <c r="L1757" t="n">
        <v>0</v>
      </c>
      <c r="M1757" t="n">
        <v>0</v>
      </c>
      <c r="N1757" t="n">
        <v>0</v>
      </c>
      <c r="O1757" t="n">
        <v>0</v>
      </c>
      <c r="P1757" t="n">
        <v>0</v>
      </c>
      <c r="Q1757" t="n">
        <v>0</v>
      </c>
      <c r="R1757" s="2" t="inlineStr"/>
    </row>
    <row r="1758" ht="15" customHeight="1">
      <c r="A1758" t="inlineStr">
        <is>
          <t>A 913-2023</t>
        </is>
      </c>
      <c r="B1758" s="1" t="n">
        <v>44931</v>
      </c>
      <c r="C1758" s="1" t="n">
        <v>45807</v>
      </c>
      <c r="D1758" t="inlineStr">
        <is>
          <t>VÄSTERBOTTENS LÄN</t>
        </is>
      </c>
      <c r="E1758" t="inlineStr">
        <is>
          <t>SKELLEFTEÅ</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909-2023</t>
        </is>
      </c>
      <c r="B1759" s="1" t="n">
        <v>44931</v>
      </c>
      <c r="C1759" s="1" t="n">
        <v>45807</v>
      </c>
      <c r="D1759" t="inlineStr">
        <is>
          <t>VÄSTERBOTTENS LÄN</t>
        </is>
      </c>
      <c r="E1759" t="inlineStr">
        <is>
          <t>SKELLEFTEÅ</t>
        </is>
      </c>
      <c r="G1759" t="n">
        <v>11.8</v>
      </c>
      <c r="H1759" t="n">
        <v>0</v>
      </c>
      <c r="I1759" t="n">
        <v>0</v>
      </c>
      <c r="J1759" t="n">
        <v>0</v>
      </c>
      <c r="K1759" t="n">
        <v>0</v>
      </c>
      <c r="L1759" t="n">
        <v>0</v>
      </c>
      <c r="M1759" t="n">
        <v>0</v>
      </c>
      <c r="N1759" t="n">
        <v>0</v>
      </c>
      <c r="O1759" t="n">
        <v>0</v>
      </c>
      <c r="P1759" t="n">
        <v>0</v>
      </c>
      <c r="Q1759" t="n">
        <v>0</v>
      </c>
      <c r="R1759" s="2" t="inlineStr"/>
    </row>
    <row r="1760" ht="15" customHeight="1">
      <c r="A1760" t="inlineStr">
        <is>
          <t>A 903-2023</t>
        </is>
      </c>
      <c r="B1760" s="1" t="n">
        <v>44931</v>
      </c>
      <c r="C1760" s="1" t="n">
        <v>45807</v>
      </c>
      <c r="D1760" t="inlineStr">
        <is>
          <t>VÄSTERBOTTENS LÄN</t>
        </is>
      </c>
      <c r="E1760" t="inlineStr">
        <is>
          <t>SKELLEFTEÅ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1113-2023</t>
        </is>
      </c>
      <c r="B1761" s="1" t="n">
        <v>44935</v>
      </c>
      <c r="C1761" s="1" t="n">
        <v>45807</v>
      </c>
      <c r="D1761" t="inlineStr">
        <is>
          <t>VÄSTERBOTTENS LÄN</t>
        </is>
      </c>
      <c r="E1761" t="inlineStr">
        <is>
          <t>SKELLEFTEÅ</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1134-2023</t>
        </is>
      </c>
      <c r="B1762" s="1" t="n">
        <v>44935</v>
      </c>
      <c r="C1762" s="1" t="n">
        <v>45807</v>
      </c>
      <c r="D1762" t="inlineStr">
        <is>
          <t>VÄSTERBOTTENS LÄN</t>
        </is>
      </c>
      <c r="E1762" t="inlineStr">
        <is>
          <t>SKELLEFTEÅ</t>
        </is>
      </c>
      <c r="G1762" t="n">
        <v>11.7</v>
      </c>
      <c r="H1762" t="n">
        <v>0</v>
      </c>
      <c r="I1762" t="n">
        <v>0</v>
      </c>
      <c r="J1762" t="n">
        <v>0</v>
      </c>
      <c r="K1762" t="n">
        <v>0</v>
      </c>
      <c r="L1762" t="n">
        <v>0</v>
      </c>
      <c r="M1762" t="n">
        <v>0</v>
      </c>
      <c r="N1762" t="n">
        <v>0</v>
      </c>
      <c r="O1762" t="n">
        <v>0</v>
      </c>
      <c r="P1762" t="n">
        <v>0</v>
      </c>
      <c r="Q1762" t="n">
        <v>0</v>
      </c>
      <c r="R1762" s="2" t="inlineStr"/>
    </row>
    <row r="1763" ht="15" customHeight="1">
      <c r="A1763" t="inlineStr">
        <is>
          <t>A 1111-2023</t>
        </is>
      </c>
      <c r="B1763" s="1" t="n">
        <v>44935</v>
      </c>
      <c r="C1763" s="1" t="n">
        <v>45807</v>
      </c>
      <c r="D1763" t="inlineStr">
        <is>
          <t>VÄSTERBOTTENS LÄN</t>
        </is>
      </c>
      <c r="E1763" t="inlineStr">
        <is>
          <t>SKELLEFTEÅ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1612-2023</t>
        </is>
      </c>
      <c r="B1764" s="1" t="n">
        <v>44935</v>
      </c>
      <c r="C1764" s="1" t="n">
        <v>45807</v>
      </c>
      <c r="D1764" t="inlineStr">
        <is>
          <t>VÄSTERBOTTENS LÄN</t>
        </is>
      </c>
      <c r="E1764" t="inlineStr">
        <is>
          <t>SKELLEFTEÅ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1528-2023</t>
        </is>
      </c>
      <c r="B1765" s="1" t="n">
        <v>44935</v>
      </c>
      <c r="C1765" s="1" t="n">
        <v>45807</v>
      </c>
      <c r="D1765" t="inlineStr">
        <is>
          <t>VÄSTERBOTTENS LÄN</t>
        </is>
      </c>
      <c r="E1765" t="inlineStr">
        <is>
          <t>SKELLEFTEÅ</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1419-2023</t>
        </is>
      </c>
      <c r="B1766" s="1" t="n">
        <v>44936</v>
      </c>
      <c r="C1766" s="1" t="n">
        <v>45807</v>
      </c>
      <c r="D1766" t="inlineStr">
        <is>
          <t>VÄSTERBOTTENS LÄN</t>
        </is>
      </c>
      <c r="E1766" t="inlineStr">
        <is>
          <t>SKELLEFTEÅ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1639-2023</t>
        </is>
      </c>
      <c r="B1767" s="1" t="n">
        <v>44937</v>
      </c>
      <c r="C1767" s="1" t="n">
        <v>45807</v>
      </c>
      <c r="D1767" t="inlineStr">
        <is>
          <t>VÄSTERBOTTENS LÄN</t>
        </is>
      </c>
      <c r="E1767" t="inlineStr">
        <is>
          <t>SKELLEFTEÅ</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1640-2023</t>
        </is>
      </c>
      <c r="B1768" s="1" t="n">
        <v>44937</v>
      </c>
      <c r="C1768" s="1" t="n">
        <v>45807</v>
      </c>
      <c r="D1768" t="inlineStr">
        <is>
          <t>VÄSTERBOTTENS LÄN</t>
        </is>
      </c>
      <c r="E1768" t="inlineStr">
        <is>
          <t>SKELLEFTEÅ</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1978-2023</t>
        </is>
      </c>
      <c r="B1769" s="1" t="n">
        <v>44937</v>
      </c>
      <c r="C1769" s="1" t="n">
        <v>45807</v>
      </c>
      <c r="D1769" t="inlineStr">
        <is>
          <t>VÄSTERBOTTENS LÄN</t>
        </is>
      </c>
      <c r="E1769" t="inlineStr">
        <is>
          <t>SKELLEFTEÅ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1988-2023</t>
        </is>
      </c>
      <c r="B1770" s="1" t="n">
        <v>44937</v>
      </c>
      <c r="C1770" s="1" t="n">
        <v>45807</v>
      </c>
      <c r="D1770" t="inlineStr">
        <is>
          <t>VÄSTERBOTTENS LÄN</t>
        </is>
      </c>
      <c r="E1770" t="inlineStr">
        <is>
          <t>SKELLEFTEÅ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1666-2023</t>
        </is>
      </c>
      <c r="B1771" s="1" t="n">
        <v>44938</v>
      </c>
      <c r="C1771" s="1" t="n">
        <v>45807</v>
      </c>
      <c r="D1771" t="inlineStr">
        <is>
          <t>VÄSTERBOTTENS LÄN</t>
        </is>
      </c>
      <c r="E1771" t="inlineStr">
        <is>
          <t>SKELLEFTEÅ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1858-2023</t>
        </is>
      </c>
      <c r="B1772" s="1" t="n">
        <v>44938</v>
      </c>
      <c r="C1772" s="1" t="n">
        <v>45807</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1933-2023</t>
        </is>
      </c>
      <c r="B1773" s="1" t="n">
        <v>44938</v>
      </c>
      <c r="C1773" s="1" t="n">
        <v>45807</v>
      </c>
      <c r="D1773" t="inlineStr">
        <is>
          <t>VÄSTERBOTTENS LÄN</t>
        </is>
      </c>
      <c r="E1773" t="inlineStr">
        <is>
          <t>SKELLEFTEÅ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1853-2023</t>
        </is>
      </c>
      <c r="B1774" s="1" t="n">
        <v>44938</v>
      </c>
      <c r="C1774" s="1" t="n">
        <v>45807</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1859-2023</t>
        </is>
      </c>
      <c r="B1775" s="1" t="n">
        <v>44938</v>
      </c>
      <c r="C1775" s="1" t="n">
        <v>45807</v>
      </c>
      <c r="D1775" t="inlineStr">
        <is>
          <t>VÄSTERBOTTENS LÄN</t>
        </is>
      </c>
      <c r="E1775" t="inlineStr">
        <is>
          <t>SKELLEFTEÅ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1854-2023</t>
        </is>
      </c>
      <c r="B1776" s="1" t="n">
        <v>44938</v>
      </c>
      <c r="C1776" s="1" t="n">
        <v>45807</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1860-2023</t>
        </is>
      </c>
      <c r="B1777" s="1" t="n">
        <v>44938</v>
      </c>
      <c r="C1777" s="1" t="n">
        <v>45807</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1942-2023</t>
        </is>
      </c>
      <c r="B1778" s="1" t="n">
        <v>44938</v>
      </c>
      <c r="C1778" s="1" t="n">
        <v>45807</v>
      </c>
      <c r="D1778" t="inlineStr">
        <is>
          <t>VÄSTERBOTTENS LÄN</t>
        </is>
      </c>
      <c r="E1778" t="inlineStr">
        <is>
          <t>SKELLEFTEÅ</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2112-2023</t>
        </is>
      </c>
      <c r="B1779" s="1" t="n">
        <v>44939</v>
      </c>
      <c r="C1779" s="1" t="n">
        <v>45807</v>
      </c>
      <c r="D1779" t="inlineStr">
        <is>
          <t>VÄSTERBOTTENS LÄN</t>
        </is>
      </c>
      <c r="E1779" t="inlineStr">
        <is>
          <t>SKELLEFTEÅ</t>
        </is>
      </c>
      <c r="G1779" t="n">
        <v>14.7</v>
      </c>
      <c r="H1779" t="n">
        <v>0</v>
      </c>
      <c r="I1779" t="n">
        <v>0</v>
      </c>
      <c r="J1779" t="n">
        <v>0</v>
      </c>
      <c r="K1779" t="n">
        <v>0</v>
      </c>
      <c r="L1779" t="n">
        <v>0</v>
      </c>
      <c r="M1779" t="n">
        <v>0</v>
      </c>
      <c r="N1779" t="n">
        <v>0</v>
      </c>
      <c r="O1779" t="n">
        <v>0</v>
      </c>
      <c r="P1779" t="n">
        <v>0</v>
      </c>
      <c r="Q1779" t="n">
        <v>0</v>
      </c>
      <c r="R1779" s="2" t="inlineStr"/>
    </row>
    <row r="1780" ht="15" customHeight="1">
      <c r="A1780" t="inlineStr">
        <is>
          <t>A 2177-2023</t>
        </is>
      </c>
      <c r="B1780" s="1" t="n">
        <v>44942</v>
      </c>
      <c r="C1780" s="1" t="n">
        <v>45807</v>
      </c>
      <c r="D1780" t="inlineStr">
        <is>
          <t>VÄSTERBOTTENS LÄN</t>
        </is>
      </c>
      <c r="E1780" t="inlineStr">
        <is>
          <t>SKELLEFTEÅ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2336-2023</t>
        </is>
      </c>
      <c r="B1781" s="1" t="n">
        <v>44942</v>
      </c>
      <c r="C1781" s="1" t="n">
        <v>45807</v>
      </c>
      <c r="D1781" t="inlineStr">
        <is>
          <t>VÄSTERBOTTENS LÄN</t>
        </is>
      </c>
      <c r="E1781" t="inlineStr">
        <is>
          <t>SKELLEFTEÅ</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2395-2023</t>
        </is>
      </c>
      <c r="B1782" s="1" t="n">
        <v>44942</v>
      </c>
      <c r="C1782" s="1" t="n">
        <v>45807</v>
      </c>
      <c r="D1782" t="inlineStr">
        <is>
          <t>VÄSTERBOTTENS LÄN</t>
        </is>
      </c>
      <c r="E1782" t="inlineStr">
        <is>
          <t>SKELLEFTEÅ</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2393-2023</t>
        </is>
      </c>
      <c r="B1783" s="1" t="n">
        <v>44942</v>
      </c>
      <c r="C1783" s="1" t="n">
        <v>45807</v>
      </c>
      <c r="D1783" t="inlineStr">
        <is>
          <t>VÄSTERBOTTENS LÄN</t>
        </is>
      </c>
      <c r="E1783" t="inlineStr">
        <is>
          <t>SKELLEFTEÅ</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2439-2023</t>
        </is>
      </c>
      <c r="B1784" s="1" t="n">
        <v>44942</v>
      </c>
      <c r="C1784" s="1" t="n">
        <v>45807</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2718-2023</t>
        </is>
      </c>
      <c r="B1785" s="1" t="n">
        <v>44942</v>
      </c>
      <c r="C1785" s="1" t="n">
        <v>45807</v>
      </c>
      <c r="D1785" t="inlineStr">
        <is>
          <t>VÄSTERBOTTENS LÄN</t>
        </is>
      </c>
      <c r="E1785" t="inlineStr">
        <is>
          <t>SKELLEFTEÅ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2496-2023</t>
        </is>
      </c>
      <c r="B1786" s="1" t="n">
        <v>44943</v>
      </c>
      <c r="C1786" s="1" t="n">
        <v>45807</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2444-2023</t>
        </is>
      </c>
      <c r="B1787" s="1" t="n">
        <v>44943</v>
      </c>
      <c r="C1787" s="1" t="n">
        <v>45807</v>
      </c>
      <c r="D1787" t="inlineStr">
        <is>
          <t>VÄSTERBOTTENS LÄN</t>
        </is>
      </c>
      <c r="E1787" t="inlineStr">
        <is>
          <t>SKELLEFTEÅ</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2720-2023</t>
        </is>
      </c>
      <c r="B1788" s="1" t="n">
        <v>44944</v>
      </c>
      <c r="C1788" s="1" t="n">
        <v>45807</v>
      </c>
      <c r="D1788" t="inlineStr">
        <is>
          <t>VÄSTERBOTTENS LÄN</t>
        </is>
      </c>
      <c r="E1788" t="inlineStr">
        <is>
          <t>SKELLEFTEÅ</t>
        </is>
      </c>
      <c r="G1788" t="n">
        <v>31.7</v>
      </c>
      <c r="H1788" t="n">
        <v>0</v>
      </c>
      <c r="I1788" t="n">
        <v>0</v>
      </c>
      <c r="J1788" t="n">
        <v>0</v>
      </c>
      <c r="K1788" t="n">
        <v>0</v>
      </c>
      <c r="L1788" t="n">
        <v>0</v>
      </c>
      <c r="M1788" t="n">
        <v>0</v>
      </c>
      <c r="N1788" t="n">
        <v>0</v>
      </c>
      <c r="O1788" t="n">
        <v>0</v>
      </c>
      <c r="P1788" t="n">
        <v>0</v>
      </c>
      <c r="Q1788" t="n">
        <v>0</v>
      </c>
      <c r="R1788" s="2" t="inlineStr"/>
    </row>
    <row r="1789" ht="15" customHeight="1">
      <c r="A1789" t="inlineStr">
        <is>
          <t>A 2895-2023</t>
        </is>
      </c>
      <c r="B1789" s="1" t="n">
        <v>44945</v>
      </c>
      <c r="C1789" s="1" t="n">
        <v>45807</v>
      </c>
      <c r="D1789" t="inlineStr">
        <is>
          <t>VÄSTERBOTTENS LÄN</t>
        </is>
      </c>
      <c r="E1789" t="inlineStr">
        <is>
          <t>SKELLEFTEÅ</t>
        </is>
      </c>
      <c r="F1789" t="inlineStr">
        <is>
          <t>Sveaskog</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3277-2023</t>
        </is>
      </c>
      <c r="B1790" s="1" t="n">
        <v>44945</v>
      </c>
      <c r="C1790" s="1" t="n">
        <v>45807</v>
      </c>
      <c r="D1790" t="inlineStr">
        <is>
          <t>VÄSTERBOTTENS LÄN</t>
        </is>
      </c>
      <c r="E1790" t="inlineStr">
        <is>
          <t>SKELLEFTEÅ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3603-2023</t>
        </is>
      </c>
      <c r="B1791" s="1" t="n">
        <v>44946</v>
      </c>
      <c r="C1791" s="1" t="n">
        <v>45807</v>
      </c>
      <c r="D1791" t="inlineStr">
        <is>
          <t>VÄSTERBOTTENS LÄN</t>
        </is>
      </c>
      <c r="E1791" t="inlineStr">
        <is>
          <t>SKELLEFTEÅ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3600-2023</t>
        </is>
      </c>
      <c r="B1792" s="1" t="n">
        <v>44946</v>
      </c>
      <c r="C1792" s="1" t="n">
        <v>45807</v>
      </c>
      <c r="D1792" t="inlineStr">
        <is>
          <t>VÄSTERBOTTENS LÄN</t>
        </is>
      </c>
      <c r="E1792" t="inlineStr">
        <is>
          <t>SKELLEFTEÅ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3852-2023</t>
        </is>
      </c>
      <c r="B1793" s="1" t="n">
        <v>44950</v>
      </c>
      <c r="C1793" s="1" t="n">
        <v>45807</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3848-2023</t>
        </is>
      </c>
      <c r="B1794" s="1" t="n">
        <v>44950</v>
      </c>
      <c r="C1794" s="1" t="n">
        <v>45807</v>
      </c>
      <c r="D1794" t="inlineStr">
        <is>
          <t>VÄSTERBOTTENS LÄN</t>
        </is>
      </c>
      <c r="E1794" t="inlineStr">
        <is>
          <t>SKELLEFTEÅ</t>
        </is>
      </c>
      <c r="G1794" t="n">
        <v>14.4</v>
      </c>
      <c r="H1794" t="n">
        <v>0</v>
      </c>
      <c r="I1794" t="n">
        <v>0</v>
      </c>
      <c r="J1794" t="n">
        <v>0</v>
      </c>
      <c r="K1794" t="n">
        <v>0</v>
      </c>
      <c r="L1794" t="n">
        <v>0</v>
      </c>
      <c r="M1794" t="n">
        <v>0</v>
      </c>
      <c r="N1794" t="n">
        <v>0</v>
      </c>
      <c r="O1794" t="n">
        <v>0</v>
      </c>
      <c r="P1794" t="n">
        <v>0</v>
      </c>
      <c r="Q1794" t="n">
        <v>0</v>
      </c>
      <c r="R1794" s="2" t="inlineStr"/>
    </row>
    <row r="1795" ht="15" customHeight="1">
      <c r="A1795" t="inlineStr">
        <is>
          <t>A 3744-2023</t>
        </is>
      </c>
      <c r="B1795" s="1" t="n">
        <v>44951</v>
      </c>
      <c r="C1795" s="1" t="n">
        <v>45807</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4447-2023</t>
        </is>
      </c>
      <c r="B1796" s="1" t="n">
        <v>44951</v>
      </c>
      <c r="C1796" s="1" t="n">
        <v>45807</v>
      </c>
      <c r="D1796" t="inlineStr">
        <is>
          <t>VÄSTERBOTTENS LÄN</t>
        </is>
      </c>
      <c r="E1796" t="inlineStr">
        <is>
          <t>SKELLEFTEÅ</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4104-2023</t>
        </is>
      </c>
      <c r="B1797" s="1" t="n">
        <v>44952</v>
      </c>
      <c r="C1797" s="1" t="n">
        <v>45807</v>
      </c>
      <c r="D1797" t="inlineStr">
        <is>
          <t>VÄSTERBOTTENS LÄN</t>
        </is>
      </c>
      <c r="E1797" t="inlineStr">
        <is>
          <t>SKELLEFTEÅ</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4031-2023</t>
        </is>
      </c>
      <c r="B1798" s="1" t="n">
        <v>44952</v>
      </c>
      <c r="C1798" s="1" t="n">
        <v>45807</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4102-2023</t>
        </is>
      </c>
      <c r="B1799" s="1" t="n">
        <v>44952</v>
      </c>
      <c r="C1799" s="1" t="n">
        <v>45807</v>
      </c>
      <c r="D1799" t="inlineStr">
        <is>
          <t>VÄSTERBOTTENS LÄN</t>
        </is>
      </c>
      <c r="E1799" t="inlineStr">
        <is>
          <t>SKELLEFTEÅ</t>
        </is>
      </c>
      <c r="F1799" t="inlineStr">
        <is>
          <t>Sveaskog</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4458-2023</t>
        </is>
      </c>
      <c r="B1800" s="1" t="n">
        <v>44952</v>
      </c>
      <c r="C1800" s="1" t="n">
        <v>45807</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4453-2023</t>
        </is>
      </c>
      <c r="B1801" s="1" t="n">
        <v>44956</v>
      </c>
      <c r="C1801" s="1" t="n">
        <v>45807</v>
      </c>
      <c r="D1801" t="inlineStr">
        <is>
          <t>VÄSTERBOTTENS LÄN</t>
        </is>
      </c>
      <c r="E1801" t="inlineStr">
        <is>
          <t>SKELLEFTEÅ</t>
        </is>
      </c>
      <c r="F1801" t="inlineStr">
        <is>
          <t>Holmen skog AB</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4930-2023</t>
        </is>
      </c>
      <c r="B1802" s="1" t="n">
        <v>44956</v>
      </c>
      <c r="C1802" s="1" t="n">
        <v>45807</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4948-2023</t>
        </is>
      </c>
      <c r="B1803" s="1" t="n">
        <v>44956</v>
      </c>
      <c r="C1803" s="1" t="n">
        <v>45807</v>
      </c>
      <c r="D1803" t="inlineStr">
        <is>
          <t>VÄSTERBOTTENS LÄN</t>
        </is>
      </c>
      <c r="E1803" t="inlineStr">
        <is>
          <t>SKELLEFTEÅ</t>
        </is>
      </c>
      <c r="G1803" t="n">
        <v>21.1</v>
      </c>
      <c r="H1803" t="n">
        <v>0</v>
      </c>
      <c r="I1803" t="n">
        <v>0</v>
      </c>
      <c r="J1803" t="n">
        <v>0</v>
      </c>
      <c r="K1803" t="n">
        <v>0</v>
      </c>
      <c r="L1803" t="n">
        <v>0</v>
      </c>
      <c r="M1803" t="n">
        <v>0</v>
      </c>
      <c r="N1803" t="n">
        <v>0</v>
      </c>
      <c r="O1803" t="n">
        <v>0</v>
      </c>
      <c r="P1803" t="n">
        <v>0</v>
      </c>
      <c r="Q1803" t="n">
        <v>0</v>
      </c>
      <c r="R1803" s="2" t="inlineStr"/>
    </row>
    <row r="1804" ht="15" customHeight="1">
      <c r="A1804" t="inlineStr">
        <is>
          <t>A 4938-2023</t>
        </is>
      </c>
      <c r="B1804" s="1" t="n">
        <v>44956</v>
      </c>
      <c r="C1804" s="1" t="n">
        <v>45807</v>
      </c>
      <c r="D1804" t="inlineStr">
        <is>
          <t>VÄSTERBOTTENS LÄN</t>
        </is>
      </c>
      <c r="E1804" t="inlineStr">
        <is>
          <t>SKELLEFTEÅ</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4943-2023</t>
        </is>
      </c>
      <c r="B1805" s="1" t="n">
        <v>44956</v>
      </c>
      <c r="C1805" s="1" t="n">
        <v>45807</v>
      </c>
      <c r="D1805" t="inlineStr">
        <is>
          <t>VÄSTERBOTTENS LÄN</t>
        </is>
      </c>
      <c r="E1805" t="inlineStr">
        <is>
          <t>SKELLEFTEÅ</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4710-2023</t>
        </is>
      </c>
      <c r="B1806" s="1" t="n">
        <v>44957</v>
      </c>
      <c r="C1806" s="1" t="n">
        <v>45807</v>
      </c>
      <c r="D1806" t="inlineStr">
        <is>
          <t>VÄSTERBOTTENS LÄN</t>
        </is>
      </c>
      <c r="E1806" t="inlineStr">
        <is>
          <t>SKELLEFTEÅ</t>
        </is>
      </c>
      <c r="F1806" t="inlineStr">
        <is>
          <t>Holmen skog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5416-2023</t>
        </is>
      </c>
      <c r="B1807" s="1" t="n">
        <v>44957</v>
      </c>
      <c r="C1807" s="1" t="n">
        <v>45807</v>
      </c>
      <c r="D1807" t="inlineStr">
        <is>
          <t>VÄSTERBOTTENS LÄN</t>
        </is>
      </c>
      <c r="E1807" t="inlineStr">
        <is>
          <t>SKELLEFTEÅ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5481-2023</t>
        </is>
      </c>
      <c r="B1808" s="1" t="n">
        <v>44957</v>
      </c>
      <c r="C1808" s="1" t="n">
        <v>45807</v>
      </c>
      <c r="D1808" t="inlineStr">
        <is>
          <t>VÄSTERBOTTENS LÄN</t>
        </is>
      </c>
      <c r="E1808" t="inlineStr">
        <is>
          <t>SKELLEFTEÅ</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5495-2023</t>
        </is>
      </c>
      <c r="B1809" s="1" t="n">
        <v>44957</v>
      </c>
      <c r="C1809" s="1" t="n">
        <v>45807</v>
      </c>
      <c r="D1809" t="inlineStr">
        <is>
          <t>VÄSTERBOTTENS LÄN</t>
        </is>
      </c>
      <c r="E1809" t="inlineStr">
        <is>
          <t>SKELLEFTEÅ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5515-2023</t>
        </is>
      </c>
      <c r="B1810" s="1" t="n">
        <v>44957</v>
      </c>
      <c r="C1810" s="1" t="n">
        <v>45807</v>
      </c>
      <c r="D1810" t="inlineStr">
        <is>
          <t>VÄSTERBOTTENS LÄN</t>
        </is>
      </c>
      <c r="E1810" t="inlineStr">
        <is>
          <t>SKELLEFTEÅ</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5490-2023</t>
        </is>
      </c>
      <c r="B1811" s="1" t="n">
        <v>44957</v>
      </c>
      <c r="C1811" s="1" t="n">
        <v>45807</v>
      </c>
      <c r="D1811" t="inlineStr">
        <is>
          <t>VÄSTERBOTTENS LÄN</t>
        </is>
      </c>
      <c r="E1811" t="inlineStr">
        <is>
          <t>SKELLEFTEÅ</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5373-2023</t>
        </is>
      </c>
      <c r="B1812" s="1" t="n">
        <v>44957</v>
      </c>
      <c r="C1812" s="1" t="n">
        <v>45807</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5973-2023</t>
        </is>
      </c>
      <c r="B1813" s="1" t="n">
        <v>44959</v>
      </c>
      <c r="C1813" s="1" t="n">
        <v>45807</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5996-2023</t>
        </is>
      </c>
      <c r="B1814" s="1" t="n">
        <v>44959</v>
      </c>
      <c r="C1814" s="1" t="n">
        <v>45807</v>
      </c>
      <c r="D1814" t="inlineStr">
        <is>
          <t>VÄSTERBOTTENS LÄN</t>
        </is>
      </c>
      <c r="E1814" t="inlineStr">
        <is>
          <t>SKELLEFTEÅ</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6016-2023</t>
        </is>
      </c>
      <c r="B1815" s="1" t="n">
        <v>44959</v>
      </c>
      <c r="C1815" s="1" t="n">
        <v>45807</v>
      </c>
      <c r="D1815" t="inlineStr">
        <is>
          <t>VÄSTERBOTTENS LÄN</t>
        </is>
      </c>
      <c r="E1815" t="inlineStr">
        <is>
          <t>SKELLEFTEÅ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5986-2023</t>
        </is>
      </c>
      <c r="B1816" s="1" t="n">
        <v>44959</v>
      </c>
      <c r="C1816" s="1" t="n">
        <v>45807</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5991-2023</t>
        </is>
      </c>
      <c r="B1817" s="1" t="n">
        <v>44959</v>
      </c>
      <c r="C1817" s="1" t="n">
        <v>45807</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6012-2023</t>
        </is>
      </c>
      <c r="B1818" s="1" t="n">
        <v>44959</v>
      </c>
      <c r="C1818" s="1" t="n">
        <v>45807</v>
      </c>
      <c r="D1818" t="inlineStr">
        <is>
          <t>VÄSTERBOTTENS LÄN</t>
        </is>
      </c>
      <c r="E1818" t="inlineStr">
        <is>
          <t>SKELLEFTEÅ</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5687-2023</t>
        </is>
      </c>
      <c r="B1819" s="1" t="n">
        <v>44960</v>
      </c>
      <c r="C1819" s="1" t="n">
        <v>45807</v>
      </c>
      <c r="D1819" t="inlineStr">
        <is>
          <t>VÄSTERBOTTENS LÄN</t>
        </is>
      </c>
      <c r="E1819" t="inlineStr">
        <is>
          <t>SKELLEFTEÅ</t>
        </is>
      </c>
      <c r="F1819" t="inlineStr">
        <is>
          <t>Sveaskog</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5470-2023</t>
        </is>
      </c>
      <c r="B1820" s="1" t="n">
        <v>44960</v>
      </c>
      <c r="C1820" s="1" t="n">
        <v>45807</v>
      </c>
      <c r="D1820" t="inlineStr">
        <is>
          <t>VÄSTERBOTTENS LÄN</t>
        </is>
      </c>
      <c r="E1820" t="inlineStr">
        <is>
          <t>SKELLEFTEÅ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5541-2023</t>
        </is>
      </c>
      <c r="B1821" s="1" t="n">
        <v>44960</v>
      </c>
      <c r="C1821" s="1" t="n">
        <v>45807</v>
      </c>
      <c r="D1821" t="inlineStr">
        <is>
          <t>VÄSTERBOTTENS LÄN</t>
        </is>
      </c>
      <c r="E1821" t="inlineStr">
        <is>
          <t>SKELLEFTEÅ</t>
        </is>
      </c>
      <c r="F1821" t="inlineStr">
        <is>
          <t>Sveaskog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5602-2023</t>
        </is>
      </c>
      <c r="B1822" s="1" t="n">
        <v>44960</v>
      </c>
      <c r="C1822" s="1" t="n">
        <v>45807</v>
      </c>
      <c r="D1822" t="inlineStr">
        <is>
          <t>VÄSTERBOTTENS LÄN</t>
        </is>
      </c>
      <c r="E1822" t="inlineStr">
        <is>
          <t>SKELLEFTEÅ</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5740-2023</t>
        </is>
      </c>
      <c r="B1823" s="1" t="n">
        <v>44962</v>
      </c>
      <c r="C1823" s="1" t="n">
        <v>45807</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5744-2023</t>
        </is>
      </c>
      <c r="B1824" s="1" t="n">
        <v>44962</v>
      </c>
      <c r="C1824" s="1" t="n">
        <v>45807</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5743-2023</t>
        </is>
      </c>
      <c r="B1825" s="1" t="n">
        <v>44962</v>
      </c>
      <c r="C1825" s="1" t="n">
        <v>45807</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5929-2023</t>
        </is>
      </c>
      <c r="B1826" s="1" t="n">
        <v>44963</v>
      </c>
      <c r="C1826" s="1" t="n">
        <v>45807</v>
      </c>
      <c r="D1826" t="inlineStr">
        <is>
          <t>VÄSTERBOTTENS LÄN</t>
        </is>
      </c>
      <c r="E1826" t="inlineStr">
        <is>
          <t>SKELLEFTEÅ</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5959-2023</t>
        </is>
      </c>
      <c r="B1827" s="1" t="n">
        <v>44963</v>
      </c>
      <c r="C1827" s="1" t="n">
        <v>45807</v>
      </c>
      <c r="D1827" t="inlineStr">
        <is>
          <t>VÄSTERBOTTENS LÄN</t>
        </is>
      </c>
      <c r="E1827" t="inlineStr">
        <is>
          <t>SKELLEFTEÅ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6596-2023</t>
        </is>
      </c>
      <c r="B1828" s="1" t="n">
        <v>44963</v>
      </c>
      <c r="C1828" s="1" t="n">
        <v>45807</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6656-2023</t>
        </is>
      </c>
      <c r="B1829" s="1" t="n">
        <v>44963</v>
      </c>
      <c r="C1829" s="1" t="n">
        <v>45807</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5965-2023</t>
        </is>
      </c>
      <c r="B1830" s="1" t="n">
        <v>44964</v>
      </c>
      <c r="C1830" s="1" t="n">
        <v>45807</v>
      </c>
      <c r="D1830" t="inlineStr">
        <is>
          <t>VÄSTERBOTTENS LÄN</t>
        </is>
      </c>
      <c r="E1830" t="inlineStr">
        <is>
          <t>SKELLEFTEÅ</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6441-2023</t>
        </is>
      </c>
      <c r="B1831" s="1" t="n">
        <v>44965</v>
      </c>
      <c r="C1831" s="1" t="n">
        <v>45807</v>
      </c>
      <c r="D1831" t="inlineStr">
        <is>
          <t>VÄSTERBOTTENS LÄN</t>
        </is>
      </c>
      <c r="E1831" t="inlineStr">
        <is>
          <t>SKELLEFTEÅ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6443-2023</t>
        </is>
      </c>
      <c r="B1832" s="1" t="n">
        <v>44965</v>
      </c>
      <c r="C1832" s="1" t="n">
        <v>45807</v>
      </c>
      <c r="D1832" t="inlineStr">
        <is>
          <t>VÄSTERBOTTENS LÄN</t>
        </is>
      </c>
      <c r="E1832" t="inlineStr">
        <is>
          <t>SKELLEFTEÅ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6442-2023</t>
        </is>
      </c>
      <c r="B1833" s="1" t="n">
        <v>44965</v>
      </c>
      <c r="C1833" s="1" t="n">
        <v>45807</v>
      </c>
      <c r="D1833" t="inlineStr">
        <is>
          <t>VÄSTERBOTTENS LÄN</t>
        </is>
      </c>
      <c r="E1833" t="inlineStr">
        <is>
          <t>SKELLEFTEÅ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6450-2023</t>
        </is>
      </c>
      <c r="B1834" s="1" t="n">
        <v>44965</v>
      </c>
      <c r="C1834" s="1" t="n">
        <v>45807</v>
      </c>
      <c r="D1834" t="inlineStr">
        <is>
          <t>VÄSTERBOTTENS LÄN</t>
        </is>
      </c>
      <c r="E1834" t="inlineStr">
        <is>
          <t>SKELLEFTEÅ</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6511-2023</t>
        </is>
      </c>
      <c r="B1835" s="1" t="n">
        <v>44966</v>
      </c>
      <c r="C1835" s="1" t="n">
        <v>45807</v>
      </c>
      <c r="D1835" t="inlineStr">
        <is>
          <t>VÄSTERBOTTENS LÄN</t>
        </is>
      </c>
      <c r="E1835" t="inlineStr">
        <is>
          <t>SKELLEFTEÅ</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7023-2023</t>
        </is>
      </c>
      <c r="B1836" s="1" t="n">
        <v>44968</v>
      </c>
      <c r="C1836" s="1" t="n">
        <v>45807</v>
      </c>
      <c r="D1836" t="inlineStr">
        <is>
          <t>VÄSTERBOTTENS LÄN</t>
        </is>
      </c>
      <c r="E1836" t="inlineStr">
        <is>
          <t>SKELLEFTEÅ</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7022-2023</t>
        </is>
      </c>
      <c r="B1837" s="1" t="n">
        <v>44968</v>
      </c>
      <c r="C1837" s="1" t="n">
        <v>45807</v>
      </c>
      <c r="D1837" t="inlineStr">
        <is>
          <t>VÄSTERBOTTENS LÄN</t>
        </is>
      </c>
      <c r="E1837" t="inlineStr">
        <is>
          <t>SKELLEFTEÅ</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7875-2023</t>
        </is>
      </c>
      <c r="B1838" s="1" t="n">
        <v>44967</v>
      </c>
      <c r="C1838" s="1" t="n">
        <v>45807</v>
      </c>
      <c r="D1838" t="inlineStr">
        <is>
          <t>VÄSTERBOTTENS LÄN</t>
        </is>
      </c>
      <c r="E1838" t="inlineStr">
        <is>
          <t>SKELLEFTEÅ</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7364-2023</t>
        </is>
      </c>
      <c r="B1839" s="1" t="n">
        <v>44971</v>
      </c>
      <c r="C1839" s="1" t="n">
        <v>45807</v>
      </c>
      <c r="D1839" t="inlineStr">
        <is>
          <t>VÄSTERBOTTENS LÄN</t>
        </is>
      </c>
      <c r="E1839" t="inlineStr">
        <is>
          <t>SKELLEFTEÅ</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7517-2023</t>
        </is>
      </c>
      <c r="B1840" s="1" t="n">
        <v>44971</v>
      </c>
      <c r="C1840" s="1" t="n">
        <v>45807</v>
      </c>
      <c r="D1840" t="inlineStr">
        <is>
          <t>VÄSTERBOTTENS LÄN</t>
        </is>
      </c>
      <c r="E1840" t="inlineStr">
        <is>
          <t>SKELLEFTEÅ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7516-2023</t>
        </is>
      </c>
      <c r="B1841" s="1" t="n">
        <v>44971</v>
      </c>
      <c r="C1841" s="1" t="n">
        <v>45807</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8206-2023</t>
        </is>
      </c>
      <c r="B1842" s="1" t="n">
        <v>44971</v>
      </c>
      <c r="C1842" s="1" t="n">
        <v>45807</v>
      </c>
      <c r="D1842" t="inlineStr">
        <is>
          <t>VÄSTERBOTTENS LÄN</t>
        </is>
      </c>
      <c r="E1842" t="inlineStr">
        <is>
          <t>SKELLEFTEÅ</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8422-2023</t>
        </is>
      </c>
      <c r="B1843" s="1" t="n">
        <v>44972</v>
      </c>
      <c r="C1843" s="1" t="n">
        <v>45807</v>
      </c>
      <c r="D1843" t="inlineStr">
        <is>
          <t>VÄSTERBOTTENS LÄN</t>
        </is>
      </c>
      <c r="E1843" t="inlineStr">
        <is>
          <t>SKELLEFTEÅ</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8477-2023</t>
        </is>
      </c>
      <c r="B1844" s="1" t="n">
        <v>44972</v>
      </c>
      <c r="C1844" s="1" t="n">
        <v>45807</v>
      </c>
      <c r="D1844" t="inlineStr">
        <is>
          <t>VÄSTERBOTTENS LÄN</t>
        </is>
      </c>
      <c r="E1844" t="inlineStr">
        <is>
          <t>SKELLEFTEÅ</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8479-2023</t>
        </is>
      </c>
      <c r="B1845" s="1" t="n">
        <v>44972</v>
      </c>
      <c r="C1845" s="1" t="n">
        <v>45807</v>
      </c>
      <c r="D1845" t="inlineStr">
        <is>
          <t>VÄSTERBOTTENS LÄN</t>
        </is>
      </c>
      <c r="E1845" t="inlineStr">
        <is>
          <t>SKELLEFTEÅ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8549-2023</t>
        </is>
      </c>
      <c r="B1846" s="1" t="n">
        <v>44972</v>
      </c>
      <c r="C1846" s="1" t="n">
        <v>45807</v>
      </c>
      <c r="D1846" t="inlineStr">
        <is>
          <t>VÄSTERBOTTENS LÄN</t>
        </is>
      </c>
      <c r="E1846" t="inlineStr">
        <is>
          <t>SKELLEFTEÅ</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8480-2023</t>
        </is>
      </c>
      <c r="B1847" s="1" t="n">
        <v>44972</v>
      </c>
      <c r="C1847" s="1" t="n">
        <v>45807</v>
      </c>
      <c r="D1847" t="inlineStr">
        <is>
          <t>VÄSTERBOTTENS LÄN</t>
        </is>
      </c>
      <c r="E1847" t="inlineStr">
        <is>
          <t>SKELLEFTEÅ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7712-2023</t>
        </is>
      </c>
      <c r="B1848" s="1" t="n">
        <v>44972</v>
      </c>
      <c r="C1848" s="1" t="n">
        <v>45807</v>
      </c>
      <c r="D1848" t="inlineStr">
        <is>
          <t>VÄSTERBOTTENS LÄN</t>
        </is>
      </c>
      <c r="E1848" t="inlineStr">
        <is>
          <t>SKELLEFTEÅ</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8478-2023</t>
        </is>
      </c>
      <c r="B1849" s="1" t="n">
        <v>44972</v>
      </c>
      <c r="C1849" s="1" t="n">
        <v>45807</v>
      </c>
      <c r="D1849" t="inlineStr">
        <is>
          <t>VÄSTERBOTTENS LÄN</t>
        </is>
      </c>
      <c r="E1849" t="inlineStr">
        <is>
          <t>SKELLEFTEÅ</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8563-2023</t>
        </is>
      </c>
      <c r="B1850" s="1" t="n">
        <v>44972</v>
      </c>
      <c r="C1850" s="1" t="n">
        <v>45807</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8028-2023</t>
        </is>
      </c>
      <c r="B1851" s="1" t="n">
        <v>44973</v>
      </c>
      <c r="C1851" s="1" t="n">
        <v>45807</v>
      </c>
      <c r="D1851" t="inlineStr">
        <is>
          <t>VÄSTERBOTTENS LÄN</t>
        </is>
      </c>
      <c r="E1851" t="inlineStr">
        <is>
          <t>SKELLEFTEÅ</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8029-2023</t>
        </is>
      </c>
      <c r="B1852" s="1" t="n">
        <v>44973</v>
      </c>
      <c r="C1852" s="1" t="n">
        <v>45807</v>
      </c>
      <c r="D1852" t="inlineStr">
        <is>
          <t>VÄSTERBOTTENS LÄN</t>
        </is>
      </c>
      <c r="E1852" t="inlineStr">
        <is>
          <t>SKELLEFTEÅ</t>
        </is>
      </c>
      <c r="F1852" t="inlineStr">
        <is>
          <t>SCA</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8328-2023</t>
        </is>
      </c>
      <c r="B1853" s="1" t="n">
        <v>44974</v>
      </c>
      <c r="C1853" s="1" t="n">
        <v>45807</v>
      </c>
      <c r="D1853" t="inlineStr">
        <is>
          <t>VÄSTERBOTTENS LÄN</t>
        </is>
      </c>
      <c r="E1853" t="inlineStr">
        <is>
          <t>SKELLEFTEÅ</t>
        </is>
      </c>
      <c r="G1853" t="n">
        <v>18.5</v>
      </c>
      <c r="H1853" t="n">
        <v>0</v>
      </c>
      <c r="I1853" t="n">
        <v>0</v>
      </c>
      <c r="J1853" t="n">
        <v>0</v>
      </c>
      <c r="K1853" t="n">
        <v>0</v>
      </c>
      <c r="L1853" t="n">
        <v>0</v>
      </c>
      <c r="M1853" t="n">
        <v>0</v>
      </c>
      <c r="N1853" t="n">
        <v>0</v>
      </c>
      <c r="O1853" t="n">
        <v>0</v>
      </c>
      <c r="P1853" t="n">
        <v>0</v>
      </c>
      <c r="Q1853" t="n">
        <v>0</v>
      </c>
      <c r="R1853" s="2" t="inlineStr"/>
    </row>
    <row r="1854" ht="15" customHeight="1">
      <c r="A1854" t="inlineStr">
        <is>
          <t>A 8930-2023</t>
        </is>
      </c>
      <c r="B1854" s="1" t="n">
        <v>44974</v>
      </c>
      <c r="C1854" s="1" t="n">
        <v>45807</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8952-2023</t>
        </is>
      </c>
      <c r="B1855" s="1" t="n">
        <v>44974</v>
      </c>
      <c r="C1855" s="1" t="n">
        <v>45807</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8648-2023</t>
        </is>
      </c>
      <c r="B1856" s="1" t="n">
        <v>44978</v>
      </c>
      <c r="C1856" s="1" t="n">
        <v>45807</v>
      </c>
      <c r="D1856" t="inlineStr">
        <is>
          <t>VÄSTERBOTTENS LÄN</t>
        </is>
      </c>
      <c r="E1856" t="inlineStr">
        <is>
          <t>SKELLEFTEÅ</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9624-2023</t>
        </is>
      </c>
      <c r="B1857" s="1" t="n">
        <v>44978</v>
      </c>
      <c r="C1857" s="1" t="n">
        <v>45807</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8801-2023</t>
        </is>
      </c>
      <c r="B1858" s="1" t="n">
        <v>44978</v>
      </c>
      <c r="C1858" s="1" t="n">
        <v>45807</v>
      </c>
      <c r="D1858" t="inlineStr">
        <is>
          <t>VÄSTERBOTTENS LÄN</t>
        </is>
      </c>
      <c r="E1858" t="inlineStr">
        <is>
          <t>SKELLEFTEÅ</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9619-2023</t>
        </is>
      </c>
      <c r="B1859" s="1" t="n">
        <v>44978</v>
      </c>
      <c r="C1859" s="1" t="n">
        <v>45807</v>
      </c>
      <c r="D1859" t="inlineStr">
        <is>
          <t>VÄSTERBOTTENS LÄN</t>
        </is>
      </c>
      <c r="E1859" t="inlineStr">
        <is>
          <t>SKELLEFTEÅ</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9740-2023</t>
        </is>
      </c>
      <c r="B1860" s="1" t="n">
        <v>44978</v>
      </c>
      <c r="C1860" s="1" t="n">
        <v>45807</v>
      </c>
      <c r="D1860" t="inlineStr">
        <is>
          <t>VÄSTERBOTTENS LÄN</t>
        </is>
      </c>
      <c r="E1860" t="inlineStr">
        <is>
          <t>SKELLEFTEÅ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9027-2023</t>
        </is>
      </c>
      <c r="B1861" s="1" t="n">
        <v>44979</v>
      </c>
      <c r="C1861" s="1" t="n">
        <v>45807</v>
      </c>
      <c r="D1861" t="inlineStr">
        <is>
          <t>VÄSTERBOTTENS LÄN</t>
        </is>
      </c>
      <c r="E1861" t="inlineStr">
        <is>
          <t>SKELLEFTEÅ</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9078-2023</t>
        </is>
      </c>
      <c r="B1862" s="1" t="n">
        <v>44979</v>
      </c>
      <c r="C1862" s="1" t="n">
        <v>45807</v>
      </c>
      <c r="D1862" t="inlineStr">
        <is>
          <t>VÄSTERBOTTENS LÄN</t>
        </is>
      </c>
      <c r="E1862" t="inlineStr">
        <is>
          <t>SKELLEFTEÅ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9080-2023</t>
        </is>
      </c>
      <c r="B1863" s="1" t="n">
        <v>44979</v>
      </c>
      <c r="C1863" s="1" t="n">
        <v>45807</v>
      </c>
      <c r="D1863" t="inlineStr">
        <is>
          <t>VÄSTERBOTTENS LÄN</t>
        </is>
      </c>
      <c r="E1863" t="inlineStr">
        <is>
          <t>SKELLEFTEÅ</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9980-2023</t>
        </is>
      </c>
      <c r="B1864" s="1" t="n">
        <v>44979</v>
      </c>
      <c r="C1864" s="1" t="n">
        <v>45807</v>
      </c>
      <c r="D1864" t="inlineStr">
        <is>
          <t>VÄSTERBOTTENS LÄN</t>
        </is>
      </c>
      <c r="E1864" t="inlineStr">
        <is>
          <t>SKELLEFTEÅ</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9079-2023</t>
        </is>
      </c>
      <c r="B1865" s="1" t="n">
        <v>44979</v>
      </c>
      <c r="C1865" s="1" t="n">
        <v>45807</v>
      </c>
      <c r="D1865" t="inlineStr">
        <is>
          <t>VÄSTERBOTTENS LÄN</t>
        </is>
      </c>
      <c r="E1865" t="inlineStr">
        <is>
          <t>SKELLEFTEÅ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9982-2023</t>
        </is>
      </c>
      <c r="B1866" s="1" t="n">
        <v>44979</v>
      </c>
      <c r="C1866" s="1" t="n">
        <v>45807</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10172-2023</t>
        </is>
      </c>
      <c r="B1867" s="1" t="n">
        <v>44979</v>
      </c>
      <c r="C1867" s="1" t="n">
        <v>45807</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9209-2023</t>
        </is>
      </c>
      <c r="B1868" s="1" t="n">
        <v>44980</v>
      </c>
      <c r="C1868" s="1" t="n">
        <v>45807</v>
      </c>
      <c r="D1868" t="inlineStr">
        <is>
          <t>VÄSTERBOTTENS LÄN</t>
        </is>
      </c>
      <c r="E1868" t="inlineStr">
        <is>
          <t>SKELLEFTEÅ</t>
        </is>
      </c>
      <c r="F1868" t="inlineStr">
        <is>
          <t>Holmen skog AB</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9343-2023</t>
        </is>
      </c>
      <c r="B1869" s="1" t="n">
        <v>44980</v>
      </c>
      <c r="C1869" s="1" t="n">
        <v>45807</v>
      </c>
      <c r="D1869" t="inlineStr">
        <is>
          <t>VÄSTERBOTTENS LÄN</t>
        </is>
      </c>
      <c r="E1869" t="inlineStr">
        <is>
          <t>SKELLEFTEÅ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9342-2023</t>
        </is>
      </c>
      <c r="B1870" s="1" t="n">
        <v>44980</v>
      </c>
      <c r="C1870" s="1" t="n">
        <v>45807</v>
      </c>
      <c r="D1870" t="inlineStr">
        <is>
          <t>VÄSTERBOTTENS LÄN</t>
        </is>
      </c>
      <c r="E1870" t="inlineStr">
        <is>
          <t>SKELLEFTEÅ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9345-2023</t>
        </is>
      </c>
      <c r="B1871" s="1" t="n">
        <v>44980</v>
      </c>
      <c r="C1871" s="1" t="n">
        <v>45807</v>
      </c>
      <c r="D1871" t="inlineStr">
        <is>
          <t>VÄSTERBOTTENS LÄN</t>
        </is>
      </c>
      <c r="E1871" t="inlineStr">
        <is>
          <t>SKELLEFTEÅ</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9402-2023</t>
        </is>
      </c>
      <c r="B1872" s="1" t="n">
        <v>44981</v>
      </c>
      <c r="C1872" s="1" t="n">
        <v>45807</v>
      </c>
      <c r="D1872" t="inlineStr">
        <is>
          <t>VÄSTERBOTTENS LÄN</t>
        </is>
      </c>
      <c r="E1872" t="inlineStr">
        <is>
          <t>SKELLEFTEÅ</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9463-2023</t>
        </is>
      </c>
      <c r="B1873" s="1" t="n">
        <v>44981</v>
      </c>
      <c r="C1873" s="1" t="n">
        <v>45807</v>
      </c>
      <c r="D1873" t="inlineStr">
        <is>
          <t>VÄSTERBOTTENS LÄN</t>
        </is>
      </c>
      <c r="E1873" t="inlineStr">
        <is>
          <t>SKELLEFTEÅ</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10568-2023</t>
        </is>
      </c>
      <c r="B1874" s="1" t="n">
        <v>44981</v>
      </c>
      <c r="C1874" s="1" t="n">
        <v>45807</v>
      </c>
      <c r="D1874" t="inlineStr">
        <is>
          <t>VÄSTERBOTTENS LÄN</t>
        </is>
      </c>
      <c r="E1874" t="inlineStr">
        <is>
          <t>SKELLEFTEÅ</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10567-2023</t>
        </is>
      </c>
      <c r="B1875" s="1" t="n">
        <v>44981</v>
      </c>
      <c r="C1875" s="1" t="n">
        <v>45807</v>
      </c>
      <c r="D1875" t="inlineStr">
        <is>
          <t>VÄSTERBOTTENS LÄN</t>
        </is>
      </c>
      <c r="E1875" t="inlineStr">
        <is>
          <t>SKELLEFTEÅ</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10570-2023</t>
        </is>
      </c>
      <c r="B1876" s="1" t="n">
        <v>44981</v>
      </c>
      <c r="C1876" s="1" t="n">
        <v>45807</v>
      </c>
      <c r="D1876" t="inlineStr">
        <is>
          <t>VÄSTERBOTTENS LÄN</t>
        </is>
      </c>
      <c r="E1876" t="inlineStr">
        <is>
          <t>SKELLEFTEÅ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10696-2023</t>
        </is>
      </c>
      <c r="B1877" s="1" t="n">
        <v>44984</v>
      </c>
      <c r="C1877" s="1" t="n">
        <v>45807</v>
      </c>
      <c r="D1877" t="inlineStr">
        <is>
          <t>VÄSTERBOTTENS LÄN</t>
        </is>
      </c>
      <c r="E1877" t="inlineStr">
        <is>
          <t>SKELLEFTEÅ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10647-2023</t>
        </is>
      </c>
      <c r="B1878" s="1" t="n">
        <v>44984</v>
      </c>
      <c r="C1878" s="1" t="n">
        <v>45807</v>
      </c>
      <c r="D1878" t="inlineStr">
        <is>
          <t>VÄSTERBOTTENS LÄN</t>
        </is>
      </c>
      <c r="E1878" t="inlineStr">
        <is>
          <t>SKELLEFTEÅ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10072-2023</t>
        </is>
      </c>
      <c r="B1879" s="1" t="n">
        <v>44985</v>
      </c>
      <c r="C1879" s="1" t="n">
        <v>45807</v>
      </c>
      <c r="D1879" t="inlineStr">
        <is>
          <t>VÄSTERBOTTENS LÄN</t>
        </is>
      </c>
      <c r="E1879" t="inlineStr">
        <is>
          <t>SKELLEFTEÅ</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10073-2023</t>
        </is>
      </c>
      <c r="B1880" s="1" t="n">
        <v>44985</v>
      </c>
      <c r="C1880" s="1" t="n">
        <v>45807</v>
      </c>
      <c r="D1880" t="inlineStr">
        <is>
          <t>VÄSTERBOTTENS LÄN</t>
        </is>
      </c>
      <c r="E1880" t="inlineStr">
        <is>
          <t>SKELLEFTEÅ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10840-2023</t>
        </is>
      </c>
      <c r="B1881" s="1" t="n">
        <v>44985</v>
      </c>
      <c r="C1881" s="1" t="n">
        <v>45807</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10846-2023</t>
        </is>
      </c>
      <c r="B1882" s="1" t="n">
        <v>44985</v>
      </c>
      <c r="C1882" s="1" t="n">
        <v>45807</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10852-2023</t>
        </is>
      </c>
      <c r="B1883" s="1" t="n">
        <v>44985</v>
      </c>
      <c r="C1883" s="1" t="n">
        <v>45807</v>
      </c>
      <c r="D1883" t="inlineStr">
        <is>
          <t>VÄSTERBOTTENS LÄN</t>
        </is>
      </c>
      <c r="E1883" t="inlineStr">
        <is>
          <t>SKELLEFTEÅ</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10291-2023</t>
        </is>
      </c>
      <c r="B1884" s="1" t="n">
        <v>44986</v>
      </c>
      <c r="C1884" s="1" t="n">
        <v>45807</v>
      </c>
      <c r="D1884" t="inlineStr">
        <is>
          <t>VÄSTERBOTTENS LÄN</t>
        </is>
      </c>
      <c r="E1884" t="inlineStr">
        <is>
          <t>SKELLEFTEÅ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11030-2023</t>
        </is>
      </c>
      <c r="B1885" s="1" t="n">
        <v>44991</v>
      </c>
      <c r="C1885" s="1" t="n">
        <v>45807</v>
      </c>
      <c r="D1885" t="inlineStr">
        <is>
          <t>VÄSTERBOTTENS LÄN</t>
        </is>
      </c>
      <c r="E1885" t="inlineStr">
        <is>
          <t>SKELLEFTEÅ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11028-2023</t>
        </is>
      </c>
      <c r="B1886" s="1" t="n">
        <v>44991</v>
      </c>
      <c r="C1886" s="1" t="n">
        <v>45807</v>
      </c>
      <c r="D1886" t="inlineStr">
        <is>
          <t>VÄSTERBOTTENS LÄN</t>
        </is>
      </c>
      <c r="E1886" t="inlineStr">
        <is>
          <t>SKELLEFTEÅ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11031-2023</t>
        </is>
      </c>
      <c r="B1887" s="1" t="n">
        <v>44991</v>
      </c>
      <c r="C1887" s="1" t="n">
        <v>45807</v>
      </c>
      <c r="D1887" t="inlineStr">
        <is>
          <t>VÄSTERBOTTENS LÄN</t>
        </is>
      </c>
      <c r="E1887" t="inlineStr">
        <is>
          <t>SKELLEFTEÅ</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11029-2023</t>
        </is>
      </c>
      <c r="B1888" s="1" t="n">
        <v>44991</v>
      </c>
      <c r="C1888" s="1" t="n">
        <v>45807</v>
      </c>
      <c r="D1888" t="inlineStr">
        <is>
          <t>VÄSTERBOTTENS LÄN</t>
        </is>
      </c>
      <c r="E1888" t="inlineStr">
        <is>
          <t>SKELLEFTEÅ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11707-2023</t>
        </is>
      </c>
      <c r="B1889" s="1" t="n">
        <v>44992</v>
      </c>
      <c r="C1889" s="1" t="n">
        <v>45807</v>
      </c>
      <c r="D1889" t="inlineStr">
        <is>
          <t>VÄSTERBOTTENS LÄN</t>
        </is>
      </c>
      <c r="E1889" t="inlineStr">
        <is>
          <t>SKELLEFTEÅ</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11377-2023</t>
        </is>
      </c>
      <c r="B1890" s="1" t="n">
        <v>44993</v>
      </c>
      <c r="C1890" s="1" t="n">
        <v>45807</v>
      </c>
      <c r="D1890" t="inlineStr">
        <is>
          <t>VÄSTERBOTTENS LÄN</t>
        </is>
      </c>
      <c r="E1890" t="inlineStr">
        <is>
          <t>SKELLEFTEÅ</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11339-2023</t>
        </is>
      </c>
      <c r="B1891" s="1" t="n">
        <v>44993</v>
      </c>
      <c r="C1891" s="1" t="n">
        <v>45807</v>
      </c>
      <c r="D1891" t="inlineStr">
        <is>
          <t>VÄSTERBOTTENS LÄN</t>
        </is>
      </c>
      <c r="E1891" t="inlineStr">
        <is>
          <t>SKELLEFTEÅ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11624-2023</t>
        </is>
      </c>
      <c r="B1892" s="1" t="n">
        <v>44994</v>
      </c>
      <c r="C1892" s="1" t="n">
        <v>45807</v>
      </c>
      <c r="D1892" t="inlineStr">
        <is>
          <t>VÄSTERBOTTENS LÄN</t>
        </is>
      </c>
      <c r="E1892" t="inlineStr">
        <is>
          <t>SKELLEFTEÅ</t>
        </is>
      </c>
      <c r="G1892" t="n">
        <v>47.6</v>
      </c>
      <c r="H1892" t="n">
        <v>0</v>
      </c>
      <c r="I1892" t="n">
        <v>0</v>
      </c>
      <c r="J1892" t="n">
        <v>0</v>
      </c>
      <c r="K1892" t="n">
        <v>0</v>
      </c>
      <c r="L1892" t="n">
        <v>0</v>
      </c>
      <c r="M1892" t="n">
        <v>0</v>
      </c>
      <c r="N1892" t="n">
        <v>0</v>
      </c>
      <c r="O1892" t="n">
        <v>0</v>
      </c>
      <c r="P1892" t="n">
        <v>0</v>
      </c>
      <c r="Q1892" t="n">
        <v>0</v>
      </c>
      <c r="R1892" s="2" t="inlineStr"/>
    </row>
    <row r="1893" ht="15" customHeight="1">
      <c r="A1893" t="inlineStr">
        <is>
          <t>A 11629-2023</t>
        </is>
      </c>
      <c r="B1893" s="1" t="n">
        <v>44994</v>
      </c>
      <c r="C1893" s="1" t="n">
        <v>45807</v>
      </c>
      <c r="D1893" t="inlineStr">
        <is>
          <t>VÄSTERBOTTENS LÄN</t>
        </is>
      </c>
      <c r="E1893" t="inlineStr">
        <is>
          <t>SKELLEFTEÅ</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11638-2023</t>
        </is>
      </c>
      <c r="B1894" s="1" t="n">
        <v>44994</v>
      </c>
      <c r="C1894" s="1" t="n">
        <v>45807</v>
      </c>
      <c r="D1894" t="inlineStr">
        <is>
          <t>VÄSTERBOTTENS LÄN</t>
        </is>
      </c>
      <c r="E1894" t="inlineStr">
        <is>
          <t>SKELLEFTEÅ</t>
        </is>
      </c>
      <c r="G1894" t="n">
        <v>19.8</v>
      </c>
      <c r="H1894" t="n">
        <v>0</v>
      </c>
      <c r="I1894" t="n">
        <v>0</v>
      </c>
      <c r="J1894" t="n">
        <v>0</v>
      </c>
      <c r="K1894" t="n">
        <v>0</v>
      </c>
      <c r="L1894" t="n">
        <v>0</v>
      </c>
      <c r="M1894" t="n">
        <v>0</v>
      </c>
      <c r="N1894" t="n">
        <v>0</v>
      </c>
      <c r="O1894" t="n">
        <v>0</v>
      </c>
      <c r="P1894" t="n">
        <v>0</v>
      </c>
      <c r="Q1894" t="n">
        <v>0</v>
      </c>
      <c r="R1894" s="2" t="inlineStr"/>
    </row>
    <row r="1895" ht="15" customHeight="1">
      <c r="A1895" t="inlineStr">
        <is>
          <t>A 11642-2023</t>
        </is>
      </c>
      <c r="B1895" s="1" t="n">
        <v>44994</v>
      </c>
      <c r="C1895" s="1" t="n">
        <v>45807</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11771-2023</t>
        </is>
      </c>
      <c r="B1896" s="1" t="n">
        <v>44994</v>
      </c>
      <c r="C1896" s="1" t="n">
        <v>45807</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11973-2023</t>
        </is>
      </c>
      <c r="B1897" s="1" t="n">
        <v>44994</v>
      </c>
      <c r="C1897" s="1" t="n">
        <v>45807</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11963-2023</t>
        </is>
      </c>
      <c r="B1898" s="1" t="n">
        <v>44994</v>
      </c>
      <c r="C1898" s="1" t="n">
        <v>45807</v>
      </c>
      <c r="D1898" t="inlineStr">
        <is>
          <t>VÄSTERBOTTENS LÄN</t>
        </is>
      </c>
      <c r="E1898" t="inlineStr">
        <is>
          <t>SKELLEFTEÅ</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11989-2023</t>
        </is>
      </c>
      <c r="B1899" s="1" t="n">
        <v>44994</v>
      </c>
      <c r="C1899" s="1" t="n">
        <v>45807</v>
      </c>
      <c r="D1899" t="inlineStr">
        <is>
          <t>VÄSTERBOTTENS LÄN</t>
        </is>
      </c>
      <c r="E1899" t="inlineStr">
        <is>
          <t>SKELLEFTEÅ</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11995-2023</t>
        </is>
      </c>
      <c r="B1900" s="1" t="n">
        <v>44994</v>
      </c>
      <c r="C1900" s="1" t="n">
        <v>45807</v>
      </c>
      <c r="D1900" t="inlineStr">
        <is>
          <t>VÄSTERBOTTENS LÄN</t>
        </is>
      </c>
      <c r="E1900" t="inlineStr">
        <is>
          <t>SKELLEFTEÅ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11942-2023</t>
        </is>
      </c>
      <c r="B1901" s="1" t="n">
        <v>44995</v>
      </c>
      <c r="C1901" s="1" t="n">
        <v>45807</v>
      </c>
      <c r="D1901" t="inlineStr">
        <is>
          <t>VÄSTERBOTTENS LÄN</t>
        </is>
      </c>
      <c r="E1901" t="inlineStr">
        <is>
          <t>SKELLEFTEÅ</t>
        </is>
      </c>
      <c r="F1901" t="inlineStr">
        <is>
          <t>Sveaskog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12017-2023</t>
        </is>
      </c>
      <c r="B1902" s="1" t="n">
        <v>44995</v>
      </c>
      <c r="C1902" s="1" t="n">
        <v>45807</v>
      </c>
      <c r="D1902" t="inlineStr">
        <is>
          <t>VÄSTERBOTTENS LÄN</t>
        </is>
      </c>
      <c r="E1902" t="inlineStr">
        <is>
          <t>SKELLEFTEÅ</t>
        </is>
      </c>
      <c r="F1902" t="inlineStr">
        <is>
          <t>Sveaskog</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11945-2023</t>
        </is>
      </c>
      <c r="B1903" s="1" t="n">
        <v>44995</v>
      </c>
      <c r="C1903" s="1" t="n">
        <v>45807</v>
      </c>
      <c r="D1903" t="inlineStr">
        <is>
          <t>VÄSTERBOTTENS LÄN</t>
        </is>
      </c>
      <c r="E1903" t="inlineStr">
        <is>
          <t>SKELLEFTEÅ</t>
        </is>
      </c>
      <c r="F1903" t="inlineStr">
        <is>
          <t>Sveaskog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12137-2023</t>
        </is>
      </c>
      <c r="B1904" s="1" t="n">
        <v>44995</v>
      </c>
      <c r="C1904" s="1" t="n">
        <v>45807</v>
      </c>
      <c r="D1904" t="inlineStr">
        <is>
          <t>VÄSTERBOTTENS LÄN</t>
        </is>
      </c>
      <c r="E1904" t="inlineStr">
        <is>
          <t>SKELLEFTEÅ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12019-2023</t>
        </is>
      </c>
      <c r="B1905" s="1" t="n">
        <v>44995</v>
      </c>
      <c r="C1905" s="1" t="n">
        <v>45807</v>
      </c>
      <c r="D1905" t="inlineStr">
        <is>
          <t>VÄSTERBOTTENS LÄN</t>
        </is>
      </c>
      <c r="E1905" t="inlineStr">
        <is>
          <t>SKELLEFTEÅ</t>
        </is>
      </c>
      <c r="F1905" t="inlineStr">
        <is>
          <t>Sveaskog</t>
        </is>
      </c>
      <c r="G1905" t="n">
        <v>12.6</v>
      </c>
      <c r="H1905" t="n">
        <v>0</v>
      </c>
      <c r="I1905" t="n">
        <v>0</v>
      </c>
      <c r="J1905" t="n">
        <v>0</v>
      </c>
      <c r="K1905" t="n">
        <v>0</v>
      </c>
      <c r="L1905" t="n">
        <v>0</v>
      </c>
      <c r="M1905" t="n">
        <v>0</v>
      </c>
      <c r="N1905" t="n">
        <v>0</v>
      </c>
      <c r="O1905" t="n">
        <v>0</v>
      </c>
      <c r="P1905" t="n">
        <v>0</v>
      </c>
      <c r="Q1905" t="n">
        <v>0</v>
      </c>
      <c r="R1905" s="2" t="inlineStr"/>
    </row>
    <row r="1906" ht="15" customHeight="1">
      <c r="A1906" t="inlineStr">
        <is>
          <t>A 12033-2023</t>
        </is>
      </c>
      <c r="B1906" s="1" t="n">
        <v>44995</v>
      </c>
      <c r="C1906" s="1" t="n">
        <v>45807</v>
      </c>
      <c r="D1906" t="inlineStr">
        <is>
          <t>VÄSTERBOTTENS LÄN</t>
        </is>
      </c>
      <c r="E1906" t="inlineStr">
        <is>
          <t>SKELLEFTEÅ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12032-2023</t>
        </is>
      </c>
      <c r="B1907" s="1" t="n">
        <v>44995</v>
      </c>
      <c r="C1907" s="1" t="n">
        <v>45807</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12366-2023</t>
        </is>
      </c>
      <c r="B1908" s="1" t="n">
        <v>44998</v>
      </c>
      <c r="C1908" s="1" t="n">
        <v>45807</v>
      </c>
      <c r="D1908" t="inlineStr">
        <is>
          <t>VÄSTERBOTTENS LÄN</t>
        </is>
      </c>
      <c r="E1908" t="inlineStr">
        <is>
          <t>SKELLEFTEÅ</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12392-2023</t>
        </is>
      </c>
      <c r="B1909" s="1" t="n">
        <v>44998</v>
      </c>
      <c r="C1909" s="1" t="n">
        <v>45807</v>
      </c>
      <c r="D1909" t="inlineStr">
        <is>
          <t>VÄSTERBOTTENS LÄN</t>
        </is>
      </c>
      <c r="E1909" t="inlineStr">
        <is>
          <t>SKELLEFTEÅ</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12728-2023</t>
        </is>
      </c>
      <c r="B1910" s="1" t="n">
        <v>45000</v>
      </c>
      <c r="C1910" s="1" t="n">
        <v>45807</v>
      </c>
      <c r="D1910" t="inlineStr">
        <is>
          <t>VÄSTERBOTTENS LÄN</t>
        </is>
      </c>
      <c r="E1910" t="inlineStr">
        <is>
          <t>SKELLEFTEÅ</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12601-2023</t>
        </is>
      </c>
      <c r="B1911" s="1" t="n">
        <v>45000</v>
      </c>
      <c r="C1911" s="1" t="n">
        <v>45807</v>
      </c>
      <c r="D1911" t="inlineStr">
        <is>
          <t>VÄSTERBOTTENS LÄN</t>
        </is>
      </c>
      <c r="E1911" t="inlineStr">
        <is>
          <t>SKELLEFTEÅ</t>
        </is>
      </c>
      <c r="F1911" t="inlineStr">
        <is>
          <t>Holmen skog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12648-2023</t>
        </is>
      </c>
      <c r="B1912" s="1" t="n">
        <v>45000</v>
      </c>
      <c r="C1912" s="1" t="n">
        <v>45807</v>
      </c>
      <c r="D1912" t="inlineStr">
        <is>
          <t>VÄSTERBOTTENS LÄN</t>
        </is>
      </c>
      <c r="E1912" t="inlineStr">
        <is>
          <t>SKELLEFTEÅ</t>
        </is>
      </c>
      <c r="F1912" t="inlineStr">
        <is>
          <t>Holmen skog AB</t>
        </is>
      </c>
      <c r="G1912" t="n">
        <v>14.6</v>
      </c>
      <c r="H1912" t="n">
        <v>0</v>
      </c>
      <c r="I1912" t="n">
        <v>0</v>
      </c>
      <c r="J1912" t="n">
        <v>0</v>
      </c>
      <c r="K1912" t="n">
        <v>0</v>
      </c>
      <c r="L1912" t="n">
        <v>0</v>
      </c>
      <c r="M1912" t="n">
        <v>0</v>
      </c>
      <c r="N1912" t="n">
        <v>0</v>
      </c>
      <c r="O1912" t="n">
        <v>0</v>
      </c>
      <c r="P1912" t="n">
        <v>0</v>
      </c>
      <c r="Q1912" t="n">
        <v>0</v>
      </c>
      <c r="R1912" s="2" t="inlineStr"/>
    </row>
    <row r="1913" ht="15" customHeight="1">
      <c r="A1913" t="inlineStr">
        <is>
          <t>A 12803-2023</t>
        </is>
      </c>
      <c r="B1913" s="1" t="n">
        <v>45000</v>
      </c>
      <c r="C1913" s="1" t="n">
        <v>45807</v>
      </c>
      <c r="D1913" t="inlineStr">
        <is>
          <t>VÄSTERBOTTENS LÄN</t>
        </is>
      </c>
      <c r="E1913" t="inlineStr">
        <is>
          <t>SKELLEFTEÅ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13149-2023</t>
        </is>
      </c>
      <c r="B1914" s="1" t="n">
        <v>45002</v>
      </c>
      <c r="C1914" s="1" t="n">
        <v>45807</v>
      </c>
      <c r="D1914" t="inlineStr">
        <is>
          <t>VÄSTERBOTTENS LÄN</t>
        </is>
      </c>
      <c r="E1914" t="inlineStr">
        <is>
          <t>SKELLEFTEÅ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13312-2023</t>
        </is>
      </c>
      <c r="B1915" s="1" t="n">
        <v>45005</v>
      </c>
      <c r="C1915" s="1" t="n">
        <v>45807</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13470-2023</t>
        </is>
      </c>
      <c r="B1916" s="1" t="n">
        <v>45005</v>
      </c>
      <c r="C1916" s="1" t="n">
        <v>45807</v>
      </c>
      <c r="D1916" t="inlineStr">
        <is>
          <t>VÄSTERBOTTENS LÄN</t>
        </is>
      </c>
      <c r="E1916" t="inlineStr">
        <is>
          <t>SKELLEFTEÅ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13375-2023</t>
        </is>
      </c>
      <c r="B1917" s="1" t="n">
        <v>45005</v>
      </c>
      <c r="C1917" s="1" t="n">
        <v>45807</v>
      </c>
      <c r="D1917" t="inlineStr">
        <is>
          <t>VÄSTERBOTTENS LÄN</t>
        </is>
      </c>
      <c r="E1917" t="inlineStr">
        <is>
          <t>SKELLEFTEÅ</t>
        </is>
      </c>
      <c r="F1917" t="inlineStr">
        <is>
          <t>Holmen skog AB</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13641-2023</t>
        </is>
      </c>
      <c r="B1918" s="1" t="n">
        <v>45006</v>
      </c>
      <c r="C1918" s="1" t="n">
        <v>45807</v>
      </c>
      <c r="D1918" t="inlineStr">
        <is>
          <t>VÄSTERBOTTENS LÄN</t>
        </is>
      </c>
      <c r="E1918" t="inlineStr">
        <is>
          <t>SKELLEFTEÅ</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14066-2023</t>
        </is>
      </c>
      <c r="B1919" s="1" t="n">
        <v>45008</v>
      </c>
      <c r="C1919" s="1" t="n">
        <v>45807</v>
      </c>
      <c r="D1919" t="inlineStr">
        <is>
          <t>VÄSTERBOTTENS LÄN</t>
        </is>
      </c>
      <c r="E1919" t="inlineStr">
        <is>
          <t>SKELLEFTEÅ</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14197-2023</t>
        </is>
      </c>
      <c r="B1920" s="1" t="n">
        <v>45009</v>
      </c>
      <c r="C1920" s="1" t="n">
        <v>45807</v>
      </c>
      <c r="D1920" t="inlineStr">
        <is>
          <t>VÄSTERBOTTENS LÄN</t>
        </is>
      </c>
      <c r="E1920" t="inlineStr">
        <is>
          <t>SKELLEFTEÅ</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14089-2023</t>
        </is>
      </c>
      <c r="B1921" s="1" t="n">
        <v>45009</v>
      </c>
      <c r="C1921" s="1" t="n">
        <v>45807</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14332-2023</t>
        </is>
      </c>
      <c r="B1922" s="1" t="n">
        <v>45009</v>
      </c>
      <c r="C1922" s="1" t="n">
        <v>45807</v>
      </c>
      <c r="D1922" t="inlineStr">
        <is>
          <t>VÄSTERBOTTENS LÄN</t>
        </is>
      </c>
      <c r="E1922" t="inlineStr">
        <is>
          <t>SKELLEFTEÅ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14341-2023</t>
        </is>
      </c>
      <c r="B1923" s="1" t="n">
        <v>45009</v>
      </c>
      <c r="C1923" s="1" t="n">
        <v>45807</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14351-2023</t>
        </is>
      </c>
      <c r="B1924" s="1" t="n">
        <v>45009</v>
      </c>
      <c r="C1924" s="1" t="n">
        <v>45807</v>
      </c>
      <c r="D1924" t="inlineStr">
        <is>
          <t>VÄSTERBOTTENS LÄN</t>
        </is>
      </c>
      <c r="E1924" t="inlineStr">
        <is>
          <t>SKELLEFTEÅ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14458-2023</t>
        </is>
      </c>
      <c r="B1925" s="1" t="n">
        <v>45012</v>
      </c>
      <c r="C1925" s="1" t="n">
        <v>45807</v>
      </c>
      <c r="D1925" t="inlineStr">
        <is>
          <t>VÄSTERBOTTENS LÄN</t>
        </is>
      </c>
      <c r="E1925" t="inlineStr">
        <is>
          <t>SKELLEFTEÅ</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14697-2023</t>
        </is>
      </c>
      <c r="B1926" s="1" t="n">
        <v>45012</v>
      </c>
      <c r="C1926" s="1" t="n">
        <v>45807</v>
      </c>
      <c r="D1926" t="inlineStr">
        <is>
          <t>VÄSTERBOTTENS LÄN</t>
        </is>
      </c>
      <c r="E1926" t="inlineStr">
        <is>
          <t>SKELLEFTEÅ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14705-2023</t>
        </is>
      </c>
      <c r="B1927" s="1" t="n">
        <v>45012</v>
      </c>
      <c r="C1927" s="1" t="n">
        <v>45807</v>
      </c>
      <c r="D1927" t="inlineStr">
        <is>
          <t>VÄSTERBOTTENS LÄN</t>
        </is>
      </c>
      <c r="E1927" t="inlineStr">
        <is>
          <t>SKELLEFTEÅ</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14902-2023</t>
        </is>
      </c>
      <c r="B1928" s="1" t="n">
        <v>45014</v>
      </c>
      <c r="C1928" s="1" t="n">
        <v>45807</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14992-2023</t>
        </is>
      </c>
      <c r="B1929" s="1" t="n">
        <v>45014</v>
      </c>
      <c r="C1929" s="1" t="n">
        <v>45807</v>
      </c>
      <c r="D1929" t="inlineStr">
        <is>
          <t>VÄSTERBOTTENS LÄN</t>
        </is>
      </c>
      <c r="E1929" t="inlineStr">
        <is>
          <t>SKELLEFTEÅ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14983-2023</t>
        </is>
      </c>
      <c r="B1930" s="1" t="n">
        <v>45014</v>
      </c>
      <c r="C1930" s="1" t="n">
        <v>45807</v>
      </c>
      <c r="D1930" t="inlineStr">
        <is>
          <t>VÄSTERBOTTENS LÄN</t>
        </is>
      </c>
      <c r="E1930" t="inlineStr">
        <is>
          <t>SKELLEFTEÅ</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14998-2023</t>
        </is>
      </c>
      <c r="B1931" s="1" t="n">
        <v>45015</v>
      </c>
      <c r="C1931" s="1" t="n">
        <v>45807</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15155-2023</t>
        </is>
      </c>
      <c r="B1932" s="1" t="n">
        <v>45016</v>
      </c>
      <c r="C1932" s="1" t="n">
        <v>45807</v>
      </c>
      <c r="D1932" t="inlineStr">
        <is>
          <t>VÄSTERBOTTENS LÄN</t>
        </is>
      </c>
      <c r="E1932" t="inlineStr">
        <is>
          <t>SKELLEFTEÅ</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15327-2023</t>
        </is>
      </c>
      <c r="B1933" s="1" t="n">
        <v>45016</v>
      </c>
      <c r="C1933" s="1" t="n">
        <v>45807</v>
      </c>
      <c r="D1933" t="inlineStr">
        <is>
          <t>VÄSTERBOTTENS LÄN</t>
        </is>
      </c>
      <c r="E1933" t="inlineStr">
        <is>
          <t>SKELLEFTEÅ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15332-2023</t>
        </is>
      </c>
      <c r="B1934" s="1" t="n">
        <v>45016</v>
      </c>
      <c r="C1934" s="1" t="n">
        <v>45807</v>
      </c>
      <c r="D1934" t="inlineStr">
        <is>
          <t>VÄSTERBOTTENS LÄN</t>
        </is>
      </c>
      <c r="E1934" t="inlineStr">
        <is>
          <t>SKELLEFTEÅ</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15405-2023</t>
        </is>
      </c>
      <c r="B1935" s="1" t="n">
        <v>45019</v>
      </c>
      <c r="C1935" s="1" t="n">
        <v>45807</v>
      </c>
      <c r="D1935" t="inlineStr">
        <is>
          <t>VÄSTERBOTTENS LÄN</t>
        </is>
      </c>
      <c r="E1935" t="inlineStr">
        <is>
          <t>SKELLEFTEÅ</t>
        </is>
      </c>
      <c r="F1935" t="inlineStr">
        <is>
          <t>Holmen skog AB</t>
        </is>
      </c>
      <c r="G1935" t="n">
        <v>11.3</v>
      </c>
      <c r="H1935" t="n">
        <v>0</v>
      </c>
      <c r="I1935" t="n">
        <v>0</v>
      </c>
      <c r="J1935" t="n">
        <v>0</v>
      </c>
      <c r="K1935" t="n">
        <v>0</v>
      </c>
      <c r="L1935" t="n">
        <v>0</v>
      </c>
      <c r="M1935" t="n">
        <v>0</v>
      </c>
      <c r="N1935" t="n">
        <v>0</v>
      </c>
      <c r="O1935" t="n">
        <v>0</v>
      </c>
      <c r="P1935" t="n">
        <v>0</v>
      </c>
      <c r="Q1935" t="n">
        <v>0</v>
      </c>
      <c r="R1935" s="2" t="inlineStr"/>
    </row>
    <row r="1936" ht="15" customHeight="1">
      <c r="A1936" t="inlineStr">
        <is>
          <t>A 15593-2023</t>
        </is>
      </c>
      <c r="B1936" s="1" t="n">
        <v>45019</v>
      </c>
      <c r="C1936" s="1" t="n">
        <v>45807</v>
      </c>
      <c r="D1936" t="inlineStr">
        <is>
          <t>VÄSTERBOTTENS LÄN</t>
        </is>
      </c>
      <c r="E1936" t="inlineStr">
        <is>
          <t>SKELLEFTEÅ</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15536-2023</t>
        </is>
      </c>
      <c r="B1937" s="1" t="n">
        <v>45020</v>
      </c>
      <c r="C1937" s="1" t="n">
        <v>45807</v>
      </c>
      <c r="D1937" t="inlineStr">
        <is>
          <t>VÄSTERBOTTENS LÄN</t>
        </is>
      </c>
      <c r="E1937" t="inlineStr">
        <is>
          <t>SKELLEFTEÅ</t>
        </is>
      </c>
      <c r="F1937" t="inlineStr">
        <is>
          <t>Sveaskog</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15479-2023</t>
        </is>
      </c>
      <c r="B1938" s="1" t="n">
        <v>45020</v>
      </c>
      <c r="C1938" s="1" t="n">
        <v>45807</v>
      </c>
      <c r="D1938" t="inlineStr">
        <is>
          <t>VÄSTERBOTTENS LÄN</t>
        </is>
      </c>
      <c r="E1938" t="inlineStr">
        <is>
          <t>SKELLEFTEÅ</t>
        </is>
      </c>
      <c r="F1938" t="inlineStr">
        <is>
          <t>Sveaskog</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15709-2023</t>
        </is>
      </c>
      <c r="B1939" s="1" t="n">
        <v>45020</v>
      </c>
      <c r="C1939" s="1" t="n">
        <v>45807</v>
      </c>
      <c r="D1939" t="inlineStr">
        <is>
          <t>VÄSTERBOTTENS LÄN</t>
        </is>
      </c>
      <c r="E1939" t="inlineStr">
        <is>
          <t>SKELLEFTEÅ</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15732-2023</t>
        </is>
      </c>
      <c r="B1940" s="1" t="n">
        <v>45020</v>
      </c>
      <c r="C1940" s="1" t="n">
        <v>45807</v>
      </c>
      <c r="D1940" t="inlineStr">
        <is>
          <t>VÄSTERBOTTENS LÄN</t>
        </is>
      </c>
      <c r="E1940" t="inlineStr">
        <is>
          <t>SKELLEFTEÅ</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15570-2023</t>
        </is>
      </c>
      <c r="B1941" s="1" t="n">
        <v>45020</v>
      </c>
      <c r="C1941" s="1" t="n">
        <v>45807</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15717-2023</t>
        </is>
      </c>
      <c r="B1942" s="1" t="n">
        <v>45020</v>
      </c>
      <c r="C1942" s="1" t="n">
        <v>45807</v>
      </c>
      <c r="D1942" t="inlineStr">
        <is>
          <t>VÄSTERBOTTENS LÄN</t>
        </is>
      </c>
      <c r="E1942" t="inlineStr">
        <is>
          <t>SKELLEFTEÅ</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15706-2023</t>
        </is>
      </c>
      <c r="B1943" s="1" t="n">
        <v>45020</v>
      </c>
      <c r="C1943" s="1" t="n">
        <v>45807</v>
      </c>
      <c r="D1943" t="inlineStr">
        <is>
          <t>VÄSTERBOTTENS LÄN</t>
        </is>
      </c>
      <c r="E1943" t="inlineStr">
        <is>
          <t>SKELLEFTEÅ</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15806-2023</t>
        </is>
      </c>
      <c r="B1944" s="1" t="n">
        <v>45021</v>
      </c>
      <c r="C1944" s="1" t="n">
        <v>45807</v>
      </c>
      <c r="D1944" t="inlineStr">
        <is>
          <t>VÄSTERBOTTENS LÄN</t>
        </is>
      </c>
      <c r="E1944" t="inlineStr">
        <is>
          <t>SKELLEFTEÅ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15825-2023</t>
        </is>
      </c>
      <c r="B1945" s="1" t="n">
        <v>45022</v>
      </c>
      <c r="C1945" s="1" t="n">
        <v>45807</v>
      </c>
      <c r="D1945" t="inlineStr">
        <is>
          <t>VÄSTERBOTTENS LÄN</t>
        </is>
      </c>
      <c r="E1945" t="inlineStr">
        <is>
          <t>SKELLEFTEÅ</t>
        </is>
      </c>
      <c r="F1945" t="inlineStr">
        <is>
          <t>SCA</t>
        </is>
      </c>
      <c r="G1945" t="n">
        <v>16.8</v>
      </c>
      <c r="H1945" t="n">
        <v>0</v>
      </c>
      <c r="I1945" t="n">
        <v>0</v>
      </c>
      <c r="J1945" t="n">
        <v>0</v>
      </c>
      <c r="K1945" t="n">
        <v>0</v>
      </c>
      <c r="L1945" t="n">
        <v>0</v>
      </c>
      <c r="M1945" t="n">
        <v>0</v>
      </c>
      <c r="N1945" t="n">
        <v>0</v>
      </c>
      <c r="O1945" t="n">
        <v>0</v>
      </c>
      <c r="P1945" t="n">
        <v>0</v>
      </c>
      <c r="Q1945" t="n">
        <v>0</v>
      </c>
      <c r="R1945" s="2" t="inlineStr"/>
    </row>
    <row r="1946" ht="15" customHeight="1">
      <c r="A1946" t="inlineStr">
        <is>
          <t>A 15899-2023</t>
        </is>
      </c>
      <c r="B1946" s="1" t="n">
        <v>45021</v>
      </c>
      <c r="C1946" s="1" t="n">
        <v>45807</v>
      </c>
      <c r="D1946" t="inlineStr">
        <is>
          <t>VÄSTERBOTTENS LÄN</t>
        </is>
      </c>
      <c r="E1946" t="inlineStr">
        <is>
          <t>SKELLEFTEÅ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15903-2023</t>
        </is>
      </c>
      <c r="B1947" s="1" t="n">
        <v>45021</v>
      </c>
      <c r="C1947" s="1" t="n">
        <v>45807</v>
      </c>
      <c r="D1947" t="inlineStr">
        <is>
          <t>VÄSTERBOTTENS LÄN</t>
        </is>
      </c>
      <c r="E1947" t="inlineStr">
        <is>
          <t>SKELLEFTEÅ</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15906-2023</t>
        </is>
      </c>
      <c r="B1948" s="1" t="n">
        <v>45021</v>
      </c>
      <c r="C1948" s="1" t="n">
        <v>45807</v>
      </c>
      <c r="D1948" t="inlineStr">
        <is>
          <t>VÄSTERBOTTENS LÄN</t>
        </is>
      </c>
      <c r="E1948" t="inlineStr">
        <is>
          <t>SKELLEFTEÅ</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16027-2023</t>
        </is>
      </c>
      <c r="B1949" s="1" t="n">
        <v>45027</v>
      </c>
      <c r="C1949" s="1" t="n">
        <v>45807</v>
      </c>
      <c r="D1949" t="inlineStr">
        <is>
          <t>VÄSTERBOTTENS LÄN</t>
        </is>
      </c>
      <c r="E1949" t="inlineStr">
        <is>
          <t>SKELLEFTEÅ</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16183-2023</t>
        </is>
      </c>
      <c r="B1950" s="1" t="n">
        <v>45027</v>
      </c>
      <c r="C1950" s="1" t="n">
        <v>45807</v>
      </c>
      <c r="D1950" t="inlineStr">
        <is>
          <t>VÄSTERBOTTENS LÄN</t>
        </is>
      </c>
      <c r="E1950" t="inlineStr">
        <is>
          <t>SKELLEFTEÅ</t>
        </is>
      </c>
      <c r="G1950" t="n">
        <v>24.7</v>
      </c>
      <c r="H1950" t="n">
        <v>0</v>
      </c>
      <c r="I1950" t="n">
        <v>0</v>
      </c>
      <c r="J1950" t="n">
        <v>0</v>
      </c>
      <c r="K1950" t="n">
        <v>0</v>
      </c>
      <c r="L1950" t="n">
        <v>0</v>
      </c>
      <c r="M1950" t="n">
        <v>0</v>
      </c>
      <c r="N1950" t="n">
        <v>0</v>
      </c>
      <c r="O1950" t="n">
        <v>0</v>
      </c>
      <c r="P1950" t="n">
        <v>0</v>
      </c>
      <c r="Q1950" t="n">
        <v>0</v>
      </c>
      <c r="R1950" s="2" t="inlineStr"/>
    </row>
    <row r="1951" ht="15" customHeight="1">
      <c r="A1951" t="inlineStr">
        <is>
          <t>A 16186-2023</t>
        </is>
      </c>
      <c r="B1951" s="1" t="n">
        <v>45028</v>
      </c>
      <c r="C1951" s="1" t="n">
        <v>45807</v>
      </c>
      <c r="D1951" t="inlineStr">
        <is>
          <t>VÄSTERBOTTENS LÄN</t>
        </is>
      </c>
      <c r="E1951" t="inlineStr">
        <is>
          <t>SKELLEFTEÅ</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16239-2023</t>
        </is>
      </c>
      <c r="B1952" s="1" t="n">
        <v>45028</v>
      </c>
      <c r="C1952" s="1" t="n">
        <v>45807</v>
      </c>
      <c r="D1952" t="inlineStr">
        <is>
          <t>VÄSTERBOTTENS LÄN</t>
        </is>
      </c>
      <c r="E1952" t="inlineStr">
        <is>
          <t>SKELLEFTEÅ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16237-2023</t>
        </is>
      </c>
      <c r="B1953" s="1" t="n">
        <v>45028</v>
      </c>
      <c r="C1953" s="1" t="n">
        <v>45807</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16494-2023</t>
        </is>
      </c>
      <c r="B1954" s="1" t="n">
        <v>45029</v>
      </c>
      <c r="C1954" s="1" t="n">
        <v>45807</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16753-2023</t>
        </is>
      </c>
      <c r="B1955" s="1" t="n">
        <v>45031</v>
      </c>
      <c r="C1955" s="1" t="n">
        <v>45807</v>
      </c>
      <c r="D1955" t="inlineStr">
        <is>
          <t>VÄSTERBOTTENS LÄN</t>
        </is>
      </c>
      <c r="E1955" t="inlineStr">
        <is>
          <t>SKELLEFTEÅ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17026-2023</t>
        </is>
      </c>
      <c r="B1956" s="1" t="n">
        <v>45030</v>
      </c>
      <c r="C1956" s="1" t="n">
        <v>45807</v>
      </c>
      <c r="D1956" t="inlineStr">
        <is>
          <t>VÄSTERBOTTENS LÄN</t>
        </is>
      </c>
      <c r="E1956" t="inlineStr">
        <is>
          <t>SKELLEFTEÅ</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17086-2023</t>
        </is>
      </c>
      <c r="B1957" s="1" t="n">
        <v>45030</v>
      </c>
      <c r="C1957" s="1" t="n">
        <v>45807</v>
      </c>
      <c r="D1957" t="inlineStr">
        <is>
          <t>VÄSTERBOTTENS LÄN</t>
        </is>
      </c>
      <c r="E1957" t="inlineStr">
        <is>
          <t>SKELLEFTEÅ</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17071-2023</t>
        </is>
      </c>
      <c r="B1958" s="1" t="n">
        <v>45030</v>
      </c>
      <c r="C1958" s="1" t="n">
        <v>45807</v>
      </c>
      <c r="D1958" t="inlineStr">
        <is>
          <t>VÄSTERBOTTENS LÄN</t>
        </is>
      </c>
      <c r="E1958" t="inlineStr">
        <is>
          <t>SKELLEFTEÅ</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16858-2023</t>
        </is>
      </c>
      <c r="B1959" s="1" t="n">
        <v>45033</v>
      </c>
      <c r="C1959" s="1" t="n">
        <v>45807</v>
      </c>
      <c r="D1959" t="inlineStr">
        <is>
          <t>VÄSTERBOTTENS LÄN</t>
        </is>
      </c>
      <c r="E1959" t="inlineStr">
        <is>
          <t>SKELLEFTEÅ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16998-2023</t>
        </is>
      </c>
      <c r="B1960" s="1" t="n">
        <v>45033</v>
      </c>
      <c r="C1960" s="1" t="n">
        <v>45807</v>
      </c>
      <c r="D1960" t="inlineStr">
        <is>
          <t>VÄSTERBOTTENS LÄN</t>
        </is>
      </c>
      <c r="E1960" t="inlineStr">
        <is>
          <t>SKELLEFTEÅ</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17208-2023</t>
        </is>
      </c>
      <c r="B1961" s="1" t="n">
        <v>45035</v>
      </c>
      <c r="C1961" s="1" t="n">
        <v>45807</v>
      </c>
      <c r="D1961" t="inlineStr">
        <is>
          <t>VÄSTERBOTTENS LÄN</t>
        </is>
      </c>
      <c r="E1961" t="inlineStr">
        <is>
          <t>SKELLEFTEÅ</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17205-2023</t>
        </is>
      </c>
      <c r="B1962" s="1" t="n">
        <v>45035</v>
      </c>
      <c r="C1962" s="1" t="n">
        <v>45807</v>
      </c>
      <c r="D1962" t="inlineStr">
        <is>
          <t>VÄSTERBOTTENS LÄN</t>
        </is>
      </c>
      <c r="E1962" t="inlineStr">
        <is>
          <t>SKELLEFTEÅ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17365-2023</t>
        </is>
      </c>
      <c r="B1963" s="1" t="n">
        <v>45034</v>
      </c>
      <c r="C1963" s="1" t="n">
        <v>45807</v>
      </c>
      <c r="D1963" t="inlineStr">
        <is>
          <t>VÄSTERBOTTENS LÄN</t>
        </is>
      </c>
      <c r="E1963" t="inlineStr">
        <is>
          <t>SKELLEFTEÅ</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17482-2023</t>
        </is>
      </c>
      <c r="B1964" s="1" t="n">
        <v>45034</v>
      </c>
      <c r="C1964" s="1" t="n">
        <v>45807</v>
      </c>
      <c r="D1964" t="inlineStr">
        <is>
          <t>VÄSTERBOTTENS LÄN</t>
        </is>
      </c>
      <c r="E1964" t="inlineStr">
        <is>
          <t>SKELLEFTEÅ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17478-2023</t>
        </is>
      </c>
      <c r="B1965" s="1" t="n">
        <v>45034</v>
      </c>
      <c r="C1965" s="1" t="n">
        <v>45807</v>
      </c>
      <c r="D1965" t="inlineStr">
        <is>
          <t>VÄSTERBOTTENS LÄN</t>
        </is>
      </c>
      <c r="E1965" t="inlineStr">
        <is>
          <t>SKELLEFTEÅ</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17487-2023</t>
        </is>
      </c>
      <c r="B1966" s="1" t="n">
        <v>45034</v>
      </c>
      <c r="C1966" s="1" t="n">
        <v>45807</v>
      </c>
      <c r="D1966" t="inlineStr">
        <is>
          <t>VÄSTERBOTTENS LÄN</t>
        </is>
      </c>
      <c r="E1966" t="inlineStr">
        <is>
          <t>SKELLEFTEÅ</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17483-2023</t>
        </is>
      </c>
      <c r="B1967" s="1" t="n">
        <v>45034</v>
      </c>
      <c r="C1967" s="1" t="n">
        <v>45807</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17485-2023</t>
        </is>
      </c>
      <c r="B1968" s="1" t="n">
        <v>45034</v>
      </c>
      <c r="C1968" s="1" t="n">
        <v>45807</v>
      </c>
      <c r="D1968" t="inlineStr">
        <is>
          <t>VÄSTERBOTTENS LÄN</t>
        </is>
      </c>
      <c r="E1968" t="inlineStr">
        <is>
          <t>SKELLEFTEÅ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17444-2023</t>
        </is>
      </c>
      <c r="B1969" s="1" t="n">
        <v>45036</v>
      </c>
      <c r="C1969" s="1" t="n">
        <v>45807</v>
      </c>
      <c r="D1969" t="inlineStr">
        <is>
          <t>VÄSTERBOTTENS LÄN</t>
        </is>
      </c>
      <c r="E1969" t="inlineStr">
        <is>
          <t>SKELLEFTEÅ</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17446-2023</t>
        </is>
      </c>
      <c r="B1970" s="1" t="n">
        <v>45036</v>
      </c>
      <c r="C1970" s="1" t="n">
        <v>45807</v>
      </c>
      <c r="D1970" t="inlineStr">
        <is>
          <t>VÄSTERBOTTENS LÄN</t>
        </is>
      </c>
      <c r="E1970" t="inlineStr">
        <is>
          <t>SKELLEFTEÅ</t>
        </is>
      </c>
      <c r="F1970" t="inlineStr">
        <is>
          <t>SCA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17659-2023</t>
        </is>
      </c>
      <c r="B1971" s="1" t="n">
        <v>45037</v>
      </c>
      <c r="C1971" s="1" t="n">
        <v>45807</v>
      </c>
      <c r="D1971" t="inlineStr">
        <is>
          <t>VÄSTERBOTTENS LÄN</t>
        </is>
      </c>
      <c r="E1971" t="inlineStr">
        <is>
          <t>SKELLEFTEÅ</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17755-2023</t>
        </is>
      </c>
      <c r="B1972" s="1" t="n">
        <v>45036</v>
      </c>
      <c r="C1972" s="1" t="n">
        <v>45807</v>
      </c>
      <c r="D1972" t="inlineStr">
        <is>
          <t>VÄSTERBOTTENS LÄN</t>
        </is>
      </c>
      <c r="E1972" t="inlineStr">
        <is>
          <t>SKELLEFTEÅ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17842-2023</t>
        </is>
      </c>
      <c r="B1973" s="1" t="n">
        <v>45037</v>
      </c>
      <c r="C1973" s="1" t="n">
        <v>45807</v>
      </c>
      <c r="D1973" t="inlineStr">
        <is>
          <t>VÄSTERBOTTENS LÄN</t>
        </is>
      </c>
      <c r="E1973" t="inlineStr">
        <is>
          <t>SKELLEFTEÅ</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18035-2023</t>
        </is>
      </c>
      <c r="B1974" s="1" t="n">
        <v>45037</v>
      </c>
      <c r="C1974" s="1" t="n">
        <v>45807</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18016-2023</t>
        </is>
      </c>
      <c r="B1975" s="1" t="n">
        <v>45040</v>
      </c>
      <c r="C1975" s="1" t="n">
        <v>45807</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18357-2023</t>
        </is>
      </c>
      <c r="B1976" s="1" t="n">
        <v>45041</v>
      </c>
      <c r="C1976" s="1" t="n">
        <v>45807</v>
      </c>
      <c r="D1976" t="inlineStr">
        <is>
          <t>VÄSTERBOTTENS LÄN</t>
        </is>
      </c>
      <c r="E1976" t="inlineStr">
        <is>
          <t>SKELLEFTEÅ</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18455-2023</t>
        </is>
      </c>
      <c r="B1977" s="1" t="n">
        <v>45041</v>
      </c>
      <c r="C1977" s="1" t="n">
        <v>45807</v>
      </c>
      <c r="D1977" t="inlineStr">
        <is>
          <t>VÄSTERBOTTENS LÄN</t>
        </is>
      </c>
      <c r="E1977" t="inlineStr">
        <is>
          <t>SKELLEFTEÅ</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18607-2023</t>
        </is>
      </c>
      <c r="B1978" s="1" t="n">
        <v>45041</v>
      </c>
      <c r="C1978" s="1" t="n">
        <v>45807</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18479-2023</t>
        </is>
      </c>
      <c r="B1979" s="1" t="n">
        <v>45042</v>
      </c>
      <c r="C1979" s="1" t="n">
        <v>45807</v>
      </c>
      <c r="D1979" t="inlineStr">
        <is>
          <t>VÄSTERBOTTENS LÄN</t>
        </is>
      </c>
      <c r="E1979" t="inlineStr">
        <is>
          <t>SKELLEFTEÅ</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18501-2023</t>
        </is>
      </c>
      <c r="B1980" s="1" t="n">
        <v>45042</v>
      </c>
      <c r="C1980" s="1" t="n">
        <v>45807</v>
      </c>
      <c r="D1980" t="inlineStr">
        <is>
          <t>VÄSTERBOTTENS LÄN</t>
        </is>
      </c>
      <c r="E1980" t="inlineStr">
        <is>
          <t>SKELLEFTEÅ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18478-2023</t>
        </is>
      </c>
      <c r="B1981" s="1" t="n">
        <v>45042</v>
      </c>
      <c r="C1981" s="1" t="n">
        <v>45807</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18701-2023</t>
        </is>
      </c>
      <c r="B1982" s="1" t="n">
        <v>45042</v>
      </c>
      <c r="C1982" s="1" t="n">
        <v>45807</v>
      </c>
      <c r="D1982" t="inlineStr">
        <is>
          <t>VÄSTERBOTTENS LÄN</t>
        </is>
      </c>
      <c r="E1982" t="inlineStr">
        <is>
          <t>SKELLEFTEÅ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18709-2023</t>
        </is>
      </c>
      <c r="B1983" s="1" t="n">
        <v>45043</v>
      </c>
      <c r="C1983" s="1" t="n">
        <v>45807</v>
      </c>
      <c r="D1983" t="inlineStr">
        <is>
          <t>VÄSTERBOTTENS LÄN</t>
        </is>
      </c>
      <c r="E1983" t="inlineStr">
        <is>
          <t>SKELLEFTEÅ</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19066-2023</t>
        </is>
      </c>
      <c r="B1984" s="1" t="n">
        <v>45043</v>
      </c>
      <c r="C1984" s="1" t="n">
        <v>45807</v>
      </c>
      <c r="D1984" t="inlineStr">
        <is>
          <t>VÄSTERBOTTENS LÄN</t>
        </is>
      </c>
      <c r="E1984" t="inlineStr">
        <is>
          <t>SKELLEFTEÅ</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18975-2023</t>
        </is>
      </c>
      <c r="B1985" s="1" t="n">
        <v>45044</v>
      </c>
      <c r="C1985" s="1" t="n">
        <v>45807</v>
      </c>
      <c r="D1985" t="inlineStr">
        <is>
          <t>VÄSTERBOTTENS LÄN</t>
        </is>
      </c>
      <c r="E1985" t="inlineStr">
        <is>
          <t>SKELLEFTEÅ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18819-2023</t>
        </is>
      </c>
      <c r="B1986" s="1" t="n">
        <v>45044</v>
      </c>
      <c r="C1986" s="1" t="n">
        <v>45807</v>
      </c>
      <c r="D1986" t="inlineStr">
        <is>
          <t>VÄSTERBOTTENS LÄN</t>
        </is>
      </c>
      <c r="E1986" t="inlineStr">
        <is>
          <t>SKELLEFTEÅ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19073-2023</t>
        </is>
      </c>
      <c r="B1987" s="1" t="n">
        <v>45048</v>
      </c>
      <c r="C1987" s="1" t="n">
        <v>45807</v>
      </c>
      <c r="D1987" t="inlineStr">
        <is>
          <t>VÄSTERBOTTENS LÄN</t>
        </is>
      </c>
      <c r="E1987" t="inlineStr">
        <is>
          <t>SKELLEFTEÅ</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19349-2023</t>
        </is>
      </c>
      <c r="B1988" s="1" t="n">
        <v>45049</v>
      </c>
      <c r="C1988" s="1" t="n">
        <v>45807</v>
      </c>
      <c r="D1988" t="inlineStr">
        <is>
          <t>VÄSTERBOTTENS LÄN</t>
        </is>
      </c>
      <c r="E1988" t="inlineStr">
        <is>
          <t>SKELLEFTEÅ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19424-2023</t>
        </is>
      </c>
      <c r="B1989" s="1" t="n">
        <v>45050</v>
      </c>
      <c r="C1989" s="1" t="n">
        <v>45807</v>
      </c>
      <c r="D1989" t="inlineStr">
        <is>
          <t>VÄSTERBOTTENS LÄN</t>
        </is>
      </c>
      <c r="E1989" t="inlineStr">
        <is>
          <t>SKELLEFTEÅ</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19422-2023</t>
        </is>
      </c>
      <c r="B1990" s="1" t="n">
        <v>45049</v>
      </c>
      <c r="C1990" s="1" t="n">
        <v>45807</v>
      </c>
      <c r="D1990" t="inlineStr">
        <is>
          <t>VÄSTERBOTTENS LÄN</t>
        </is>
      </c>
      <c r="E1990" t="inlineStr">
        <is>
          <t>SKELLEFTEÅ</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19428-2023</t>
        </is>
      </c>
      <c r="B1991" s="1" t="n">
        <v>45050</v>
      </c>
      <c r="C1991" s="1" t="n">
        <v>45807</v>
      </c>
      <c r="D1991" t="inlineStr">
        <is>
          <t>VÄSTERBOTTENS LÄN</t>
        </is>
      </c>
      <c r="E1991" t="inlineStr">
        <is>
          <t>SKELLEFTEÅ</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19491-2023</t>
        </is>
      </c>
      <c r="B1992" s="1" t="n">
        <v>45049</v>
      </c>
      <c r="C1992" s="1" t="n">
        <v>45807</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19498-2023</t>
        </is>
      </c>
      <c r="B1993" s="1" t="n">
        <v>45049</v>
      </c>
      <c r="C1993" s="1" t="n">
        <v>45807</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20080-2023</t>
        </is>
      </c>
      <c r="B1994" s="1" t="n">
        <v>45055</v>
      </c>
      <c r="C1994" s="1" t="n">
        <v>45807</v>
      </c>
      <c r="D1994" t="inlineStr">
        <is>
          <t>VÄSTERBOTTENS LÄN</t>
        </is>
      </c>
      <c r="E1994" t="inlineStr">
        <is>
          <t>SKELLEFTEÅ</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20301-2023</t>
        </is>
      </c>
      <c r="B1995" s="1" t="n">
        <v>45056</v>
      </c>
      <c r="C1995" s="1" t="n">
        <v>45807</v>
      </c>
      <c r="D1995" t="inlineStr">
        <is>
          <t>VÄSTERBOTTENS LÄN</t>
        </is>
      </c>
      <c r="E1995" t="inlineStr">
        <is>
          <t>SKELLEFTEÅ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20290-2023</t>
        </is>
      </c>
      <c r="B1996" s="1" t="n">
        <v>45056</v>
      </c>
      <c r="C1996" s="1" t="n">
        <v>45807</v>
      </c>
      <c r="D1996" t="inlineStr">
        <is>
          <t>VÄSTERBOTTENS LÄN</t>
        </is>
      </c>
      <c r="E1996" t="inlineStr">
        <is>
          <t>SKELLEFTEÅ</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20499-2023</t>
        </is>
      </c>
      <c r="B1997" s="1" t="n">
        <v>45057</v>
      </c>
      <c r="C1997" s="1" t="n">
        <v>45807</v>
      </c>
      <c r="D1997" t="inlineStr">
        <is>
          <t>VÄSTERBOTTENS LÄN</t>
        </is>
      </c>
      <c r="E1997" t="inlineStr">
        <is>
          <t>SKELLEFTEÅ</t>
        </is>
      </c>
      <c r="F1997" t="inlineStr">
        <is>
          <t>Sveaskog</t>
        </is>
      </c>
      <c r="G1997" t="n">
        <v>12.9</v>
      </c>
      <c r="H1997" t="n">
        <v>0</v>
      </c>
      <c r="I1997" t="n">
        <v>0</v>
      </c>
      <c r="J1997" t="n">
        <v>0</v>
      </c>
      <c r="K1997" t="n">
        <v>0</v>
      </c>
      <c r="L1997" t="n">
        <v>0</v>
      </c>
      <c r="M1997" t="n">
        <v>0</v>
      </c>
      <c r="N1997" t="n">
        <v>0</v>
      </c>
      <c r="O1997" t="n">
        <v>0</v>
      </c>
      <c r="P1997" t="n">
        <v>0</v>
      </c>
      <c r="Q1997" t="n">
        <v>0</v>
      </c>
      <c r="R1997" s="2" t="inlineStr"/>
    </row>
    <row r="1998" ht="15" customHeight="1">
      <c r="A1998" t="inlineStr">
        <is>
          <t>A 21238-2023</t>
        </is>
      </c>
      <c r="B1998" s="1" t="n">
        <v>45058</v>
      </c>
      <c r="C1998" s="1" t="n">
        <v>45807</v>
      </c>
      <c r="D1998" t="inlineStr">
        <is>
          <t>VÄSTERBOTTENS LÄN</t>
        </is>
      </c>
      <c r="E1998" t="inlineStr">
        <is>
          <t>SKELLEFTEÅ</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21336-2023</t>
        </is>
      </c>
      <c r="B1999" s="1" t="n">
        <v>45062</v>
      </c>
      <c r="C1999" s="1" t="n">
        <v>45807</v>
      </c>
      <c r="D1999" t="inlineStr">
        <is>
          <t>VÄSTERBOTTENS LÄN</t>
        </is>
      </c>
      <c r="E1999" t="inlineStr">
        <is>
          <t>SKELLEFTEÅ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21565-2023</t>
        </is>
      </c>
      <c r="B2000" s="1" t="n">
        <v>45062</v>
      </c>
      <c r="C2000" s="1" t="n">
        <v>45807</v>
      </c>
      <c r="D2000" t="inlineStr">
        <is>
          <t>VÄSTERBOTTENS LÄN</t>
        </is>
      </c>
      <c r="E2000" t="inlineStr">
        <is>
          <t>SKELLEFTEÅ</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21463-2023</t>
        </is>
      </c>
      <c r="B2001" s="1" t="n">
        <v>45063</v>
      </c>
      <c r="C2001" s="1" t="n">
        <v>45807</v>
      </c>
      <c r="D2001" t="inlineStr">
        <is>
          <t>VÄSTERBOTTENS LÄN</t>
        </is>
      </c>
      <c r="E2001" t="inlineStr">
        <is>
          <t>SKELLEFTEÅ</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22341-2023</t>
        </is>
      </c>
      <c r="B2002" s="1" t="n">
        <v>45068</v>
      </c>
      <c r="C2002" s="1" t="n">
        <v>45807</v>
      </c>
      <c r="D2002" t="inlineStr">
        <is>
          <t>VÄSTERBOTTENS LÄN</t>
        </is>
      </c>
      <c r="E2002" t="inlineStr">
        <is>
          <t>SKELLEFTEÅ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22351-2023</t>
        </is>
      </c>
      <c r="B2003" s="1" t="n">
        <v>45068</v>
      </c>
      <c r="C2003" s="1" t="n">
        <v>45807</v>
      </c>
      <c r="D2003" t="inlineStr">
        <is>
          <t>VÄSTERBOTTENS LÄN</t>
        </is>
      </c>
      <c r="E2003" t="inlineStr">
        <is>
          <t>SKELLEFTEÅ</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22334-2023</t>
        </is>
      </c>
      <c r="B2004" s="1" t="n">
        <v>45068</v>
      </c>
      <c r="C2004" s="1" t="n">
        <v>45807</v>
      </c>
      <c r="D2004" t="inlineStr">
        <is>
          <t>VÄSTERBOTTENS LÄN</t>
        </is>
      </c>
      <c r="E2004" t="inlineStr">
        <is>
          <t>SKELLEFTEÅ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22062-2023</t>
        </is>
      </c>
      <c r="B2005" s="1" t="n">
        <v>45069</v>
      </c>
      <c r="C2005" s="1" t="n">
        <v>45807</v>
      </c>
      <c r="D2005" t="inlineStr">
        <is>
          <t>VÄSTERBOTTENS LÄN</t>
        </is>
      </c>
      <c r="E2005" t="inlineStr">
        <is>
          <t>SKELLEFTEÅ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22121-2023</t>
        </is>
      </c>
      <c r="B2006" s="1" t="n">
        <v>45069</v>
      </c>
      <c r="C2006" s="1" t="n">
        <v>45807</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22060-2023</t>
        </is>
      </c>
      <c r="B2007" s="1" t="n">
        <v>45069</v>
      </c>
      <c r="C2007" s="1" t="n">
        <v>45807</v>
      </c>
      <c r="D2007" t="inlineStr">
        <is>
          <t>VÄSTERBOTTENS LÄN</t>
        </is>
      </c>
      <c r="E2007" t="inlineStr">
        <is>
          <t>SKELLEFTEÅ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22064-2023</t>
        </is>
      </c>
      <c r="B2008" s="1" t="n">
        <v>45069</v>
      </c>
      <c r="C2008" s="1" t="n">
        <v>45807</v>
      </c>
      <c r="D2008" t="inlineStr">
        <is>
          <t>VÄSTERBOTTENS LÄN</t>
        </is>
      </c>
      <c r="E2008" t="inlineStr">
        <is>
          <t>SKELLEFTEÅ</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22025-2023</t>
        </is>
      </c>
      <c r="B2009" s="1" t="n">
        <v>45069</v>
      </c>
      <c r="C2009" s="1" t="n">
        <v>45807</v>
      </c>
      <c r="D2009" t="inlineStr">
        <is>
          <t>VÄSTERBOTTENS LÄN</t>
        </is>
      </c>
      <c r="E2009" t="inlineStr">
        <is>
          <t>SKELLEFTEÅ</t>
        </is>
      </c>
      <c r="F2009" t="inlineStr">
        <is>
          <t>Kommuner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22045-2023</t>
        </is>
      </c>
      <c r="B2010" s="1" t="n">
        <v>45069</v>
      </c>
      <c r="C2010" s="1" t="n">
        <v>45807</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22516-2023</t>
        </is>
      </c>
      <c r="B2011" s="1" t="n">
        <v>45069</v>
      </c>
      <c r="C2011" s="1" t="n">
        <v>45807</v>
      </c>
      <c r="D2011" t="inlineStr">
        <is>
          <t>VÄSTERBOTTENS LÄN</t>
        </is>
      </c>
      <c r="E2011" t="inlineStr">
        <is>
          <t>SKELLEFTEÅ</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22548-2023</t>
        </is>
      </c>
      <c r="B2012" s="1" t="n">
        <v>45069</v>
      </c>
      <c r="C2012" s="1" t="n">
        <v>45807</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22020-2023</t>
        </is>
      </c>
      <c r="B2013" s="1" t="n">
        <v>45069</v>
      </c>
      <c r="C2013" s="1" t="n">
        <v>45807</v>
      </c>
      <c r="D2013" t="inlineStr">
        <is>
          <t>VÄSTERBOTTENS LÄN</t>
        </is>
      </c>
      <c r="E2013" t="inlineStr">
        <is>
          <t>SKELLEFTEÅ</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22344-2023</t>
        </is>
      </c>
      <c r="B2014" s="1" t="n">
        <v>45070</v>
      </c>
      <c r="C2014" s="1" t="n">
        <v>45807</v>
      </c>
      <c r="D2014" t="inlineStr">
        <is>
          <t>VÄSTERBOTTENS LÄN</t>
        </is>
      </c>
      <c r="E2014" t="inlineStr">
        <is>
          <t>SKELLEFTEÅ</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22461-2023</t>
        </is>
      </c>
      <c r="B2015" s="1" t="n">
        <v>45071</v>
      </c>
      <c r="C2015" s="1" t="n">
        <v>45807</v>
      </c>
      <c r="D2015" t="inlineStr">
        <is>
          <t>VÄSTERBOTTENS LÄN</t>
        </is>
      </c>
      <c r="E2015" t="inlineStr">
        <is>
          <t>SKELLEFTEÅ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22579-2023</t>
        </is>
      </c>
      <c r="B2016" s="1" t="n">
        <v>45071</v>
      </c>
      <c r="C2016" s="1" t="n">
        <v>45807</v>
      </c>
      <c r="D2016" t="inlineStr">
        <is>
          <t>VÄSTERBOTTENS LÄN</t>
        </is>
      </c>
      <c r="E2016" t="inlineStr">
        <is>
          <t>SKELLEFTEÅ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22735-2023</t>
        </is>
      </c>
      <c r="B2017" s="1" t="n">
        <v>45071</v>
      </c>
      <c r="C2017" s="1" t="n">
        <v>45807</v>
      </c>
      <c r="D2017" t="inlineStr">
        <is>
          <t>VÄSTERBOTTENS LÄN</t>
        </is>
      </c>
      <c r="E2017" t="inlineStr">
        <is>
          <t>SKELLEFTEÅ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23704-2023</t>
        </is>
      </c>
      <c r="B2018" s="1" t="n">
        <v>45075</v>
      </c>
      <c r="C2018" s="1" t="n">
        <v>45807</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23710-2023</t>
        </is>
      </c>
      <c r="B2019" s="1" t="n">
        <v>45075</v>
      </c>
      <c r="C2019" s="1" t="n">
        <v>45807</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23709-2023</t>
        </is>
      </c>
      <c r="B2020" s="1" t="n">
        <v>45075</v>
      </c>
      <c r="C2020" s="1" t="n">
        <v>45807</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23458-2023</t>
        </is>
      </c>
      <c r="B2021" s="1" t="n">
        <v>45076</v>
      </c>
      <c r="C2021" s="1" t="n">
        <v>45807</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23420-2023</t>
        </is>
      </c>
      <c r="B2022" s="1" t="n">
        <v>45076</v>
      </c>
      <c r="C2022" s="1" t="n">
        <v>45807</v>
      </c>
      <c r="D2022" t="inlineStr">
        <is>
          <t>VÄSTERBOTTENS LÄN</t>
        </is>
      </c>
      <c r="E2022" t="inlineStr">
        <is>
          <t>SKELLEFTEÅ</t>
        </is>
      </c>
      <c r="F2022" t="inlineStr">
        <is>
          <t>Holmen skog AB</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23430-2023</t>
        </is>
      </c>
      <c r="B2023" s="1" t="n">
        <v>45076</v>
      </c>
      <c r="C2023" s="1" t="n">
        <v>45807</v>
      </c>
      <c r="D2023" t="inlineStr">
        <is>
          <t>VÄSTERBOTTENS LÄN</t>
        </is>
      </c>
      <c r="E2023" t="inlineStr">
        <is>
          <t>SKELLEFTEÅ</t>
        </is>
      </c>
      <c r="F2023" t="inlineStr">
        <is>
          <t>Holmen skog AB</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24430-2023</t>
        </is>
      </c>
      <c r="B2024" s="1" t="n">
        <v>45076</v>
      </c>
      <c r="C2024" s="1" t="n">
        <v>45807</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23714-2023</t>
        </is>
      </c>
      <c r="B2025" s="1" t="n">
        <v>45077</v>
      </c>
      <c r="C2025" s="1" t="n">
        <v>45807</v>
      </c>
      <c r="D2025" t="inlineStr">
        <is>
          <t>VÄSTERBOTTENS LÄN</t>
        </is>
      </c>
      <c r="E2025" t="inlineStr">
        <is>
          <t>SKELLEFTEÅ</t>
        </is>
      </c>
      <c r="F2025" t="inlineStr">
        <is>
          <t>Holmen skog AB</t>
        </is>
      </c>
      <c r="G2025" t="n">
        <v>15.5</v>
      </c>
      <c r="H2025" t="n">
        <v>0</v>
      </c>
      <c r="I2025" t="n">
        <v>0</v>
      </c>
      <c r="J2025" t="n">
        <v>0</v>
      </c>
      <c r="K2025" t="n">
        <v>0</v>
      </c>
      <c r="L2025" t="n">
        <v>0</v>
      </c>
      <c r="M2025" t="n">
        <v>0</v>
      </c>
      <c r="N2025" t="n">
        <v>0</v>
      </c>
      <c r="O2025" t="n">
        <v>0</v>
      </c>
      <c r="P2025" t="n">
        <v>0</v>
      </c>
      <c r="Q2025" t="n">
        <v>0</v>
      </c>
      <c r="R2025" s="2" t="inlineStr"/>
    </row>
    <row r="2026" ht="15" customHeight="1">
      <c r="A2026" t="inlineStr">
        <is>
          <t>A 23757-2023</t>
        </is>
      </c>
      <c r="B2026" s="1" t="n">
        <v>45077</v>
      </c>
      <c r="C2026" s="1" t="n">
        <v>45807</v>
      </c>
      <c r="D2026" t="inlineStr">
        <is>
          <t>VÄSTERBOTTENS LÄN</t>
        </is>
      </c>
      <c r="E2026" t="inlineStr">
        <is>
          <t>SKELLEFTEÅ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23761-2023</t>
        </is>
      </c>
      <c r="B2027" s="1" t="n">
        <v>45077</v>
      </c>
      <c r="C2027" s="1" t="n">
        <v>45807</v>
      </c>
      <c r="D2027" t="inlineStr">
        <is>
          <t>VÄSTERBOTTENS LÄN</t>
        </is>
      </c>
      <c r="E2027" t="inlineStr">
        <is>
          <t>SKELLEFTEÅ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23760-2023</t>
        </is>
      </c>
      <c r="B2028" s="1" t="n">
        <v>45077</v>
      </c>
      <c r="C2028" s="1" t="n">
        <v>45807</v>
      </c>
      <c r="D2028" t="inlineStr">
        <is>
          <t>VÄSTERBOTTENS LÄN</t>
        </is>
      </c>
      <c r="E2028" t="inlineStr">
        <is>
          <t>SKELLEFTEÅ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23750-2023</t>
        </is>
      </c>
      <c r="B2029" s="1" t="n">
        <v>45077</v>
      </c>
      <c r="C2029" s="1" t="n">
        <v>45807</v>
      </c>
      <c r="D2029" t="inlineStr">
        <is>
          <t>VÄSTERBOTTENS LÄN</t>
        </is>
      </c>
      <c r="E2029" t="inlineStr">
        <is>
          <t>SKELLEFTEÅ</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23759-2023</t>
        </is>
      </c>
      <c r="B2030" s="1" t="n">
        <v>45077</v>
      </c>
      <c r="C2030" s="1" t="n">
        <v>45807</v>
      </c>
      <c r="D2030" t="inlineStr">
        <is>
          <t>VÄSTERBOTTENS LÄN</t>
        </is>
      </c>
      <c r="E2030" t="inlineStr">
        <is>
          <t>SKELLEFTEÅ</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25256-2023</t>
        </is>
      </c>
      <c r="B2031" s="1" t="n">
        <v>45079</v>
      </c>
      <c r="C2031" s="1" t="n">
        <v>45807</v>
      </c>
      <c r="D2031" t="inlineStr">
        <is>
          <t>VÄSTERBOTTENS LÄN</t>
        </is>
      </c>
      <c r="E2031" t="inlineStr">
        <is>
          <t>SKELLEFTEÅ</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25237-2023</t>
        </is>
      </c>
      <c r="B2032" s="1" t="n">
        <v>45079</v>
      </c>
      <c r="C2032" s="1" t="n">
        <v>45807</v>
      </c>
      <c r="D2032" t="inlineStr">
        <is>
          <t>VÄSTERBOTTENS LÄN</t>
        </is>
      </c>
      <c r="E2032" t="inlineStr">
        <is>
          <t>SKELLEFTEÅ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24327-2023</t>
        </is>
      </c>
      <c r="B2033" s="1" t="n">
        <v>45080</v>
      </c>
      <c r="C2033" s="1" t="n">
        <v>45807</v>
      </c>
      <c r="D2033" t="inlineStr">
        <is>
          <t>VÄSTERBOTTENS LÄN</t>
        </is>
      </c>
      <c r="E2033" t="inlineStr">
        <is>
          <t>SKELLEFTEÅ</t>
        </is>
      </c>
      <c r="F2033" t="inlineStr">
        <is>
          <t>SCA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24320-2023</t>
        </is>
      </c>
      <c r="B2034" s="1" t="n">
        <v>45080</v>
      </c>
      <c r="C2034" s="1" t="n">
        <v>45807</v>
      </c>
      <c r="D2034" t="inlineStr">
        <is>
          <t>VÄSTERBOTTENS LÄN</t>
        </is>
      </c>
      <c r="E2034" t="inlineStr">
        <is>
          <t>SKELLEFTEÅ</t>
        </is>
      </c>
      <c r="F2034" t="inlineStr">
        <is>
          <t>Sveaskog</t>
        </is>
      </c>
      <c r="G2034" t="n">
        <v>27.5</v>
      </c>
      <c r="H2034" t="n">
        <v>0</v>
      </c>
      <c r="I2034" t="n">
        <v>0</v>
      </c>
      <c r="J2034" t="n">
        <v>0</v>
      </c>
      <c r="K2034" t="n">
        <v>0</v>
      </c>
      <c r="L2034" t="n">
        <v>0</v>
      </c>
      <c r="M2034" t="n">
        <v>0</v>
      </c>
      <c r="N2034" t="n">
        <v>0</v>
      </c>
      <c r="O2034" t="n">
        <v>0</v>
      </c>
      <c r="P2034" t="n">
        <v>0</v>
      </c>
      <c r="Q2034" t="n">
        <v>0</v>
      </c>
      <c r="R2034" s="2" t="inlineStr"/>
    </row>
    <row r="2035" ht="15" customHeight="1">
      <c r="A2035" t="inlineStr">
        <is>
          <t>A 24805-2023</t>
        </is>
      </c>
      <c r="B2035" s="1" t="n">
        <v>45084</v>
      </c>
      <c r="C2035" s="1" t="n">
        <v>45807</v>
      </c>
      <c r="D2035" t="inlineStr">
        <is>
          <t>VÄSTERBOTTENS LÄN</t>
        </is>
      </c>
      <c r="E2035" t="inlineStr">
        <is>
          <t>SKELLEFTEÅ</t>
        </is>
      </c>
      <c r="F2035" t="inlineStr">
        <is>
          <t>Sveaskog</t>
        </is>
      </c>
      <c r="G2035" t="n">
        <v>16.7</v>
      </c>
      <c r="H2035" t="n">
        <v>0</v>
      </c>
      <c r="I2035" t="n">
        <v>0</v>
      </c>
      <c r="J2035" t="n">
        <v>0</v>
      </c>
      <c r="K2035" t="n">
        <v>0</v>
      </c>
      <c r="L2035" t="n">
        <v>0</v>
      </c>
      <c r="M2035" t="n">
        <v>0</v>
      </c>
      <c r="N2035" t="n">
        <v>0</v>
      </c>
      <c r="O2035" t="n">
        <v>0</v>
      </c>
      <c r="P2035" t="n">
        <v>0</v>
      </c>
      <c r="Q2035" t="n">
        <v>0</v>
      </c>
      <c r="R2035" s="2" t="inlineStr"/>
    </row>
    <row r="2036" ht="15" customHeight="1">
      <c r="A2036" t="inlineStr">
        <is>
          <t>A 25632-2023</t>
        </is>
      </c>
      <c r="B2036" s="1" t="n">
        <v>45084</v>
      </c>
      <c r="C2036" s="1" t="n">
        <v>45807</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25634-2023</t>
        </is>
      </c>
      <c r="B2037" s="1" t="n">
        <v>45084</v>
      </c>
      <c r="C2037" s="1" t="n">
        <v>45807</v>
      </c>
      <c r="D2037" t="inlineStr">
        <is>
          <t>VÄSTERBOTTENS LÄN</t>
        </is>
      </c>
      <c r="E2037" t="inlineStr">
        <is>
          <t>SKELLEFTEÅ</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25626-2023</t>
        </is>
      </c>
      <c r="B2038" s="1" t="n">
        <v>45084</v>
      </c>
      <c r="C2038" s="1" t="n">
        <v>45807</v>
      </c>
      <c r="D2038" t="inlineStr">
        <is>
          <t>VÄSTERBOTTENS LÄN</t>
        </is>
      </c>
      <c r="E2038" t="inlineStr">
        <is>
          <t>SKELLEFTEÅ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25638-2023</t>
        </is>
      </c>
      <c r="B2039" s="1" t="n">
        <v>45084</v>
      </c>
      <c r="C2039" s="1" t="n">
        <v>45807</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24963-2023</t>
        </is>
      </c>
      <c r="B2040" s="1" t="n">
        <v>45085</v>
      </c>
      <c r="C2040" s="1" t="n">
        <v>45807</v>
      </c>
      <c r="D2040" t="inlineStr">
        <is>
          <t>VÄSTERBOTTENS LÄN</t>
        </is>
      </c>
      <c r="E2040" t="inlineStr">
        <is>
          <t>SKELLEFTEÅ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25019-2023</t>
        </is>
      </c>
      <c r="B2041" s="1" t="n">
        <v>45085</v>
      </c>
      <c r="C2041" s="1" t="n">
        <v>45807</v>
      </c>
      <c r="D2041" t="inlineStr">
        <is>
          <t>VÄSTERBOTTENS LÄN</t>
        </is>
      </c>
      <c r="E2041" t="inlineStr">
        <is>
          <t>SKELLEFTEÅ</t>
        </is>
      </c>
      <c r="F2041" t="inlineStr">
        <is>
          <t>Sveaskog</t>
        </is>
      </c>
      <c r="G2041" t="n">
        <v>11.6</v>
      </c>
      <c r="H2041" t="n">
        <v>0</v>
      </c>
      <c r="I2041" t="n">
        <v>0</v>
      </c>
      <c r="J2041" t="n">
        <v>0</v>
      </c>
      <c r="K2041" t="n">
        <v>0</v>
      </c>
      <c r="L2041" t="n">
        <v>0</v>
      </c>
      <c r="M2041" t="n">
        <v>0</v>
      </c>
      <c r="N2041" t="n">
        <v>0</v>
      </c>
      <c r="O2041" t="n">
        <v>0</v>
      </c>
      <c r="P2041" t="n">
        <v>0</v>
      </c>
      <c r="Q2041" t="n">
        <v>0</v>
      </c>
      <c r="R2041" s="2" t="inlineStr"/>
    </row>
    <row r="2042" ht="15" customHeight="1">
      <c r="A2042" t="inlineStr">
        <is>
          <t>A 25401-2023</t>
        </is>
      </c>
      <c r="B2042" s="1" t="n">
        <v>45089</v>
      </c>
      <c r="C2042" s="1" t="n">
        <v>45807</v>
      </c>
      <c r="D2042" t="inlineStr">
        <is>
          <t>VÄSTERBOTTENS LÄN</t>
        </is>
      </c>
      <c r="E2042" t="inlineStr">
        <is>
          <t>SKELLEFTEÅ</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25787-2023</t>
        </is>
      </c>
      <c r="B2043" s="1" t="n">
        <v>45090</v>
      </c>
      <c r="C2043" s="1" t="n">
        <v>45807</v>
      </c>
      <c r="D2043" t="inlineStr">
        <is>
          <t>VÄSTERBOTTENS LÄN</t>
        </is>
      </c>
      <c r="E2043" t="inlineStr">
        <is>
          <t>SKELLEFTEÅ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26783-2023</t>
        </is>
      </c>
      <c r="B2044" s="1" t="n">
        <v>45090</v>
      </c>
      <c r="C2044" s="1" t="n">
        <v>45807</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26767-2023</t>
        </is>
      </c>
      <c r="B2045" s="1" t="n">
        <v>45090</v>
      </c>
      <c r="C2045" s="1" t="n">
        <v>45807</v>
      </c>
      <c r="D2045" t="inlineStr">
        <is>
          <t>VÄSTERBOTTENS LÄN</t>
        </is>
      </c>
      <c r="E2045" t="inlineStr">
        <is>
          <t>SKELLEFTEÅ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26160-2023</t>
        </is>
      </c>
      <c r="B2046" s="1" t="n">
        <v>45091</v>
      </c>
      <c r="C2046" s="1" t="n">
        <v>45807</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26217-2023</t>
        </is>
      </c>
      <c r="B2047" s="1" t="n">
        <v>45091</v>
      </c>
      <c r="C2047" s="1" t="n">
        <v>45807</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26334-2023</t>
        </is>
      </c>
      <c r="B2048" s="1" t="n">
        <v>45091</v>
      </c>
      <c r="C2048" s="1" t="n">
        <v>45807</v>
      </c>
      <c r="D2048" t="inlineStr">
        <is>
          <t>VÄSTERBOTTENS LÄN</t>
        </is>
      </c>
      <c r="E2048" t="inlineStr">
        <is>
          <t>SKELLEFTEÅ</t>
        </is>
      </c>
      <c r="F2048" t="inlineStr">
        <is>
          <t>Sveaskog</t>
        </is>
      </c>
      <c r="G2048" t="n">
        <v>20.4</v>
      </c>
      <c r="H2048" t="n">
        <v>0</v>
      </c>
      <c r="I2048" t="n">
        <v>0</v>
      </c>
      <c r="J2048" t="n">
        <v>0</v>
      </c>
      <c r="K2048" t="n">
        <v>0</v>
      </c>
      <c r="L2048" t="n">
        <v>0</v>
      </c>
      <c r="M2048" t="n">
        <v>0</v>
      </c>
      <c r="N2048" t="n">
        <v>0</v>
      </c>
      <c r="O2048" t="n">
        <v>0</v>
      </c>
      <c r="P2048" t="n">
        <v>0</v>
      </c>
      <c r="Q2048" t="n">
        <v>0</v>
      </c>
      <c r="R2048" s="2" t="inlineStr"/>
    </row>
    <row r="2049" ht="15" customHeight="1">
      <c r="A2049" t="inlineStr">
        <is>
          <t>A 26019-2023</t>
        </is>
      </c>
      <c r="B2049" s="1" t="n">
        <v>45091</v>
      </c>
      <c r="C2049" s="1" t="n">
        <v>45807</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26062-2023</t>
        </is>
      </c>
      <c r="B2050" s="1" t="n">
        <v>45091</v>
      </c>
      <c r="C2050" s="1" t="n">
        <v>45807</v>
      </c>
      <c r="D2050" t="inlineStr">
        <is>
          <t>VÄSTERBOTTENS LÄN</t>
        </is>
      </c>
      <c r="E2050" t="inlineStr">
        <is>
          <t>SKELLEFTEÅ</t>
        </is>
      </c>
      <c r="F2050" t="inlineStr">
        <is>
          <t>Holmen skog AB</t>
        </is>
      </c>
      <c r="G2050" t="n">
        <v>16.2</v>
      </c>
      <c r="H2050" t="n">
        <v>0</v>
      </c>
      <c r="I2050" t="n">
        <v>0</v>
      </c>
      <c r="J2050" t="n">
        <v>0</v>
      </c>
      <c r="K2050" t="n">
        <v>0</v>
      </c>
      <c r="L2050" t="n">
        <v>0</v>
      </c>
      <c r="M2050" t="n">
        <v>0</v>
      </c>
      <c r="N2050" t="n">
        <v>0</v>
      </c>
      <c r="O2050" t="n">
        <v>0</v>
      </c>
      <c r="P2050" t="n">
        <v>0</v>
      </c>
      <c r="Q2050" t="n">
        <v>0</v>
      </c>
      <c r="R2050" s="2" t="inlineStr"/>
    </row>
    <row r="2051" ht="15" customHeight="1">
      <c r="A2051" t="inlineStr">
        <is>
          <t>A 26095-2023</t>
        </is>
      </c>
      <c r="B2051" s="1" t="n">
        <v>45091</v>
      </c>
      <c r="C2051" s="1" t="n">
        <v>45807</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26154-2023</t>
        </is>
      </c>
      <c r="B2052" s="1" t="n">
        <v>45091</v>
      </c>
      <c r="C2052" s="1" t="n">
        <v>45807</v>
      </c>
      <c r="D2052" t="inlineStr">
        <is>
          <t>VÄSTERBOTTENS LÄN</t>
        </is>
      </c>
      <c r="E2052" t="inlineStr">
        <is>
          <t>SKELLEFTEÅ</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26955-2023</t>
        </is>
      </c>
      <c r="B2053" s="1" t="n">
        <v>45091</v>
      </c>
      <c r="C2053" s="1" t="n">
        <v>45807</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26978-2023</t>
        </is>
      </c>
      <c r="B2054" s="1" t="n">
        <v>45091</v>
      </c>
      <c r="C2054" s="1" t="n">
        <v>45807</v>
      </c>
      <c r="D2054" t="inlineStr">
        <is>
          <t>VÄSTERBOTTENS LÄN</t>
        </is>
      </c>
      <c r="E2054" t="inlineStr">
        <is>
          <t>SKELLEFTEÅ</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26462-2023</t>
        </is>
      </c>
      <c r="B2055" s="1" t="n">
        <v>45092</v>
      </c>
      <c r="C2055" s="1" t="n">
        <v>45807</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26632-2023</t>
        </is>
      </c>
      <c r="B2056" s="1" t="n">
        <v>45092</v>
      </c>
      <c r="C2056" s="1" t="n">
        <v>45807</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26648-2023</t>
        </is>
      </c>
      <c r="B2057" s="1" t="n">
        <v>45093</v>
      </c>
      <c r="C2057" s="1" t="n">
        <v>45807</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26649-2023</t>
        </is>
      </c>
      <c r="B2058" s="1" t="n">
        <v>45093</v>
      </c>
      <c r="C2058" s="1" t="n">
        <v>45807</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26645-2023</t>
        </is>
      </c>
      <c r="B2059" s="1" t="n">
        <v>45093</v>
      </c>
      <c r="C2059" s="1" t="n">
        <v>45807</v>
      </c>
      <c r="D2059" t="inlineStr">
        <is>
          <t>VÄSTERBOTTENS LÄN</t>
        </is>
      </c>
      <c r="E2059" t="inlineStr">
        <is>
          <t>SKELLEFTEÅ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26631-2023</t>
        </is>
      </c>
      <c r="B2060" s="1" t="n">
        <v>45092</v>
      </c>
      <c r="C2060" s="1" t="n">
        <v>45807</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26686-2023</t>
        </is>
      </c>
      <c r="B2061" s="1" t="n">
        <v>45093</v>
      </c>
      <c r="C2061" s="1" t="n">
        <v>45807</v>
      </c>
      <c r="D2061" t="inlineStr">
        <is>
          <t>VÄSTERBOTTENS LÄN</t>
        </is>
      </c>
      <c r="E2061" t="inlineStr">
        <is>
          <t>SKELLEFTEÅ</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26690-2023</t>
        </is>
      </c>
      <c r="B2062" s="1" t="n">
        <v>45093</v>
      </c>
      <c r="C2062" s="1" t="n">
        <v>45807</v>
      </c>
      <c r="D2062" t="inlineStr">
        <is>
          <t>VÄSTERBOTTENS LÄN</t>
        </is>
      </c>
      <c r="E2062" t="inlineStr">
        <is>
          <t>SKELLEFTEÅ</t>
        </is>
      </c>
      <c r="F2062" t="inlineStr">
        <is>
          <t>Kyrkan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26869-2023</t>
        </is>
      </c>
      <c r="B2063" s="1" t="n">
        <v>45093</v>
      </c>
      <c r="C2063" s="1" t="n">
        <v>45807</v>
      </c>
      <c r="D2063" t="inlineStr">
        <is>
          <t>VÄSTERBOTTENS LÄN</t>
        </is>
      </c>
      <c r="E2063" t="inlineStr">
        <is>
          <t>SKELLEFTEÅ</t>
        </is>
      </c>
      <c r="F2063" t="inlineStr">
        <is>
          <t>Holmen skog AB</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26720-2023</t>
        </is>
      </c>
      <c r="B2064" s="1" t="n">
        <v>45093</v>
      </c>
      <c r="C2064" s="1" t="n">
        <v>45807</v>
      </c>
      <c r="D2064" t="inlineStr">
        <is>
          <t>VÄSTERBOTTENS LÄN</t>
        </is>
      </c>
      <c r="E2064" t="inlineStr">
        <is>
          <t>SKELLEFTEÅ</t>
        </is>
      </c>
      <c r="F2064" t="inlineStr">
        <is>
          <t>Kyrkan</t>
        </is>
      </c>
      <c r="G2064" t="n">
        <v>25.4</v>
      </c>
      <c r="H2064" t="n">
        <v>0</v>
      </c>
      <c r="I2064" t="n">
        <v>0</v>
      </c>
      <c r="J2064" t="n">
        <v>0</v>
      </c>
      <c r="K2064" t="n">
        <v>0</v>
      </c>
      <c r="L2064" t="n">
        <v>0</v>
      </c>
      <c r="M2064" t="n">
        <v>0</v>
      </c>
      <c r="N2064" t="n">
        <v>0</v>
      </c>
      <c r="O2064" t="n">
        <v>0</v>
      </c>
      <c r="P2064" t="n">
        <v>0</v>
      </c>
      <c r="Q2064" t="n">
        <v>0</v>
      </c>
      <c r="R2064" s="2" t="inlineStr"/>
    </row>
    <row r="2065" ht="15" customHeight="1">
      <c r="A2065" t="inlineStr">
        <is>
          <t>A 26900-2023</t>
        </is>
      </c>
      <c r="B2065" s="1" t="n">
        <v>45093</v>
      </c>
      <c r="C2065" s="1" t="n">
        <v>45807</v>
      </c>
      <c r="D2065" t="inlineStr">
        <is>
          <t>VÄSTERBOTTENS LÄN</t>
        </is>
      </c>
      <c r="E2065" t="inlineStr">
        <is>
          <t>SKELLEFTEÅ</t>
        </is>
      </c>
      <c r="F2065" t="inlineStr">
        <is>
          <t>Holmen skog AB</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26784-2023</t>
        </is>
      </c>
      <c r="B2066" s="1" t="n">
        <v>45093</v>
      </c>
      <c r="C2066" s="1" t="n">
        <v>45807</v>
      </c>
      <c r="D2066" t="inlineStr">
        <is>
          <t>VÄSTERBOTTENS LÄN</t>
        </is>
      </c>
      <c r="E2066" t="inlineStr">
        <is>
          <t>SKELLEFTEÅ</t>
        </is>
      </c>
      <c r="G2066" t="n">
        <v>19.5</v>
      </c>
      <c r="H2066" t="n">
        <v>0</v>
      </c>
      <c r="I2066" t="n">
        <v>0</v>
      </c>
      <c r="J2066" t="n">
        <v>0</v>
      </c>
      <c r="K2066" t="n">
        <v>0</v>
      </c>
      <c r="L2066" t="n">
        <v>0</v>
      </c>
      <c r="M2066" t="n">
        <v>0</v>
      </c>
      <c r="N2066" t="n">
        <v>0</v>
      </c>
      <c r="O2066" t="n">
        <v>0</v>
      </c>
      <c r="P2066" t="n">
        <v>0</v>
      </c>
      <c r="Q2066" t="n">
        <v>0</v>
      </c>
      <c r="R2066" s="2" t="inlineStr"/>
    </row>
    <row r="2067" ht="15" customHeight="1">
      <c r="A2067" t="inlineStr">
        <is>
          <t>A 27785-2023</t>
        </is>
      </c>
      <c r="B2067" s="1" t="n">
        <v>45093</v>
      </c>
      <c r="C2067" s="1" t="n">
        <v>45807</v>
      </c>
      <c r="D2067" t="inlineStr">
        <is>
          <t>VÄSTERBOTTENS LÄN</t>
        </is>
      </c>
      <c r="E2067" t="inlineStr">
        <is>
          <t>SKELLEFTEÅ</t>
        </is>
      </c>
      <c r="G2067" t="n">
        <v>18.5</v>
      </c>
      <c r="H2067" t="n">
        <v>0</v>
      </c>
      <c r="I2067" t="n">
        <v>0</v>
      </c>
      <c r="J2067" t="n">
        <v>0</v>
      </c>
      <c r="K2067" t="n">
        <v>0</v>
      </c>
      <c r="L2067" t="n">
        <v>0</v>
      </c>
      <c r="M2067" t="n">
        <v>0</v>
      </c>
      <c r="N2067" t="n">
        <v>0</v>
      </c>
      <c r="O2067" t="n">
        <v>0</v>
      </c>
      <c r="P2067" t="n">
        <v>0</v>
      </c>
      <c r="Q2067" t="n">
        <v>0</v>
      </c>
      <c r="R2067" s="2" t="inlineStr"/>
    </row>
    <row r="2068" ht="15" customHeight="1">
      <c r="A2068" t="inlineStr">
        <is>
          <t>A 27097-2023</t>
        </is>
      </c>
      <c r="B2068" s="1" t="n">
        <v>45096</v>
      </c>
      <c r="C2068" s="1" t="n">
        <v>45807</v>
      </c>
      <c r="D2068" t="inlineStr">
        <is>
          <t>VÄSTERBOTTENS LÄN</t>
        </is>
      </c>
      <c r="E2068" t="inlineStr">
        <is>
          <t>SKELLEFTEÅ</t>
        </is>
      </c>
      <c r="F2068" t="inlineStr">
        <is>
          <t>Holmen skog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27134-2023</t>
        </is>
      </c>
      <c r="B2069" s="1" t="n">
        <v>45096</v>
      </c>
      <c r="C2069" s="1" t="n">
        <v>45807</v>
      </c>
      <c r="D2069" t="inlineStr">
        <is>
          <t>VÄSTERBOTTENS LÄN</t>
        </is>
      </c>
      <c r="E2069" t="inlineStr">
        <is>
          <t>SKELLEFTEÅ</t>
        </is>
      </c>
      <c r="F2069" t="inlineStr">
        <is>
          <t>Holmen skog AB</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27210-2023</t>
        </is>
      </c>
      <c r="B2070" s="1" t="n">
        <v>45096</v>
      </c>
      <c r="C2070" s="1" t="n">
        <v>45807</v>
      </c>
      <c r="D2070" t="inlineStr">
        <is>
          <t>VÄSTERBOTTENS LÄN</t>
        </is>
      </c>
      <c r="E2070" t="inlineStr">
        <is>
          <t>SKELLEFTEÅ</t>
        </is>
      </c>
      <c r="F2070" t="inlineStr">
        <is>
          <t>Holmen skog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27200-2023</t>
        </is>
      </c>
      <c r="B2071" s="1" t="n">
        <v>45096</v>
      </c>
      <c r="C2071" s="1" t="n">
        <v>45807</v>
      </c>
      <c r="D2071" t="inlineStr">
        <is>
          <t>VÄSTERBOTTENS LÄN</t>
        </is>
      </c>
      <c r="E2071" t="inlineStr">
        <is>
          <t>SKELLEFTEÅ</t>
        </is>
      </c>
      <c r="F2071" t="inlineStr">
        <is>
          <t>Holmen skog AB</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27333-2023</t>
        </is>
      </c>
      <c r="B2072" s="1" t="n">
        <v>45096</v>
      </c>
      <c r="C2072" s="1" t="n">
        <v>45807</v>
      </c>
      <c r="D2072" t="inlineStr">
        <is>
          <t>VÄSTERBOTTENS LÄN</t>
        </is>
      </c>
      <c r="E2072" t="inlineStr">
        <is>
          <t>SKELLEFTEÅ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27323-2023</t>
        </is>
      </c>
      <c r="B2073" s="1" t="n">
        <v>45096</v>
      </c>
      <c r="C2073" s="1" t="n">
        <v>45807</v>
      </c>
      <c r="D2073" t="inlineStr">
        <is>
          <t>VÄSTERBOTTENS LÄN</t>
        </is>
      </c>
      <c r="E2073" t="inlineStr">
        <is>
          <t>SKELLEFTEÅ</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28153-2023</t>
        </is>
      </c>
      <c r="B2074" s="1" t="n">
        <v>45096</v>
      </c>
      <c r="C2074" s="1" t="n">
        <v>45807</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28166-2023</t>
        </is>
      </c>
      <c r="B2075" s="1" t="n">
        <v>45096</v>
      </c>
      <c r="C2075" s="1" t="n">
        <v>45807</v>
      </c>
      <c r="D2075" t="inlineStr">
        <is>
          <t>VÄSTERBOTTENS LÄN</t>
        </is>
      </c>
      <c r="E2075" t="inlineStr">
        <is>
          <t>SKELLEFTEÅ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28113-2023</t>
        </is>
      </c>
      <c r="B2076" s="1" t="n">
        <v>45096</v>
      </c>
      <c r="C2076" s="1" t="n">
        <v>45807</v>
      </c>
      <c r="D2076" t="inlineStr">
        <is>
          <t>VÄSTERBOTTENS LÄN</t>
        </is>
      </c>
      <c r="E2076" t="inlineStr">
        <is>
          <t>SKELLEFTEÅ</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28158-2023</t>
        </is>
      </c>
      <c r="B2077" s="1" t="n">
        <v>45096</v>
      </c>
      <c r="C2077" s="1" t="n">
        <v>45807</v>
      </c>
      <c r="D2077" t="inlineStr">
        <is>
          <t>VÄSTERBOTTENS LÄN</t>
        </is>
      </c>
      <c r="E2077" t="inlineStr">
        <is>
          <t>SKELLEFTEÅ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28171-2023</t>
        </is>
      </c>
      <c r="B2078" s="1" t="n">
        <v>45096</v>
      </c>
      <c r="C2078" s="1" t="n">
        <v>45807</v>
      </c>
      <c r="D2078" t="inlineStr">
        <is>
          <t>VÄSTERBOTTENS LÄN</t>
        </is>
      </c>
      <c r="E2078" t="inlineStr">
        <is>
          <t>SKELLEFTEÅ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28203-2023</t>
        </is>
      </c>
      <c r="B2079" s="1" t="n">
        <v>45096</v>
      </c>
      <c r="C2079" s="1" t="n">
        <v>45807</v>
      </c>
      <c r="D2079" t="inlineStr">
        <is>
          <t>VÄSTERBOTTENS LÄN</t>
        </is>
      </c>
      <c r="E2079" t="inlineStr">
        <is>
          <t>SKELLEFTEÅ</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27322-2023</t>
        </is>
      </c>
      <c r="B2080" s="1" t="n">
        <v>45096</v>
      </c>
      <c r="C2080" s="1" t="n">
        <v>45807</v>
      </c>
      <c r="D2080" t="inlineStr">
        <is>
          <t>VÄSTERBOTTENS LÄN</t>
        </is>
      </c>
      <c r="E2080" t="inlineStr">
        <is>
          <t>SKELLEFTEÅ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28191-2023</t>
        </is>
      </c>
      <c r="B2081" s="1" t="n">
        <v>45096</v>
      </c>
      <c r="C2081" s="1" t="n">
        <v>45807</v>
      </c>
      <c r="D2081" t="inlineStr">
        <is>
          <t>VÄSTERBOTTENS LÄN</t>
        </is>
      </c>
      <c r="E2081" t="inlineStr">
        <is>
          <t>SKELLEFTEÅ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28192-2023</t>
        </is>
      </c>
      <c r="B2082" s="1" t="n">
        <v>45096</v>
      </c>
      <c r="C2082" s="1" t="n">
        <v>45807</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28175-2023</t>
        </is>
      </c>
      <c r="B2083" s="1" t="n">
        <v>45096</v>
      </c>
      <c r="C2083" s="1" t="n">
        <v>45807</v>
      </c>
      <c r="D2083" t="inlineStr">
        <is>
          <t>VÄSTERBOTTENS LÄN</t>
        </is>
      </c>
      <c r="E2083" t="inlineStr">
        <is>
          <t>SKELLEFTEÅ</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27433-2023</t>
        </is>
      </c>
      <c r="B2084" s="1" t="n">
        <v>45097</v>
      </c>
      <c r="C2084" s="1" t="n">
        <v>45807</v>
      </c>
      <c r="D2084" t="inlineStr">
        <is>
          <t>VÄSTERBOTTENS LÄN</t>
        </is>
      </c>
      <c r="E2084" t="inlineStr">
        <is>
          <t>SKELLEFTEÅ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27504-2023</t>
        </is>
      </c>
      <c r="B2085" s="1" t="n">
        <v>45097</v>
      </c>
      <c r="C2085" s="1" t="n">
        <v>45807</v>
      </c>
      <c r="D2085" t="inlineStr">
        <is>
          <t>VÄSTERBOTTENS LÄN</t>
        </is>
      </c>
      <c r="E2085" t="inlineStr">
        <is>
          <t>SKELLEFTEÅ</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27508-2023</t>
        </is>
      </c>
      <c r="B2086" s="1" t="n">
        <v>45097</v>
      </c>
      <c r="C2086" s="1" t="n">
        <v>45807</v>
      </c>
      <c r="D2086" t="inlineStr">
        <is>
          <t>VÄSTERBOTTENS LÄN</t>
        </is>
      </c>
      <c r="E2086" t="inlineStr">
        <is>
          <t>SKELLEFTEÅ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27614-2023</t>
        </is>
      </c>
      <c r="B2087" s="1" t="n">
        <v>45097</v>
      </c>
      <c r="C2087" s="1" t="n">
        <v>45807</v>
      </c>
      <c r="D2087" t="inlineStr">
        <is>
          <t>VÄSTERBOTTENS LÄN</t>
        </is>
      </c>
      <c r="E2087" t="inlineStr">
        <is>
          <t>SKELLEFTEÅ</t>
        </is>
      </c>
      <c r="F2087" t="inlineStr">
        <is>
          <t>Holmen skog AB</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27670-2023</t>
        </is>
      </c>
      <c r="B2088" s="1" t="n">
        <v>45097</v>
      </c>
      <c r="C2088" s="1" t="n">
        <v>45807</v>
      </c>
      <c r="D2088" t="inlineStr">
        <is>
          <t>VÄSTERBOTTENS LÄN</t>
        </is>
      </c>
      <c r="E2088" t="inlineStr">
        <is>
          <t>SKELLEFTEÅ</t>
        </is>
      </c>
      <c r="F2088" t="inlineStr">
        <is>
          <t>Sveaskog</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27766-2023</t>
        </is>
      </c>
      <c r="B2089" s="1" t="n">
        <v>45098</v>
      </c>
      <c r="C2089" s="1" t="n">
        <v>45807</v>
      </c>
      <c r="D2089" t="inlineStr">
        <is>
          <t>VÄSTERBOTTENS LÄN</t>
        </is>
      </c>
      <c r="E2089" t="inlineStr">
        <is>
          <t>SKELLEFTEÅ</t>
        </is>
      </c>
      <c r="F2089" t="inlineStr">
        <is>
          <t>Holmen skog AB</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27829-2023</t>
        </is>
      </c>
      <c r="B2090" s="1" t="n">
        <v>45098</v>
      </c>
      <c r="C2090" s="1" t="n">
        <v>45807</v>
      </c>
      <c r="D2090" t="inlineStr">
        <is>
          <t>VÄSTERBOTTENS LÄN</t>
        </is>
      </c>
      <c r="E2090" t="inlineStr">
        <is>
          <t>SKELLEFTEÅ</t>
        </is>
      </c>
      <c r="F2090" t="inlineStr">
        <is>
          <t>Holmen skog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27807-2023</t>
        </is>
      </c>
      <c r="B2091" s="1" t="n">
        <v>45098</v>
      </c>
      <c r="C2091" s="1" t="n">
        <v>45807</v>
      </c>
      <c r="D2091" t="inlineStr">
        <is>
          <t>VÄSTERBOTTENS LÄN</t>
        </is>
      </c>
      <c r="E2091" t="inlineStr">
        <is>
          <t>SKELLEFTEÅ</t>
        </is>
      </c>
      <c r="F2091" t="inlineStr">
        <is>
          <t>Holmen skog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27900-2023</t>
        </is>
      </c>
      <c r="B2092" s="1" t="n">
        <v>45098</v>
      </c>
      <c r="C2092" s="1" t="n">
        <v>45807</v>
      </c>
      <c r="D2092" t="inlineStr">
        <is>
          <t>VÄSTERBOTTENS LÄN</t>
        </is>
      </c>
      <c r="E2092" t="inlineStr">
        <is>
          <t>SKELLEFTEÅ</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27925-2023</t>
        </is>
      </c>
      <c r="B2093" s="1" t="n">
        <v>45098</v>
      </c>
      <c r="C2093" s="1" t="n">
        <v>45807</v>
      </c>
      <c r="D2093" t="inlineStr">
        <is>
          <t>VÄSTERBOTTENS LÄN</t>
        </is>
      </c>
      <c r="E2093" t="inlineStr">
        <is>
          <t>SKELLEFTEÅ</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27794-2023</t>
        </is>
      </c>
      <c r="B2094" s="1" t="n">
        <v>45098</v>
      </c>
      <c r="C2094" s="1" t="n">
        <v>45807</v>
      </c>
      <c r="D2094" t="inlineStr">
        <is>
          <t>VÄSTERBOTTENS LÄN</t>
        </is>
      </c>
      <c r="E2094" t="inlineStr">
        <is>
          <t>SKELLEFTEÅ</t>
        </is>
      </c>
      <c r="F2094" t="inlineStr">
        <is>
          <t>Holmen skog AB</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29601-2023</t>
        </is>
      </c>
      <c r="B2095" s="1" t="n">
        <v>45098</v>
      </c>
      <c r="C2095" s="1" t="n">
        <v>45807</v>
      </c>
      <c r="D2095" t="inlineStr">
        <is>
          <t>VÄSTERBOTTENS LÄN</t>
        </is>
      </c>
      <c r="E2095" t="inlineStr">
        <is>
          <t>SKELLEFTEÅ</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28148-2023</t>
        </is>
      </c>
      <c r="B2096" s="1" t="n">
        <v>45099</v>
      </c>
      <c r="C2096" s="1" t="n">
        <v>45807</v>
      </c>
      <c r="D2096" t="inlineStr">
        <is>
          <t>VÄSTERBOTTENS LÄN</t>
        </is>
      </c>
      <c r="E2096" t="inlineStr">
        <is>
          <t>SKELLEFTEÅ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28142-2023</t>
        </is>
      </c>
      <c r="B2097" s="1" t="n">
        <v>45099</v>
      </c>
      <c r="C2097" s="1" t="n">
        <v>45807</v>
      </c>
      <c r="D2097" t="inlineStr">
        <is>
          <t>VÄSTERBOTTENS LÄN</t>
        </is>
      </c>
      <c r="E2097" t="inlineStr">
        <is>
          <t>SKELLEFTEÅ</t>
        </is>
      </c>
      <c r="G2097" t="n">
        <v>12.7</v>
      </c>
      <c r="H2097" t="n">
        <v>0</v>
      </c>
      <c r="I2097" t="n">
        <v>0</v>
      </c>
      <c r="J2097" t="n">
        <v>0</v>
      </c>
      <c r="K2097" t="n">
        <v>0</v>
      </c>
      <c r="L2097" t="n">
        <v>0</v>
      </c>
      <c r="M2097" t="n">
        <v>0</v>
      </c>
      <c r="N2097" t="n">
        <v>0</v>
      </c>
      <c r="O2097" t="n">
        <v>0</v>
      </c>
      <c r="P2097" t="n">
        <v>0</v>
      </c>
      <c r="Q2097" t="n">
        <v>0</v>
      </c>
      <c r="R2097" s="2" t="inlineStr"/>
    </row>
    <row r="2098" ht="15" customHeight="1">
      <c r="A2098" t="inlineStr">
        <is>
          <t>A 28185-2023</t>
        </is>
      </c>
      <c r="B2098" s="1" t="n">
        <v>45099</v>
      </c>
      <c r="C2098" s="1" t="n">
        <v>45807</v>
      </c>
      <c r="D2098" t="inlineStr">
        <is>
          <t>VÄSTERBOTTENS LÄN</t>
        </is>
      </c>
      <c r="E2098" t="inlineStr">
        <is>
          <t>SKELLEFTEÅ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28242-2023</t>
        </is>
      </c>
      <c r="B2099" s="1" t="n">
        <v>45099</v>
      </c>
      <c r="C2099" s="1" t="n">
        <v>45807</v>
      </c>
      <c r="D2099" t="inlineStr">
        <is>
          <t>VÄSTERBOTTENS LÄN</t>
        </is>
      </c>
      <c r="E2099" t="inlineStr">
        <is>
          <t>SKELLEFTEÅ</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28160-2023</t>
        </is>
      </c>
      <c r="B2100" s="1" t="n">
        <v>45099</v>
      </c>
      <c r="C2100" s="1" t="n">
        <v>45807</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28199-2023</t>
        </is>
      </c>
      <c r="B2101" s="1" t="n">
        <v>45099</v>
      </c>
      <c r="C2101" s="1" t="n">
        <v>45807</v>
      </c>
      <c r="D2101" t="inlineStr">
        <is>
          <t>VÄSTERBOTTENS LÄN</t>
        </is>
      </c>
      <c r="E2101" t="inlineStr">
        <is>
          <t>SKELLEFTEÅ</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28360-2023</t>
        </is>
      </c>
      <c r="B2102" s="1" t="n">
        <v>45100</v>
      </c>
      <c r="C2102" s="1" t="n">
        <v>45807</v>
      </c>
      <c r="D2102" t="inlineStr">
        <is>
          <t>VÄSTERBOTTENS LÄN</t>
        </is>
      </c>
      <c r="E2102" t="inlineStr">
        <is>
          <t>SKELLEFTEÅ</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28358-2023</t>
        </is>
      </c>
      <c r="B2103" s="1" t="n">
        <v>45100</v>
      </c>
      <c r="C2103" s="1" t="n">
        <v>45807</v>
      </c>
      <c r="D2103" t="inlineStr">
        <is>
          <t>VÄSTERBOTTENS LÄN</t>
        </is>
      </c>
      <c r="E2103" t="inlineStr">
        <is>
          <t>SKELLEFTEÅ</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29921-2023</t>
        </is>
      </c>
      <c r="B2104" s="1" t="n">
        <v>45099</v>
      </c>
      <c r="C2104" s="1" t="n">
        <v>45807</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30097-2023</t>
        </is>
      </c>
      <c r="B2105" s="1" t="n">
        <v>45099</v>
      </c>
      <c r="C2105" s="1" t="n">
        <v>45807</v>
      </c>
      <c r="D2105" t="inlineStr">
        <is>
          <t>VÄSTERBOTTENS LÄN</t>
        </is>
      </c>
      <c r="E2105" t="inlineStr">
        <is>
          <t>SKELLEFTEÅ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30103-2023</t>
        </is>
      </c>
      <c r="B2106" s="1" t="n">
        <v>45099</v>
      </c>
      <c r="C2106" s="1" t="n">
        <v>45807</v>
      </c>
      <c r="D2106" t="inlineStr">
        <is>
          <t>VÄSTERBOTTENS LÄN</t>
        </is>
      </c>
      <c r="E2106" t="inlineStr">
        <is>
          <t>SKELLEFTEÅ</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30437-2023</t>
        </is>
      </c>
      <c r="B2107" s="1" t="n">
        <v>45099</v>
      </c>
      <c r="C2107" s="1" t="n">
        <v>45807</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30378-2023</t>
        </is>
      </c>
      <c r="B2108" s="1" t="n">
        <v>45099</v>
      </c>
      <c r="C2108" s="1" t="n">
        <v>45807</v>
      </c>
      <c r="D2108" t="inlineStr">
        <is>
          <t>VÄSTERBOTTENS LÄN</t>
        </is>
      </c>
      <c r="E2108" t="inlineStr">
        <is>
          <t>SKELLEFTEÅ</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28431-2023</t>
        </is>
      </c>
      <c r="B2109" s="1" t="n">
        <v>45102</v>
      </c>
      <c r="C2109" s="1" t="n">
        <v>45807</v>
      </c>
      <c r="D2109" t="inlineStr">
        <is>
          <t>VÄSTERBOTTENS LÄN</t>
        </is>
      </c>
      <c r="E2109" t="inlineStr">
        <is>
          <t>SKELLEFTEÅ</t>
        </is>
      </c>
      <c r="G2109" t="n">
        <v>8.9</v>
      </c>
      <c r="H2109" t="n">
        <v>0</v>
      </c>
      <c r="I2109" t="n">
        <v>0</v>
      </c>
      <c r="J2109" t="n">
        <v>0</v>
      </c>
      <c r="K2109" t="n">
        <v>0</v>
      </c>
      <c r="L2109" t="n">
        <v>0</v>
      </c>
      <c r="M2109" t="n">
        <v>0</v>
      </c>
      <c r="N2109" t="n">
        <v>0</v>
      </c>
      <c r="O2109" t="n">
        <v>0</v>
      </c>
      <c r="P2109" t="n">
        <v>0</v>
      </c>
      <c r="Q2109" t="n">
        <v>0</v>
      </c>
      <c r="R2109" s="2" t="inlineStr"/>
      <c r="U2109">
        <f>HYPERLINK("https://klasma.github.io/Logging_2482/knärot/A 28431-2023 karta knärot.png", "A 28431-2023")</f>
        <v/>
      </c>
      <c r="V2109">
        <f>HYPERLINK("https://klasma.github.io/Logging_2482/klagomål/A 28431-2023 FSC-klagomål.docx", "A 28431-2023")</f>
        <v/>
      </c>
      <c r="W2109">
        <f>HYPERLINK("https://klasma.github.io/Logging_2482/klagomålsmail/A 28431-2023 FSC-klagomål mail.docx", "A 28431-2023")</f>
        <v/>
      </c>
      <c r="X2109">
        <f>HYPERLINK("https://klasma.github.io/Logging_2482/tillsyn/A 28431-2023 tillsynsbegäran.docx", "A 28431-2023")</f>
        <v/>
      </c>
      <c r="Y2109">
        <f>HYPERLINK("https://klasma.github.io/Logging_2482/tillsynsmail/A 28431-2023 tillsynsbegäran mail.docx", "A 28431-2023")</f>
        <v/>
      </c>
    </row>
    <row r="2110" ht="15" customHeight="1">
      <c r="A2110" t="inlineStr">
        <is>
          <t>A 28433-2023</t>
        </is>
      </c>
      <c r="B2110" s="1" t="n">
        <v>45102</v>
      </c>
      <c r="C2110" s="1" t="n">
        <v>45807</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28509-2023</t>
        </is>
      </c>
      <c r="B2111" s="1" t="n">
        <v>45103</v>
      </c>
      <c r="C2111" s="1" t="n">
        <v>45807</v>
      </c>
      <c r="D2111" t="inlineStr">
        <is>
          <t>VÄSTERBOTTENS LÄN</t>
        </is>
      </c>
      <c r="E2111" t="inlineStr">
        <is>
          <t>SKELLEFTEÅ</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28641-2023</t>
        </is>
      </c>
      <c r="B2112" s="1" t="n">
        <v>45103</v>
      </c>
      <c r="C2112" s="1" t="n">
        <v>45807</v>
      </c>
      <c r="D2112" t="inlineStr">
        <is>
          <t>VÄSTERBOTTENS LÄN</t>
        </is>
      </c>
      <c r="E2112" t="inlineStr">
        <is>
          <t>SKELLEFTEÅ</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28710-2023</t>
        </is>
      </c>
      <c r="B2113" s="1" t="n">
        <v>45103</v>
      </c>
      <c r="C2113" s="1" t="n">
        <v>45807</v>
      </c>
      <c r="D2113" t="inlineStr">
        <is>
          <t>VÄSTERBOTTENS LÄN</t>
        </is>
      </c>
      <c r="E2113" t="inlineStr">
        <is>
          <t>SKELLEFTEÅ</t>
        </is>
      </c>
      <c r="F2113" t="inlineStr">
        <is>
          <t>Sveaskog</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31006-2023</t>
        </is>
      </c>
      <c r="B2114" s="1" t="n">
        <v>45103</v>
      </c>
      <c r="C2114" s="1" t="n">
        <v>45807</v>
      </c>
      <c r="D2114" t="inlineStr">
        <is>
          <t>VÄSTERBOTTENS LÄN</t>
        </is>
      </c>
      <c r="E2114" t="inlineStr">
        <is>
          <t>SKELLEFTEÅ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31555-2023</t>
        </is>
      </c>
      <c r="B2115" s="1" t="n">
        <v>45104</v>
      </c>
      <c r="C2115" s="1" t="n">
        <v>45807</v>
      </c>
      <c r="D2115" t="inlineStr">
        <is>
          <t>VÄSTERBOTTENS LÄN</t>
        </is>
      </c>
      <c r="E2115" t="inlineStr">
        <is>
          <t>SKELLEFTEÅ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31558-2023</t>
        </is>
      </c>
      <c r="B2116" s="1" t="n">
        <v>45104</v>
      </c>
      <c r="C2116" s="1" t="n">
        <v>45807</v>
      </c>
      <c r="D2116" t="inlineStr">
        <is>
          <t>VÄSTERBOTTENS LÄN</t>
        </is>
      </c>
      <c r="E2116" t="inlineStr">
        <is>
          <t>SKELLEFTEÅ</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29152-2023</t>
        </is>
      </c>
      <c r="B2117" s="1" t="n">
        <v>45105</v>
      </c>
      <c r="C2117" s="1" t="n">
        <v>45807</v>
      </c>
      <c r="D2117" t="inlineStr">
        <is>
          <t>VÄSTERBOTTENS LÄN</t>
        </is>
      </c>
      <c r="E2117" t="inlineStr">
        <is>
          <t>SKELLEFTEÅ</t>
        </is>
      </c>
      <c r="F2117" t="inlineStr">
        <is>
          <t>Holmen skog AB</t>
        </is>
      </c>
      <c r="G2117" t="n">
        <v>18.5</v>
      </c>
      <c r="H2117" t="n">
        <v>0</v>
      </c>
      <c r="I2117" t="n">
        <v>0</v>
      </c>
      <c r="J2117" t="n">
        <v>0</v>
      </c>
      <c r="K2117" t="n">
        <v>0</v>
      </c>
      <c r="L2117" t="n">
        <v>0</v>
      </c>
      <c r="M2117" t="n">
        <v>0</v>
      </c>
      <c r="N2117" t="n">
        <v>0</v>
      </c>
      <c r="O2117" t="n">
        <v>0</v>
      </c>
      <c r="P2117" t="n">
        <v>0</v>
      </c>
      <c r="Q2117" t="n">
        <v>0</v>
      </c>
      <c r="R2117" s="2" t="inlineStr"/>
    </row>
    <row r="2118" ht="15" customHeight="1">
      <c r="A2118" t="inlineStr">
        <is>
          <t>A 29313-2023</t>
        </is>
      </c>
      <c r="B2118" s="1" t="n">
        <v>45106</v>
      </c>
      <c r="C2118" s="1" t="n">
        <v>45807</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29355-2023</t>
        </is>
      </c>
      <c r="B2119" s="1" t="n">
        <v>45106</v>
      </c>
      <c r="C2119" s="1" t="n">
        <v>45807</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29520-2023</t>
        </is>
      </c>
      <c r="B2120" s="1" t="n">
        <v>45106</v>
      </c>
      <c r="C2120" s="1" t="n">
        <v>45807</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29596-2023</t>
        </is>
      </c>
      <c r="B2121" s="1" t="n">
        <v>45107</v>
      </c>
      <c r="C2121" s="1" t="n">
        <v>45807</v>
      </c>
      <c r="D2121" t="inlineStr">
        <is>
          <t>VÄSTERBOTTENS LÄN</t>
        </is>
      </c>
      <c r="E2121" t="inlineStr">
        <is>
          <t>SKELLEFTEÅ</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29595-2023</t>
        </is>
      </c>
      <c r="B2122" s="1" t="n">
        <v>45107</v>
      </c>
      <c r="C2122" s="1" t="n">
        <v>45807</v>
      </c>
      <c r="D2122" t="inlineStr">
        <is>
          <t>VÄSTERBOTTENS LÄN</t>
        </is>
      </c>
      <c r="E2122" t="inlineStr">
        <is>
          <t>SKELLEFTEÅ</t>
        </is>
      </c>
      <c r="G2122" t="n">
        <v>23.7</v>
      </c>
      <c r="H2122" t="n">
        <v>0</v>
      </c>
      <c r="I2122" t="n">
        <v>0</v>
      </c>
      <c r="J2122" t="n">
        <v>0</v>
      </c>
      <c r="K2122" t="n">
        <v>0</v>
      </c>
      <c r="L2122" t="n">
        <v>0</v>
      </c>
      <c r="M2122" t="n">
        <v>0</v>
      </c>
      <c r="N2122" t="n">
        <v>0</v>
      </c>
      <c r="O2122" t="n">
        <v>0</v>
      </c>
      <c r="P2122" t="n">
        <v>0</v>
      </c>
      <c r="Q2122" t="n">
        <v>0</v>
      </c>
      <c r="R2122" s="2" t="inlineStr"/>
    </row>
    <row r="2123" ht="15" customHeight="1">
      <c r="A2123" t="inlineStr">
        <is>
          <t>A 31760-2023</t>
        </is>
      </c>
      <c r="B2123" s="1" t="n">
        <v>45106</v>
      </c>
      <c r="C2123" s="1" t="n">
        <v>45807</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29887-2023</t>
        </is>
      </c>
      <c r="B2124" s="1" t="n">
        <v>45107</v>
      </c>
      <c r="C2124" s="1" t="n">
        <v>45807</v>
      </c>
      <c r="D2124" t="inlineStr">
        <is>
          <t>VÄSTERBOTTENS LÄN</t>
        </is>
      </c>
      <c r="E2124" t="inlineStr">
        <is>
          <t>SKELLEFTEÅ</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29891-2023</t>
        </is>
      </c>
      <c r="B2125" s="1" t="n">
        <v>45107</v>
      </c>
      <c r="C2125" s="1" t="n">
        <v>45807</v>
      </c>
      <c r="D2125" t="inlineStr">
        <is>
          <t>VÄSTERBOTTENS LÄN</t>
        </is>
      </c>
      <c r="E2125" t="inlineStr">
        <is>
          <t>SKELLEFTEÅ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29890-2023</t>
        </is>
      </c>
      <c r="B2126" s="1" t="n">
        <v>45107</v>
      </c>
      <c r="C2126" s="1" t="n">
        <v>45807</v>
      </c>
      <c r="D2126" t="inlineStr">
        <is>
          <t>VÄSTERBOTTENS LÄN</t>
        </is>
      </c>
      <c r="E2126" t="inlineStr">
        <is>
          <t>SKELLEFTEÅ</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29932-2023</t>
        </is>
      </c>
      <c r="B2127" s="1" t="n">
        <v>45107</v>
      </c>
      <c r="C2127" s="1" t="n">
        <v>45807</v>
      </c>
      <c r="D2127" t="inlineStr">
        <is>
          <t>VÄSTERBOTTENS LÄN</t>
        </is>
      </c>
      <c r="E2127" t="inlineStr">
        <is>
          <t>SKELLEFTEÅ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29967-2023</t>
        </is>
      </c>
      <c r="B2128" s="1" t="n">
        <v>45108</v>
      </c>
      <c r="C2128" s="1" t="n">
        <v>45807</v>
      </c>
      <c r="D2128" t="inlineStr">
        <is>
          <t>VÄSTERBOTTENS LÄN</t>
        </is>
      </c>
      <c r="E2128" t="inlineStr">
        <is>
          <t>SKELLEFTEÅ</t>
        </is>
      </c>
      <c r="F2128" t="inlineStr">
        <is>
          <t>Holmen skog AB</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29968-2023</t>
        </is>
      </c>
      <c r="B2129" s="1" t="n">
        <v>45108</v>
      </c>
      <c r="C2129" s="1" t="n">
        <v>45807</v>
      </c>
      <c r="D2129" t="inlineStr">
        <is>
          <t>VÄSTERBOTTENS LÄN</t>
        </is>
      </c>
      <c r="E2129" t="inlineStr">
        <is>
          <t>SKELLEFTEÅ</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29976-2023</t>
        </is>
      </c>
      <c r="B2130" s="1" t="n">
        <v>45108</v>
      </c>
      <c r="C2130" s="1" t="n">
        <v>45807</v>
      </c>
      <c r="D2130" t="inlineStr">
        <is>
          <t>VÄSTERBOTTENS LÄN</t>
        </is>
      </c>
      <c r="E2130" t="inlineStr">
        <is>
          <t>SKELLEFTEÅ</t>
        </is>
      </c>
      <c r="F2130" t="inlineStr">
        <is>
          <t>Holmen skog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29970-2023</t>
        </is>
      </c>
      <c r="B2131" s="1" t="n">
        <v>45108</v>
      </c>
      <c r="C2131" s="1" t="n">
        <v>45807</v>
      </c>
      <c r="D2131" t="inlineStr">
        <is>
          <t>VÄSTERBOTTENS LÄN</t>
        </is>
      </c>
      <c r="E2131" t="inlineStr">
        <is>
          <t>SKELLEFTEÅ</t>
        </is>
      </c>
      <c r="F2131" t="inlineStr">
        <is>
          <t>Holmen skog AB</t>
        </is>
      </c>
      <c r="G2131" t="n">
        <v>20.6</v>
      </c>
      <c r="H2131" t="n">
        <v>0</v>
      </c>
      <c r="I2131" t="n">
        <v>0</v>
      </c>
      <c r="J2131" t="n">
        <v>0</v>
      </c>
      <c r="K2131" t="n">
        <v>0</v>
      </c>
      <c r="L2131" t="n">
        <v>0</v>
      </c>
      <c r="M2131" t="n">
        <v>0</v>
      </c>
      <c r="N2131" t="n">
        <v>0</v>
      </c>
      <c r="O2131" t="n">
        <v>0</v>
      </c>
      <c r="P2131" t="n">
        <v>0</v>
      </c>
      <c r="Q2131" t="n">
        <v>0</v>
      </c>
      <c r="R2131" s="2" t="inlineStr"/>
    </row>
    <row r="2132" ht="15" customHeight="1">
      <c r="A2132" t="inlineStr">
        <is>
          <t>A 29974-2023</t>
        </is>
      </c>
      <c r="B2132" s="1" t="n">
        <v>45108</v>
      </c>
      <c r="C2132" s="1" t="n">
        <v>45807</v>
      </c>
      <c r="D2132" t="inlineStr">
        <is>
          <t>VÄSTERBOTTENS LÄN</t>
        </is>
      </c>
      <c r="E2132" t="inlineStr">
        <is>
          <t>SKELLEFTEÅ</t>
        </is>
      </c>
      <c r="F2132" t="inlineStr">
        <is>
          <t>Holmen skog AB</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30010-2023</t>
        </is>
      </c>
      <c r="B2133" s="1" t="n">
        <v>45109</v>
      </c>
      <c r="C2133" s="1" t="n">
        <v>45807</v>
      </c>
      <c r="D2133" t="inlineStr">
        <is>
          <t>VÄSTERBOTTENS LÄN</t>
        </is>
      </c>
      <c r="E2133" t="inlineStr">
        <is>
          <t>SKELLEFTEÅ</t>
        </is>
      </c>
      <c r="F2133" t="inlineStr">
        <is>
          <t>Sveaskog</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30212-2023</t>
        </is>
      </c>
      <c r="B2134" s="1" t="n">
        <v>45110</v>
      </c>
      <c r="C2134" s="1" t="n">
        <v>45807</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30485-2023</t>
        </is>
      </c>
      <c r="B2135" s="1" t="n">
        <v>45111</v>
      </c>
      <c r="C2135" s="1" t="n">
        <v>45807</v>
      </c>
      <c r="D2135" t="inlineStr">
        <is>
          <t>VÄSTERBOTTENS LÄN</t>
        </is>
      </c>
      <c r="E2135" t="inlineStr">
        <is>
          <t>SKELLEFTEÅ</t>
        </is>
      </c>
      <c r="F2135" t="inlineStr">
        <is>
          <t>Sveaskog</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30329-2023</t>
        </is>
      </c>
      <c r="B2136" s="1" t="n">
        <v>45111</v>
      </c>
      <c r="C2136" s="1" t="n">
        <v>45807</v>
      </c>
      <c r="D2136" t="inlineStr">
        <is>
          <t>VÄSTERBOTTENS LÄN</t>
        </is>
      </c>
      <c r="E2136" t="inlineStr">
        <is>
          <t>SKELLEFTEÅ</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30540-2023</t>
        </is>
      </c>
      <c r="B2137" s="1" t="n">
        <v>45111</v>
      </c>
      <c r="C2137" s="1" t="n">
        <v>45807</v>
      </c>
      <c r="D2137" t="inlineStr">
        <is>
          <t>VÄSTERBOTTENS LÄN</t>
        </is>
      </c>
      <c r="E2137" t="inlineStr">
        <is>
          <t>SKELLEFTEÅ</t>
        </is>
      </c>
      <c r="F2137" t="inlineStr">
        <is>
          <t>Holmen skog AB</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30369-2023</t>
        </is>
      </c>
      <c r="B2138" s="1" t="n">
        <v>45111</v>
      </c>
      <c r="C2138" s="1" t="n">
        <v>45807</v>
      </c>
      <c r="D2138" t="inlineStr">
        <is>
          <t>VÄSTERBOTTENS LÄN</t>
        </is>
      </c>
      <c r="E2138" t="inlineStr">
        <is>
          <t>SKELLEFTEÅ</t>
        </is>
      </c>
      <c r="F2138" t="inlineStr">
        <is>
          <t>Holmen skog AB</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30686-2023</t>
        </is>
      </c>
      <c r="B2139" s="1" t="n">
        <v>45112</v>
      </c>
      <c r="C2139" s="1" t="n">
        <v>45807</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30698-2023</t>
        </is>
      </c>
      <c r="B2140" s="1" t="n">
        <v>45112</v>
      </c>
      <c r="C2140" s="1" t="n">
        <v>45807</v>
      </c>
      <c r="D2140" t="inlineStr">
        <is>
          <t>VÄSTERBOTTENS LÄN</t>
        </is>
      </c>
      <c r="E2140" t="inlineStr">
        <is>
          <t>SKELLEFTEÅ</t>
        </is>
      </c>
      <c r="F2140" t="inlineStr">
        <is>
          <t>Sveaskog</t>
        </is>
      </c>
      <c r="G2140" t="n">
        <v>20.9</v>
      </c>
      <c r="H2140" t="n">
        <v>0</v>
      </c>
      <c r="I2140" t="n">
        <v>0</v>
      </c>
      <c r="J2140" t="n">
        <v>0</v>
      </c>
      <c r="K2140" t="n">
        <v>0</v>
      </c>
      <c r="L2140" t="n">
        <v>0</v>
      </c>
      <c r="M2140" t="n">
        <v>0</v>
      </c>
      <c r="N2140" t="n">
        <v>0</v>
      </c>
      <c r="O2140" t="n">
        <v>0</v>
      </c>
      <c r="P2140" t="n">
        <v>0</v>
      </c>
      <c r="Q2140" t="n">
        <v>0</v>
      </c>
      <c r="R2140" s="2" t="inlineStr"/>
    </row>
    <row r="2141" ht="15" customHeight="1">
      <c r="A2141" t="inlineStr">
        <is>
          <t>A 30743-2023</t>
        </is>
      </c>
      <c r="B2141" s="1" t="n">
        <v>45112</v>
      </c>
      <c r="C2141" s="1" t="n">
        <v>45807</v>
      </c>
      <c r="D2141" t="inlineStr">
        <is>
          <t>VÄSTERBOTTENS LÄN</t>
        </is>
      </c>
      <c r="E2141" t="inlineStr">
        <is>
          <t>SKELLEFTEÅ</t>
        </is>
      </c>
      <c r="F2141" t="inlineStr">
        <is>
          <t>Sveaskog</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30786-2023</t>
        </is>
      </c>
      <c r="B2142" s="1" t="n">
        <v>45112</v>
      </c>
      <c r="C2142" s="1" t="n">
        <v>45807</v>
      </c>
      <c r="D2142" t="inlineStr">
        <is>
          <t>VÄSTERBOTTENS LÄN</t>
        </is>
      </c>
      <c r="E2142" t="inlineStr">
        <is>
          <t>SKELLEFTEÅ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32817-2023</t>
        </is>
      </c>
      <c r="B2143" s="1" t="n">
        <v>45112</v>
      </c>
      <c r="C2143" s="1" t="n">
        <v>45807</v>
      </c>
      <c r="D2143" t="inlineStr">
        <is>
          <t>VÄSTERBOTTENS LÄN</t>
        </is>
      </c>
      <c r="E2143" t="inlineStr">
        <is>
          <t>SKELLEFTEÅ</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32820-2023</t>
        </is>
      </c>
      <c r="B2144" s="1" t="n">
        <v>45112</v>
      </c>
      <c r="C2144" s="1" t="n">
        <v>45807</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30953-2023</t>
        </is>
      </c>
      <c r="B2145" s="1" t="n">
        <v>45113</v>
      </c>
      <c r="C2145" s="1" t="n">
        <v>45807</v>
      </c>
      <c r="D2145" t="inlineStr">
        <is>
          <t>VÄSTERBOTTENS LÄN</t>
        </is>
      </c>
      <c r="E2145" t="inlineStr">
        <is>
          <t>SKELLEFTEÅ</t>
        </is>
      </c>
      <c r="F2145" t="inlineStr">
        <is>
          <t>Holmen skog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31027-2023</t>
        </is>
      </c>
      <c r="B2146" s="1" t="n">
        <v>45113</v>
      </c>
      <c r="C2146" s="1" t="n">
        <v>45807</v>
      </c>
      <c r="D2146" t="inlineStr">
        <is>
          <t>VÄSTERBOTTENS LÄN</t>
        </is>
      </c>
      <c r="E2146" t="inlineStr">
        <is>
          <t>SKELLEFTEÅ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31035-2023</t>
        </is>
      </c>
      <c r="B2147" s="1" t="n">
        <v>45113</v>
      </c>
      <c r="C2147" s="1" t="n">
        <v>45807</v>
      </c>
      <c r="D2147" t="inlineStr">
        <is>
          <t>VÄSTERBOTTENS LÄN</t>
        </is>
      </c>
      <c r="E2147" t="inlineStr">
        <is>
          <t>SKELLEFTEÅ</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31033-2023</t>
        </is>
      </c>
      <c r="B2148" s="1" t="n">
        <v>45113</v>
      </c>
      <c r="C2148" s="1" t="n">
        <v>45807</v>
      </c>
      <c r="D2148" t="inlineStr">
        <is>
          <t>VÄSTERBOTTENS LÄN</t>
        </is>
      </c>
      <c r="E2148" t="inlineStr">
        <is>
          <t>SKELLEFTEÅ</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31028-2023</t>
        </is>
      </c>
      <c r="B2149" s="1" t="n">
        <v>45113</v>
      </c>
      <c r="C2149" s="1" t="n">
        <v>45807</v>
      </c>
      <c r="D2149" t="inlineStr">
        <is>
          <t>VÄSTERBOTTENS LÄN</t>
        </is>
      </c>
      <c r="E2149" t="inlineStr">
        <is>
          <t>SKELLEFTEÅ</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31155-2023</t>
        </is>
      </c>
      <c r="B2150" s="1" t="n">
        <v>45113</v>
      </c>
      <c r="C2150" s="1" t="n">
        <v>45807</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32969-2023</t>
        </is>
      </c>
      <c r="B2151" s="1" t="n">
        <v>45113</v>
      </c>
      <c r="C2151" s="1" t="n">
        <v>45807</v>
      </c>
      <c r="D2151" t="inlineStr">
        <is>
          <t>VÄSTERBOTTENS LÄN</t>
        </is>
      </c>
      <c r="E2151" t="inlineStr">
        <is>
          <t>SKELLEFTEÅ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31257-2023</t>
        </is>
      </c>
      <c r="B2152" s="1" t="n">
        <v>45114</v>
      </c>
      <c r="C2152" s="1" t="n">
        <v>45807</v>
      </c>
      <c r="D2152" t="inlineStr">
        <is>
          <t>VÄSTERBOTTENS LÄN</t>
        </is>
      </c>
      <c r="E2152" t="inlineStr">
        <is>
          <t>SKELLEFTEÅ</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33184-2023</t>
        </is>
      </c>
      <c r="B2153" s="1" t="n">
        <v>45114</v>
      </c>
      <c r="C2153" s="1" t="n">
        <v>45807</v>
      </c>
      <c r="D2153" t="inlineStr">
        <is>
          <t>VÄSTERBOTTENS LÄN</t>
        </is>
      </c>
      <c r="E2153" t="inlineStr">
        <is>
          <t>SKELLEFTEÅ</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33289-2023</t>
        </is>
      </c>
      <c r="B2154" s="1" t="n">
        <v>45116</v>
      </c>
      <c r="C2154" s="1" t="n">
        <v>45807</v>
      </c>
      <c r="D2154" t="inlineStr">
        <is>
          <t>VÄSTERBOTTENS LÄN</t>
        </is>
      </c>
      <c r="E2154" t="inlineStr">
        <is>
          <t>SKELLEFTEÅ</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31672-2023</t>
        </is>
      </c>
      <c r="B2155" s="1" t="n">
        <v>45117</v>
      </c>
      <c r="C2155" s="1" t="n">
        <v>45807</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32206-2023</t>
        </is>
      </c>
      <c r="B2156" s="1" t="n">
        <v>45119</v>
      </c>
      <c r="C2156" s="1" t="n">
        <v>45807</v>
      </c>
      <c r="D2156" t="inlineStr">
        <is>
          <t>VÄSTERBOTTENS LÄN</t>
        </is>
      </c>
      <c r="E2156" t="inlineStr">
        <is>
          <t>SKELLEFTEÅ</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32205-2023</t>
        </is>
      </c>
      <c r="B2157" s="1" t="n">
        <v>45119</v>
      </c>
      <c r="C2157" s="1" t="n">
        <v>45807</v>
      </c>
      <c r="D2157" t="inlineStr">
        <is>
          <t>VÄSTERBOTTENS LÄN</t>
        </is>
      </c>
      <c r="E2157" t="inlineStr">
        <is>
          <t>SKELLEFTEÅ</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33778-2023</t>
        </is>
      </c>
      <c r="B2158" s="1" t="n">
        <v>45120</v>
      </c>
      <c r="C2158" s="1" t="n">
        <v>45807</v>
      </c>
      <c r="D2158" t="inlineStr">
        <is>
          <t>VÄSTERBOTTENS LÄN</t>
        </is>
      </c>
      <c r="E2158" t="inlineStr">
        <is>
          <t>SKELLEFTEÅ</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32535-2023</t>
        </is>
      </c>
      <c r="B2159" s="1" t="n">
        <v>45121</v>
      </c>
      <c r="C2159" s="1" t="n">
        <v>45807</v>
      </c>
      <c r="D2159" t="inlineStr">
        <is>
          <t>VÄSTERBOTTENS LÄN</t>
        </is>
      </c>
      <c r="E2159" t="inlineStr">
        <is>
          <t>SKELLEFTEÅ</t>
        </is>
      </c>
      <c r="F2159" t="inlineStr">
        <is>
          <t>Holmen skog AB</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32556-2023</t>
        </is>
      </c>
      <c r="B2160" s="1" t="n">
        <v>45121</v>
      </c>
      <c r="C2160" s="1" t="n">
        <v>45807</v>
      </c>
      <c r="D2160" t="inlineStr">
        <is>
          <t>VÄSTERBOTTENS LÄN</t>
        </is>
      </c>
      <c r="E2160" t="inlineStr">
        <is>
          <t>SKELLEFTEÅ</t>
        </is>
      </c>
      <c r="F2160" t="inlineStr">
        <is>
          <t>Holmen skog AB</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32589-2023</t>
        </is>
      </c>
      <c r="B2161" s="1" t="n">
        <v>45121</v>
      </c>
      <c r="C2161" s="1" t="n">
        <v>45807</v>
      </c>
      <c r="D2161" t="inlineStr">
        <is>
          <t>VÄSTERBOTTENS LÄN</t>
        </is>
      </c>
      <c r="E2161" t="inlineStr">
        <is>
          <t>SKELLEFTEÅ</t>
        </is>
      </c>
      <c r="F2161" t="inlineStr">
        <is>
          <t>Holmen skog AB</t>
        </is>
      </c>
      <c r="G2161" t="n">
        <v>10.8</v>
      </c>
      <c r="H2161" t="n">
        <v>0</v>
      </c>
      <c r="I2161" t="n">
        <v>0</v>
      </c>
      <c r="J2161" t="n">
        <v>0</v>
      </c>
      <c r="K2161" t="n">
        <v>0</v>
      </c>
      <c r="L2161" t="n">
        <v>0</v>
      </c>
      <c r="M2161" t="n">
        <v>0</v>
      </c>
      <c r="N2161" t="n">
        <v>0</v>
      </c>
      <c r="O2161" t="n">
        <v>0</v>
      </c>
      <c r="P2161" t="n">
        <v>0</v>
      </c>
      <c r="Q2161" t="n">
        <v>0</v>
      </c>
      <c r="R2161" s="2" t="inlineStr"/>
    </row>
    <row r="2162" ht="15" customHeight="1">
      <c r="A2162" t="inlineStr">
        <is>
          <t>A 32575-2023</t>
        </is>
      </c>
      <c r="B2162" s="1" t="n">
        <v>45121</v>
      </c>
      <c r="C2162" s="1" t="n">
        <v>45807</v>
      </c>
      <c r="D2162" t="inlineStr">
        <is>
          <t>VÄSTERBOTTENS LÄN</t>
        </is>
      </c>
      <c r="E2162" t="inlineStr">
        <is>
          <t>SKELLEFTEÅ</t>
        </is>
      </c>
      <c r="F2162" t="inlineStr">
        <is>
          <t>Holmen skog AB</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32590-2023</t>
        </is>
      </c>
      <c r="B2163" s="1" t="n">
        <v>45121</v>
      </c>
      <c r="C2163" s="1" t="n">
        <v>45807</v>
      </c>
      <c r="D2163" t="inlineStr">
        <is>
          <t>VÄSTERBOTTENS LÄN</t>
        </is>
      </c>
      <c r="E2163" t="inlineStr">
        <is>
          <t>SKELLEFTEÅ</t>
        </is>
      </c>
      <c r="F2163" t="inlineStr">
        <is>
          <t>Holmen skog AB</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32746-2023</t>
        </is>
      </c>
      <c r="B2164" s="1" t="n">
        <v>45122</v>
      </c>
      <c r="C2164" s="1" t="n">
        <v>45807</v>
      </c>
      <c r="D2164" t="inlineStr">
        <is>
          <t>VÄSTERBOTTENS LÄN</t>
        </is>
      </c>
      <c r="E2164" t="inlineStr">
        <is>
          <t>SKELLEFTEÅ</t>
        </is>
      </c>
      <c r="F2164" t="inlineStr">
        <is>
          <t>Holmen skog AB</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32743-2023</t>
        </is>
      </c>
      <c r="B2165" s="1" t="n">
        <v>45122</v>
      </c>
      <c r="C2165" s="1" t="n">
        <v>45807</v>
      </c>
      <c r="D2165" t="inlineStr">
        <is>
          <t>VÄSTERBOTTENS LÄN</t>
        </is>
      </c>
      <c r="E2165" t="inlineStr">
        <is>
          <t>SKELLEFTEÅ</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32747-2023</t>
        </is>
      </c>
      <c r="B2166" s="1" t="n">
        <v>45122</v>
      </c>
      <c r="C2166" s="1" t="n">
        <v>45807</v>
      </c>
      <c r="D2166" t="inlineStr">
        <is>
          <t>VÄSTERBOTTENS LÄN</t>
        </is>
      </c>
      <c r="E2166" t="inlineStr">
        <is>
          <t>SKELLEFTEÅ</t>
        </is>
      </c>
      <c r="F2166" t="inlineStr">
        <is>
          <t>Holmen skog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32745-2023</t>
        </is>
      </c>
      <c r="B2167" s="1" t="n">
        <v>45122</v>
      </c>
      <c r="C2167" s="1" t="n">
        <v>45807</v>
      </c>
      <c r="D2167" t="inlineStr">
        <is>
          <t>VÄSTERBOTTENS LÄN</t>
        </is>
      </c>
      <c r="E2167" t="inlineStr">
        <is>
          <t>SKELLEFTEÅ</t>
        </is>
      </c>
      <c r="F2167" t="inlineStr">
        <is>
          <t>Holmen skog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33911-2023</t>
        </is>
      </c>
      <c r="B2168" s="1" t="n">
        <v>45123</v>
      </c>
      <c r="C2168" s="1" t="n">
        <v>45807</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33027-2023</t>
        </is>
      </c>
      <c r="B2169" s="1" t="n">
        <v>45126</v>
      </c>
      <c r="C2169" s="1" t="n">
        <v>45807</v>
      </c>
      <c r="D2169" t="inlineStr">
        <is>
          <t>VÄSTERBOTTENS LÄN</t>
        </is>
      </c>
      <c r="E2169" t="inlineStr">
        <is>
          <t>SKELLEFTEÅ</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33078-2023</t>
        </is>
      </c>
      <c r="B2170" s="1" t="n">
        <v>45126</v>
      </c>
      <c r="C2170" s="1" t="n">
        <v>45807</v>
      </c>
      <c r="D2170" t="inlineStr">
        <is>
          <t>VÄSTERBOTTENS LÄN</t>
        </is>
      </c>
      <c r="E2170" t="inlineStr">
        <is>
          <t>SKELLEFTEÅ</t>
        </is>
      </c>
      <c r="F2170" t="inlineStr">
        <is>
          <t>Holmen skog AB</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33129-2023</t>
        </is>
      </c>
      <c r="B2171" s="1" t="n">
        <v>45126</v>
      </c>
      <c r="C2171" s="1" t="n">
        <v>45807</v>
      </c>
      <c r="D2171" t="inlineStr">
        <is>
          <t>VÄSTERBOTTENS LÄN</t>
        </is>
      </c>
      <c r="E2171" t="inlineStr">
        <is>
          <t>SKELLEFTEÅ</t>
        </is>
      </c>
      <c r="F2171" t="inlineStr">
        <is>
          <t>Holmen skog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33274-2023</t>
        </is>
      </c>
      <c r="B2172" s="1" t="n">
        <v>45127</v>
      </c>
      <c r="C2172" s="1" t="n">
        <v>45807</v>
      </c>
      <c r="D2172" t="inlineStr">
        <is>
          <t>VÄSTERBOTTENS LÄN</t>
        </is>
      </c>
      <c r="E2172" t="inlineStr">
        <is>
          <t>SKELLEFTEÅ</t>
        </is>
      </c>
      <c r="F2172" t="inlineStr">
        <is>
          <t>Holmen skog AB</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33710-2023</t>
        </is>
      </c>
      <c r="B2173" s="1" t="n">
        <v>45133</v>
      </c>
      <c r="C2173" s="1" t="n">
        <v>45807</v>
      </c>
      <c r="D2173" t="inlineStr">
        <is>
          <t>VÄSTERBOTTENS LÄN</t>
        </is>
      </c>
      <c r="E2173" t="inlineStr">
        <is>
          <t>SKELLEFTEÅ</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33708-2023</t>
        </is>
      </c>
      <c r="B2174" s="1" t="n">
        <v>45133</v>
      </c>
      <c r="C2174" s="1" t="n">
        <v>45807</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33791-2023</t>
        </is>
      </c>
      <c r="B2175" s="1" t="n">
        <v>45133</v>
      </c>
      <c r="C2175" s="1" t="n">
        <v>45807</v>
      </c>
      <c r="D2175" t="inlineStr">
        <is>
          <t>VÄSTERBOTTENS LÄN</t>
        </is>
      </c>
      <c r="E2175" t="inlineStr">
        <is>
          <t>SKELLEFTEÅ</t>
        </is>
      </c>
      <c r="F2175" t="inlineStr">
        <is>
          <t>Holmen skog AB</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33739-2023</t>
        </is>
      </c>
      <c r="B2176" s="1" t="n">
        <v>45133</v>
      </c>
      <c r="C2176" s="1" t="n">
        <v>45807</v>
      </c>
      <c r="D2176" t="inlineStr">
        <is>
          <t>VÄSTERBOTTENS LÄN</t>
        </is>
      </c>
      <c r="E2176" t="inlineStr">
        <is>
          <t>SKELLEFTEÅ</t>
        </is>
      </c>
      <c r="F2176" t="inlineStr">
        <is>
          <t>Holmen skog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33768-2023</t>
        </is>
      </c>
      <c r="B2177" s="1" t="n">
        <v>45133</v>
      </c>
      <c r="C2177" s="1" t="n">
        <v>45807</v>
      </c>
      <c r="D2177" t="inlineStr">
        <is>
          <t>VÄSTERBOTTENS LÄN</t>
        </is>
      </c>
      <c r="E2177" t="inlineStr">
        <is>
          <t>SKELLEFTEÅ</t>
        </is>
      </c>
      <c r="F2177" t="inlineStr">
        <is>
          <t>Holmen skog AB</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33838-2023</t>
        </is>
      </c>
      <c r="B2178" s="1" t="n">
        <v>45133</v>
      </c>
      <c r="C2178" s="1" t="n">
        <v>45807</v>
      </c>
      <c r="D2178" t="inlineStr">
        <is>
          <t>VÄSTERBOTTENS LÄN</t>
        </is>
      </c>
      <c r="E2178" t="inlineStr">
        <is>
          <t>SKELLEFTEÅ</t>
        </is>
      </c>
      <c r="F2178" t="inlineStr">
        <is>
          <t>Holmen skog AB</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33843-2023</t>
        </is>
      </c>
      <c r="B2179" s="1" t="n">
        <v>45133</v>
      </c>
      <c r="C2179" s="1" t="n">
        <v>45807</v>
      </c>
      <c r="D2179" t="inlineStr">
        <is>
          <t>VÄSTERBOTTENS LÄN</t>
        </is>
      </c>
      <c r="E2179" t="inlineStr">
        <is>
          <t>SKELLEFTEÅ</t>
        </is>
      </c>
      <c r="F2179" t="inlineStr">
        <is>
          <t>Holmen skog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33728-2023</t>
        </is>
      </c>
      <c r="B2180" s="1" t="n">
        <v>45133</v>
      </c>
      <c r="C2180" s="1" t="n">
        <v>45807</v>
      </c>
      <c r="D2180" t="inlineStr">
        <is>
          <t>VÄSTERBOTTENS LÄN</t>
        </is>
      </c>
      <c r="E2180" t="inlineStr">
        <is>
          <t>SKELLEFTEÅ</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34508-2023</t>
        </is>
      </c>
      <c r="B2181" s="1" t="n">
        <v>45133</v>
      </c>
      <c r="C2181" s="1" t="n">
        <v>45807</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33771-2023</t>
        </is>
      </c>
      <c r="B2182" s="1" t="n">
        <v>45133</v>
      </c>
      <c r="C2182" s="1" t="n">
        <v>45807</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33820-2023</t>
        </is>
      </c>
      <c r="B2183" s="1" t="n">
        <v>45133</v>
      </c>
      <c r="C2183" s="1" t="n">
        <v>45807</v>
      </c>
      <c r="D2183" t="inlineStr">
        <is>
          <t>VÄSTERBOTTENS LÄN</t>
        </is>
      </c>
      <c r="E2183" t="inlineStr">
        <is>
          <t>SKELLEFTEÅ</t>
        </is>
      </c>
      <c r="F2183" t="inlineStr">
        <is>
          <t>Holmen skog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34507-2023</t>
        </is>
      </c>
      <c r="B2184" s="1" t="n">
        <v>45133</v>
      </c>
      <c r="C2184" s="1" t="n">
        <v>45807</v>
      </c>
      <c r="D2184" t="inlineStr">
        <is>
          <t>VÄSTERBOTTENS LÄN</t>
        </is>
      </c>
      <c r="E2184" t="inlineStr">
        <is>
          <t>SKELLEFTEÅ</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33956-2023</t>
        </is>
      </c>
      <c r="B2185" s="1" t="n">
        <v>45134</v>
      </c>
      <c r="C2185" s="1" t="n">
        <v>45807</v>
      </c>
      <c r="D2185" t="inlineStr">
        <is>
          <t>VÄSTERBOTTENS LÄN</t>
        </is>
      </c>
      <c r="E2185" t="inlineStr">
        <is>
          <t>SKELLEFTEÅ</t>
        </is>
      </c>
      <c r="F2185" t="inlineStr">
        <is>
          <t>Holmen skog AB</t>
        </is>
      </c>
      <c r="G2185" t="n">
        <v>13.5</v>
      </c>
      <c r="H2185" t="n">
        <v>0</v>
      </c>
      <c r="I2185" t="n">
        <v>0</v>
      </c>
      <c r="J2185" t="n">
        <v>0</v>
      </c>
      <c r="K2185" t="n">
        <v>0</v>
      </c>
      <c r="L2185" t="n">
        <v>0</v>
      </c>
      <c r="M2185" t="n">
        <v>0</v>
      </c>
      <c r="N2185" t="n">
        <v>0</v>
      </c>
      <c r="O2185" t="n">
        <v>0</v>
      </c>
      <c r="P2185" t="n">
        <v>0</v>
      </c>
      <c r="Q2185" t="n">
        <v>0</v>
      </c>
      <c r="R2185" s="2" t="inlineStr"/>
    </row>
    <row r="2186" ht="15" customHeight="1">
      <c r="A2186" t="inlineStr">
        <is>
          <t>A 34036-2023</t>
        </is>
      </c>
      <c r="B2186" s="1" t="n">
        <v>45135</v>
      </c>
      <c r="C2186" s="1" t="n">
        <v>45807</v>
      </c>
      <c r="D2186" t="inlineStr">
        <is>
          <t>VÄSTERBOTTENS LÄN</t>
        </is>
      </c>
      <c r="E2186" t="inlineStr">
        <is>
          <t>SKELLEFTEÅ</t>
        </is>
      </c>
      <c r="F2186" t="inlineStr">
        <is>
          <t>Holmen skog AB</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34051-2023</t>
        </is>
      </c>
      <c r="B2187" s="1" t="n">
        <v>45135</v>
      </c>
      <c r="C2187" s="1" t="n">
        <v>45807</v>
      </c>
      <c r="D2187" t="inlineStr">
        <is>
          <t>VÄSTERBOTTENS LÄN</t>
        </is>
      </c>
      <c r="E2187" t="inlineStr">
        <is>
          <t>SKELLEFTEÅ</t>
        </is>
      </c>
      <c r="F2187" t="inlineStr">
        <is>
          <t>Holmen skog AB</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34025-2023</t>
        </is>
      </c>
      <c r="B2188" s="1" t="n">
        <v>45135</v>
      </c>
      <c r="C2188" s="1" t="n">
        <v>45807</v>
      </c>
      <c r="D2188" t="inlineStr">
        <is>
          <t>VÄSTERBOTTENS LÄN</t>
        </is>
      </c>
      <c r="E2188" t="inlineStr">
        <is>
          <t>SKELLEFTEÅ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34063-2023</t>
        </is>
      </c>
      <c r="B2189" s="1" t="n">
        <v>45135</v>
      </c>
      <c r="C2189" s="1" t="n">
        <v>45807</v>
      </c>
      <c r="D2189" t="inlineStr">
        <is>
          <t>VÄSTERBOTTENS LÄN</t>
        </is>
      </c>
      <c r="E2189" t="inlineStr">
        <is>
          <t>SKELLEFTEÅ</t>
        </is>
      </c>
      <c r="F2189" t="inlineStr">
        <is>
          <t>Holmen skog AB</t>
        </is>
      </c>
      <c r="G2189" t="n">
        <v>9.5</v>
      </c>
      <c r="H2189" t="n">
        <v>0</v>
      </c>
      <c r="I2189" t="n">
        <v>0</v>
      </c>
      <c r="J2189" t="n">
        <v>0</v>
      </c>
      <c r="K2189" t="n">
        <v>0</v>
      </c>
      <c r="L2189" t="n">
        <v>0</v>
      </c>
      <c r="M2189" t="n">
        <v>0</v>
      </c>
      <c r="N2189" t="n">
        <v>0</v>
      </c>
      <c r="O2189" t="n">
        <v>0</v>
      </c>
      <c r="P2189" t="n">
        <v>0</v>
      </c>
      <c r="Q2189" t="n">
        <v>0</v>
      </c>
      <c r="R2189" s="2" t="inlineStr"/>
    </row>
    <row r="2190" ht="15" customHeight="1">
      <c r="A2190" t="inlineStr">
        <is>
          <t>A 34035-2023</t>
        </is>
      </c>
      <c r="B2190" s="1" t="n">
        <v>45135</v>
      </c>
      <c r="C2190" s="1" t="n">
        <v>45807</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34572-2023</t>
        </is>
      </c>
      <c r="B2191" s="1" t="n">
        <v>45135</v>
      </c>
      <c r="C2191" s="1" t="n">
        <v>45807</v>
      </c>
      <c r="D2191" t="inlineStr">
        <is>
          <t>VÄSTERBOTTENS LÄN</t>
        </is>
      </c>
      <c r="E2191" t="inlineStr">
        <is>
          <t>SKELLEFTEÅ</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34195-2023</t>
        </is>
      </c>
      <c r="B2192" s="1" t="n">
        <v>45135</v>
      </c>
      <c r="C2192" s="1" t="n">
        <v>45807</v>
      </c>
      <c r="D2192" t="inlineStr">
        <is>
          <t>VÄSTERBOTTENS LÄN</t>
        </is>
      </c>
      <c r="E2192" t="inlineStr">
        <is>
          <t>SKELLEFTEÅ</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34455-2023</t>
        </is>
      </c>
      <c r="B2193" s="1" t="n">
        <v>45139</v>
      </c>
      <c r="C2193" s="1" t="n">
        <v>45807</v>
      </c>
      <c r="D2193" t="inlineStr">
        <is>
          <t>VÄSTERBOTTENS LÄN</t>
        </is>
      </c>
      <c r="E2193" t="inlineStr">
        <is>
          <t>SKELLEFTEÅ</t>
        </is>
      </c>
      <c r="F2193" t="inlineStr">
        <is>
          <t>Holmen skog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34583-2023</t>
        </is>
      </c>
      <c r="B2194" s="1" t="n">
        <v>45140</v>
      </c>
      <c r="C2194" s="1" t="n">
        <v>45807</v>
      </c>
      <c r="D2194" t="inlineStr">
        <is>
          <t>VÄSTERBOTTENS LÄN</t>
        </is>
      </c>
      <c r="E2194" t="inlineStr">
        <is>
          <t>SKELLEFTEÅ</t>
        </is>
      </c>
      <c r="F2194" t="inlineStr">
        <is>
          <t>Holmen skog AB</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34597-2023</t>
        </is>
      </c>
      <c r="B2195" s="1" t="n">
        <v>45140</v>
      </c>
      <c r="C2195" s="1" t="n">
        <v>45807</v>
      </c>
      <c r="D2195" t="inlineStr">
        <is>
          <t>VÄSTERBOTTENS LÄN</t>
        </is>
      </c>
      <c r="E2195" t="inlineStr">
        <is>
          <t>SKELLEFTEÅ</t>
        </is>
      </c>
      <c r="F2195" t="inlineStr">
        <is>
          <t>Holmen skog AB</t>
        </is>
      </c>
      <c r="G2195" t="n">
        <v>10.5</v>
      </c>
      <c r="H2195" t="n">
        <v>0</v>
      </c>
      <c r="I2195" t="n">
        <v>0</v>
      </c>
      <c r="J2195" t="n">
        <v>0</v>
      </c>
      <c r="K2195" t="n">
        <v>0</v>
      </c>
      <c r="L2195" t="n">
        <v>0</v>
      </c>
      <c r="M2195" t="n">
        <v>0</v>
      </c>
      <c r="N2195" t="n">
        <v>0</v>
      </c>
      <c r="O2195" t="n">
        <v>0</v>
      </c>
      <c r="P2195" t="n">
        <v>0</v>
      </c>
      <c r="Q2195" t="n">
        <v>0</v>
      </c>
      <c r="R2195" s="2" t="inlineStr"/>
    </row>
    <row r="2196" ht="15" customHeight="1">
      <c r="A2196" t="inlineStr">
        <is>
          <t>A 34616-2023</t>
        </is>
      </c>
      <c r="B2196" s="1" t="n">
        <v>45140</v>
      </c>
      <c r="C2196" s="1" t="n">
        <v>45807</v>
      </c>
      <c r="D2196" t="inlineStr">
        <is>
          <t>VÄSTERBOTTENS LÄN</t>
        </is>
      </c>
      <c r="E2196" t="inlineStr">
        <is>
          <t>SKELLEFTEÅ</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34669-2023</t>
        </is>
      </c>
      <c r="B2197" s="1" t="n">
        <v>45140</v>
      </c>
      <c r="C2197" s="1" t="n">
        <v>45807</v>
      </c>
      <c r="D2197" t="inlineStr">
        <is>
          <t>VÄSTERBOTTENS LÄN</t>
        </is>
      </c>
      <c r="E2197" t="inlineStr">
        <is>
          <t>SKELLEFTEÅ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34670-2023</t>
        </is>
      </c>
      <c r="B2198" s="1" t="n">
        <v>45140</v>
      </c>
      <c r="C2198" s="1" t="n">
        <v>45807</v>
      </c>
      <c r="D2198" t="inlineStr">
        <is>
          <t>VÄSTERBOTTENS LÄN</t>
        </is>
      </c>
      <c r="E2198" t="inlineStr">
        <is>
          <t>SKELLEFTEÅ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34638-2023</t>
        </is>
      </c>
      <c r="B2199" s="1" t="n">
        <v>45140</v>
      </c>
      <c r="C2199" s="1" t="n">
        <v>45807</v>
      </c>
      <c r="D2199" t="inlineStr">
        <is>
          <t>VÄSTERBOTTENS LÄN</t>
        </is>
      </c>
      <c r="E2199" t="inlineStr">
        <is>
          <t>SKELLEFTEÅ</t>
        </is>
      </c>
      <c r="F2199" t="inlineStr">
        <is>
          <t>Holmen skog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34672-2023</t>
        </is>
      </c>
      <c r="B2200" s="1" t="n">
        <v>45140</v>
      </c>
      <c r="C2200" s="1" t="n">
        <v>45807</v>
      </c>
      <c r="D2200" t="inlineStr">
        <is>
          <t>VÄSTERBOTTENS LÄN</t>
        </is>
      </c>
      <c r="E2200" t="inlineStr">
        <is>
          <t>SKELLEFTEÅ</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34986-2023</t>
        </is>
      </c>
      <c r="B2201" s="1" t="n">
        <v>45142</v>
      </c>
      <c r="C2201" s="1" t="n">
        <v>45807</v>
      </c>
      <c r="D2201" t="inlineStr">
        <is>
          <t>VÄSTERBOTTENS LÄN</t>
        </is>
      </c>
      <c r="E2201" t="inlineStr">
        <is>
          <t>SKELLEFTEÅ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35068-2023</t>
        </is>
      </c>
      <c r="B2202" s="1" t="n">
        <v>45142</v>
      </c>
      <c r="C2202" s="1" t="n">
        <v>45807</v>
      </c>
      <c r="D2202" t="inlineStr">
        <is>
          <t>VÄSTERBOTTENS LÄN</t>
        </is>
      </c>
      <c r="E2202" t="inlineStr">
        <is>
          <t>SKELLEFTEÅ</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35070-2023</t>
        </is>
      </c>
      <c r="B2203" s="1" t="n">
        <v>45142</v>
      </c>
      <c r="C2203" s="1" t="n">
        <v>45807</v>
      </c>
      <c r="D2203" t="inlineStr">
        <is>
          <t>VÄSTERBOTTENS LÄN</t>
        </is>
      </c>
      <c r="E2203" t="inlineStr">
        <is>
          <t>SKELLEFTEÅ</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35031-2023</t>
        </is>
      </c>
      <c r="B2204" s="1" t="n">
        <v>45145</v>
      </c>
      <c r="C2204" s="1" t="n">
        <v>45807</v>
      </c>
      <c r="D2204" t="inlineStr">
        <is>
          <t>VÄSTERBOTTENS LÄN</t>
        </is>
      </c>
      <c r="E2204" t="inlineStr">
        <is>
          <t>SKELLEFTEÅ</t>
        </is>
      </c>
      <c r="F2204" t="inlineStr">
        <is>
          <t>Holmen skog AB</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35102-2023</t>
        </is>
      </c>
      <c r="B2205" s="1" t="n">
        <v>45145</v>
      </c>
      <c r="C2205" s="1" t="n">
        <v>45807</v>
      </c>
      <c r="D2205" t="inlineStr">
        <is>
          <t>VÄSTERBOTTENS LÄN</t>
        </is>
      </c>
      <c r="E2205" t="inlineStr">
        <is>
          <t>SKELLEFTEÅ</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35032-2023</t>
        </is>
      </c>
      <c r="B2206" s="1" t="n">
        <v>45145</v>
      </c>
      <c r="C2206" s="1" t="n">
        <v>45807</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35331-2023</t>
        </is>
      </c>
      <c r="B2207" s="1" t="n">
        <v>45145</v>
      </c>
      <c r="C2207" s="1" t="n">
        <v>45807</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35206-2023</t>
        </is>
      </c>
      <c r="B2208" s="1" t="n">
        <v>45145</v>
      </c>
      <c r="C2208" s="1" t="n">
        <v>45807</v>
      </c>
      <c r="D2208" t="inlineStr">
        <is>
          <t>VÄSTERBOTTENS LÄN</t>
        </is>
      </c>
      <c r="E2208" t="inlineStr">
        <is>
          <t>SKELLEFTEÅ</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35338-2023</t>
        </is>
      </c>
      <c r="B2209" s="1" t="n">
        <v>45145</v>
      </c>
      <c r="C2209" s="1" t="n">
        <v>45807</v>
      </c>
      <c r="D2209" t="inlineStr">
        <is>
          <t>VÄSTERBOTTENS LÄN</t>
        </is>
      </c>
      <c r="E2209" t="inlineStr">
        <is>
          <t>SKELLEFTEÅ</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35439-2023</t>
        </is>
      </c>
      <c r="B2210" s="1" t="n">
        <v>45146</v>
      </c>
      <c r="C2210" s="1" t="n">
        <v>45807</v>
      </c>
      <c r="D2210" t="inlineStr">
        <is>
          <t>VÄSTERBOTTENS LÄN</t>
        </is>
      </c>
      <c r="E2210" t="inlineStr">
        <is>
          <t>SKELLEFTEÅ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35301-2023</t>
        </is>
      </c>
      <c r="B2211" s="1" t="n">
        <v>45146</v>
      </c>
      <c r="C2211" s="1" t="n">
        <v>45807</v>
      </c>
      <c r="D2211" t="inlineStr">
        <is>
          <t>VÄSTERBOTTENS LÄN</t>
        </is>
      </c>
      <c r="E2211" t="inlineStr">
        <is>
          <t>SKELLEFTEÅ</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35401-2023</t>
        </is>
      </c>
      <c r="B2212" s="1" t="n">
        <v>45146</v>
      </c>
      <c r="C2212" s="1" t="n">
        <v>45807</v>
      </c>
      <c r="D2212" t="inlineStr">
        <is>
          <t>VÄSTERBOTTENS LÄN</t>
        </is>
      </c>
      <c r="E2212" t="inlineStr">
        <is>
          <t>SKELLEFTEÅ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35437-2023</t>
        </is>
      </c>
      <c r="B2213" s="1" t="n">
        <v>45146</v>
      </c>
      <c r="C2213" s="1" t="n">
        <v>45807</v>
      </c>
      <c r="D2213" t="inlineStr">
        <is>
          <t>VÄSTERBOTTENS LÄN</t>
        </is>
      </c>
      <c r="E2213" t="inlineStr">
        <is>
          <t>SKELLEFTEÅ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35430-2023</t>
        </is>
      </c>
      <c r="B2214" s="1" t="n">
        <v>45146</v>
      </c>
      <c r="C2214" s="1" t="n">
        <v>45807</v>
      </c>
      <c r="D2214" t="inlineStr">
        <is>
          <t>VÄSTERBOTTENS LÄN</t>
        </is>
      </c>
      <c r="E2214" t="inlineStr">
        <is>
          <t>SKELLEFTEÅ</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35731-2023</t>
        </is>
      </c>
      <c r="B2215" s="1" t="n">
        <v>45147</v>
      </c>
      <c r="C2215" s="1" t="n">
        <v>45807</v>
      </c>
      <c r="D2215" t="inlineStr">
        <is>
          <t>VÄSTERBOTTENS LÄN</t>
        </is>
      </c>
      <c r="E2215" t="inlineStr">
        <is>
          <t>SKELLEFTEÅ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35732-2023</t>
        </is>
      </c>
      <c r="B2216" s="1" t="n">
        <v>45147</v>
      </c>
      <c r="C2216" s="1" t="n">
        <v>45807</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35736-2023</t>
        </is>
      </c>
      <c r="B2217" s="1" t="n">
        <v>45147</v>
      </c>
      <c r="C2217" s="1" t="n">
        <v>45807</v>
      </c>
      <c r="D2217" t="inlineStr">
        <is>
          <t>VÄSTERBOTTENS LÄN</t>
        </is>
      </c>
      <c r="E2217" t="inlineStr">
        <is>
          <t>SKELLEFTEÅ</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35952-2023</t>
        </is>
      </c>
      <c r="B2218" s="1" t="n">
        <v>45148</v>
      </c>
      <c r="C2218" s="1" t="n">
        <v>45807</v>
      </c>
      <c r="D2218" t="inlineStr">
        <is>
          <t>VÄSTERBOTTENS LÄN</t>
        </is>
      </c>
      <c r="E2218" t="inlineStr">
        <is>
          <t>SKELLEFTEÅ</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36078-2023</t>
        </is>
      </c>
      <c r="B2219" s="1" t="n">
        <v>45149</v>
      </c>
      <c r="C2219" s="1" t="n">
        <v>45807</v>
      </c>
      <c r="D2219" t="inlineStr">
        <is>
          <t>VÄSTERBOTTENS LÄN</t>
        </is>
      </c>
      <c r="E2219" t="inlineStr">
        <is>
          <t>SKELLEFTEÅ</t>
        </is>
      </c>
      <c r="F2219" t="inlineStr">
        <is>
          <t>Holmen skog AB</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36113-2023</t>
        </is>
      </c>
      <c r="B2220" s="1" t="n">
        <v>45149</v>
      </c>
      <c r="C2220" s="1" t="n">
        <v>45807</v>
      </c>
      <c r="D2220" t="inlineStr">
        <is>
          <t>VÄSTERBOTTENS LÄN</t>
        </is>
      </c>
      <c r="E2220" t="inlineStr">
        <is>
          <t>SKELLEFTEÅ</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36091-2023</t>
        </is>
      </c>
      <c r="B2221" s="1" t="n">
        <v>45149</v>
      </c>
      <c r="C2221" s="1" t="n">
        <v>45807</v>
      </c>
      <c r="D2221" t="inlineStr">
        <is>
          <t>VÄSTERBOTTENS LÄN</t>
        </is>
      </c>
      <c r="E2221" t="inlineStr">
        <is>
          <t>SKELLEFTEÅ</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36099-2023</t>
        </is>
      </c>
      <c r="B2222" s="1" t="n">
        <v>45149</v>
      </c>
      <c r="C2222" s="1" t="n">
        <v>45807</v>
      </c>
      <c r="D2222" t="inlineStr">
        <is>
          <t>VÄSTERBOTTENS LÄN</t>
        </is>
      </c>
      <c r="E2222" t="inlineStr">
        <is>
          <t>SKELLEFTEÅ</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36286-2023</t>
        </is>
      </c>
      <c r="B2223" s="1" t="n">
        <v>45152</v>
      </c>
      <c r="C2223" s="1" t="n">
        <v>45807</v>
      </c>
      <c r="D2223" t="inlineStr">
        <is>
          <t>VÄSTERBOTTENS LÄN</t>
        </is>
      </c>
      <c r="E2223" t="inlineStr">
        <is>
          <t>SKELLEFTEÅ</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36327-2023</t>
        </is>
      </c>
      <c r="B2224" s="1" t="n">
        <v>45152</v>
      </c>
      <c r="C2224" s="1" t="n">
        <v>45807</v>
      </c>
      <c r="D2224" t="inlineStr">
        <is>
          <t>VÄSTERBOTTENS LÄN</t>
        </is>
      </c>
      <c r="E2224" t="inlineStr">
        <is>
          <t>SKELLEFTEÅ</t>
        </is>
      </c>
      <c r="F2224" t="inlineStr">
        <is>
          <t>Holmen skog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36275-2023</t>
        </is>
      </c>
      <c r="B2225" s="1" t="n">
        <v>45152</v>
      </c>
      <c r="C2225" s="1" t="n">
        <v>45807</v>
      </c>
      <c r="D2225" t="inlineStr">
        <is>
          <t>VÄSTERBOTTENS LÄN</t>
        </is>
      </c>
      <c r="E2225" t="inlineStr">
        <is>
          <t>SKELLEFTEÅ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36495-2023</t>
        </is>
      </c>
      <c r="B2226" s="1" t="n">
        <v>45153</v>
      </c>
      <c r="C2226" s="1" t="n">
        <v>45807</v>
      </c>
      <c r="D2226" t="inlineStr">
        <is>
          <t>VÄSTERBOTTENS LÄN</t>
        </is>
      </c>
      <c r="E2226" t="inlineStr">
        <is>
          <t>SKELLEFTEÅ</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36404-2023</t>
        </is>
      </c>
      <c r="B2227" s="1" t="n">
        <v>45152</v>
      </c>
      <c r="C2227" s="1" t="n">
        <v>45807</v>
      </c>
      <c r="D2227" t="inlineStr">
        <is>
          <t>VÄSTERBOTTENS LÄN</t>
        </is>
      </c>
      <c r="E2227" t="inlineStr">
        <is>
          <t>SKELLEFTEÅ</t>
        </is>
      </c>
      <c r="F2227" t="inlineStr">
        <is>
          <t>Holmen skog AB</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36493-2023</t>
        </is>
      </c>
      <c r="B2228" s="1" t="n">
        <v>45153</v>
      </c>
      <c r="C2228" s="1" t="n">
        <v>45807</v>
      </c>
      <c r="D2228" t="inlineStr">
        <is>
          <t>VÄSTERBOTTENS LÄN</t>
        </is>
      </c>
      <c r="E2228" t="inlineStr">
        <is>
          <t>SKELLEFTEÅ</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36556-2023</t>
        </is>
      </c>
      <c r="B2229" s="1" t="n">
        <v>45153</v>
      </c>
      <c r="C2229" s="1" t="n">
        <v>45807</v>
      </c>
      <c r="D2229" t="inlineStr">
        <is>
          <t>VÄSTERBOTTENS LÄN</t>
        </is>
      </c>
      <c r="E2229" t="inlineStr">
        <is>
          <t>SKELLEFTEÅ</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36804-2023</t>
        </is>
      </c>
      <c r="B2230" s="1" t="n">
        <v>45154</v>
      </c>
      <c r="C2230" s="1" t="n">
        <v>45807</v>
      </c>
      <c r="D2230" t="inlineStr">
        <is>
          <t>VÄSTERBOTTENS LÄN</t>
        </is>
      </c>
      <c r="E2230" t="inlineStr">
        <is>
          <t>SKELLEFTEÅ</t>
        </is>
      </c>
      <c r="F2230" t="inlineStr">
        <is>
          <t>Holmen skog AB</t>
        </is>
      </c>
      <c r="G2230" t="n">
        <v>12.5</v>
      </c>
      <c r="H2230" t="n">
        <v>0</v>
      </c>
      <c r="I2230" t="n">
        <v>0</v>
      </c>
      <c r="J2230" t="n">
        <v>0</v>
      </c>
      <c r="K2230" t="n">
        <v>0</v>
      </c>
      <c r="L2230" t="n">
        <v>0</v>
      </c>
      <c r="M2230" t="n">
        <v>0</v>
      </c>
      <c r="N2230" t="n">
        <v>0</v>
      </c>
      <c r="O2230" t="n">
        <v>0</v>
      </c>
      <c r="P2230" t="n">
        <v>0</v>
      </c>
      <c r="Q2230" t="n">
        <v>0</v>
      </c>
      <c r="R2230" s="2" t="inlineStr"/>
    </row>
    <row r="2231" ht="15" customHeight="1">
      <c r="A2231" t="inlineStr">
        <is>
          <t>A 37134-2023</t>
        </is>
      </c>
      <c r="B2231" s="1" t="n">
        <v>45155</v>
      </c>
      <c r="C2231" s="1" t="n">
        <v>45807</v>
      </c>
      <c r="D2231" t="inlineStr">
        <is>
          <t>VÄSTERBOTTENS LÄN</t>
        </is>
      </c>
      <c r="E2231" t="inlineStr">
        <is>
          <t>SKELLEFTEÅ</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37229-2023</t>
        </is>
      </c>
      <c r="B2232" s="1" t="n">
        <v>45155</v>
      </c>
      <c r="C2232" s="1" t="n">
        <v>45807</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37774-2023</t>
        </is>
      </c>
      <c r="B2233" s="1" t="n">
        <v>45156</v>
      </c>
      <c r="C2233" s="1" t="n">
        <v>45807</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37474-2023</t>
        </is>
      </c>
      <c r="B2234" s="1" t="n">
        <v>45157</v>
      </c>
      <c r="C2234" s="1" t="n">
        <v>45807</v>
      </c>
      <c r="D2234" t="inlineStr">
        <is>
          <t>VÄSTERBOTTENS LÄN</t>
        </is>
      </c>
      <c r="E2234" t="inlineStr">
        <is>
          <t>SKELLEFTEÅ</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37796-2023</t>
        </is>
      </c>
      <c r="B2235" s="1" t="n">
        <v>45160</v>
      </c>
      <c r="C2235" s="1" t="n">
        <v>45807</v>
      </c>
      <c r="D2235" t="inlineStr">
        <is>
          <t>VÄSTERBOTTENS LÄN</t>
        </is>
      </c>
      <c r="E2235" t="inlineStr">
        <is>
          <t>SKELLEFTEÅ</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38140-2023</t>
        </is>
      </c>
      <c r="B2236" s="1" t="n">
        <v>45159</v>
      </c>
      <c r="C2236" s="1" t="n">
        <v>45807</v>
      </c>
      <c r="D2236" t="inlineStr">
        <is>
          <t>VÄSTERBOTTENS LÄN</t>
        </is>
      </c>
      <c r="E2236" t="inlineStr">
        <is>
          <t>SKELLEFTEÅ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38134-2023</t>
        </is>
      </c>
      <c r="B2237" s="1" t="n">
        <v>45159</v>
      </c>
      <c r="C2237" s="1" t="n">
        <v>45807</v>
      </c>
      <c r="D2237" t="inlineStr">
        <is>
          <t>VÄSTERBOTTENS LÄN</t>
        </is>
      </c>
      <c r="E2237" t="inlineStr">
        <is>
          <t>SKELLEFTEÅ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37883-2023</t>
        </is>
      </c>
      <c r="B2238" s="1" t="n">
        <v>45160</v>
      </c>
      <c r="C2238" s="1" t="n">
        <v>45807</v>
      </c>
      <c r="D2238" t="inlineStr">
        <is>
          <t>VÄSTERBOTTENS LÄN</t>
        </is>
      </c>
      <c r="E2238" t="inlineStr">
        <is>
          <t>SKELLEFTEÅ</t>
        </is>
      </c>
      <c r="F2238" t="inlineStr">
        <is>
          <t>Holmen skog AB</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37838-2023</t>
        </is>
      </c>
      <c r="B2239" s="1" t="n">
        <v>45160</v>
      </c>
      <c r="C2239" s="1" t="n">
        <v>45807</v>
      </c>
      <c r="D2239" t="inlineStr">
        <is>
          <t>VÄSTERBOTTENS LÄN</t>
        </is>
      </c>
      <c r="E2239" t="inlineStr">
        <is>
          <t>SKELLEFTEÅ</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37914-2023</t>
        </is>
      </c>
      <c r="B2240" s="1" t="n">
        <v>45160</v>
      </c>
      <c r="C2240" s="1" t="n">
        <v>45807</v>
      </c>
      <c r="D2240" t="inlineStr">
        <is>
          <t>VÄSTERBOTTENS LÄN</t>
        </is>
      </c>
      <c r="E2240" t="inlineStr">
        <is>
          <t>SKELLEFTEÅ</t>
        </is>
      </c>
      <c r="F2240" t="inlineStr">
        <is>
          <t>Holmen skog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37855-2023</t>
        </is>
      </c>
      <c r="B2241" s="1" t="n">
        <v>45160</v>
      </c>
      <c r="C2241" s="1" t="n">
        <v>45807</v>
      </c>
      <c r="D2241" t="inlineStr">
        <is>
          <t>VÄSTERBOTTENS LÄN</t>
        </is>
      </c>
      <c r="E2241" t="inlineStr">
        <is>
          <t>SKELLEFTEÅ</t>
        </is>
      </c>
      <c r="F2241" t="inlineStr">
        <is>
          <t>Holmen skog AB</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38009-2023</t>
        </is>
      </c>
      <c r="B2242" s="1" t="n">
        <v>45160</v>
      </c>
      <c r="C2242" s="1" t="n">
        <v>45807</v>
      </c>
      <c r="D2242" t="inlineStr">
        <is>
          <t>VÄSTERBOTTENS LÄN</t>
        </is>
      </c>
      <c r="E2242" t="inlineStr">
        <is>
          <t>SKELLEFTEÅ</t>
        </is>
      </c>
      <c r="F2242" t="inlineStr">
        <is>
          <t>Holmen skog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38013-2023</t>
        </is>
      </c>
      <c r="B2243" s="1" t="n">
        <v>45160</v>
      </c>
      <c r="C2243" s="1" t="n">
        <v>45807</v>
      </c>
      <c r="D2243" t="inlineStr">
        <is>
          <t>VÄSTERBOTTENS LÄN</t>
        </is>
      </c>
      <c r="E2243" t="inlineStr">
        <is>
          <t>SKELLEFTEÅ</t>
        </is>
      </c>
      <c r="F2243" t="inlineStr">
        <is>
          <t>Holmen skog AB</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38301-2023</t>
        </is>
      </c>
      <c r="B2244" s="1" t="n">
        <v>45160</v>
      </c>
      <c r="C2244" s="1" t="n">
        <v>45807</v>
      </c>
      <c r="D2244" t="inlineStr">
        <is>
          <t>VÄSTERBOTTENS LÄN</t>
        </is>
      </c>
      <c r="E2244" t="inlineStr">
        <is>
          <t>SKELLEFTEÅ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38314-2023</t>
        </is>
      </c>
      <c r="B2245" s="1" t="n">
        <v>45160</v>
      </c>
      <c r="C2245" s="1" t="n">
        <v>45807</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38309-2023</t>
        </is>
      </c>
      <c r="B2246" s="1" t="n">
        <v>45160</v>
      </c>
      <c r="C2246" s="1" t="n">
        <v>45807</v>
      </c>
      <c r="D2246" t="inlineStr">
        <is>
          <t>VÄSTERBOTTENS LÄN</t>
        </is>
      </c>
      <c r="E2246" t="inlineStr">
        <is>
          <t>SKELLEFTEÅ</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38031-2023</t>
        </is>
      </c>
      <c r="B2247" s="1" t="n">
        <v>45160</v>
      </c>
      <c r="C2247" s="1" t="n">
        <v>45807</v>
      </c>
      <c r="D2247" t="inlineStr">
        <is>
          <t>VÄSTERBOTTENS LÄN</t>
        </is>
      </c>
      <c r="E2247" t="inlineStr">
        <is>
          <t>SKELLEFTEÅ</t>
        </is>
      </c>
      <c r="F2247" t="inlineStr">
        <is>
          <t>Holmen skog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38258-2023</t>
        </is>
      </c>
      <c r="B2248" s="1" t="n">
        <v>45160</v>
      </c>
      <c r="C2248" s="1" t="n">
        <v>45807</v>
      </c>
      <c r="D2248" t="inlineStr">
        <is>
          <t>VÄSTERBOTTENS LÄN</t>
        </is>
      </c>
      <c r="E2248" t="inlineStr">
        <is>
          <t>SKELLEFTEÅ</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38311-2023</t>
        </is>
      </c>
      <c r="B2249" s="1" t="n">
        <v>45160</v>
      </c>
      <c r="C2249" s="1" t="n">
        <v>45807</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38253-2023</t>
        </is>
      </c>
      <c r="B2250" s="1" t="n">
        <v>45160</v>
      </c>
      <c r="C2250" s="1" t="n">
        <v>45807</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38305-2023</t>
        </is>
      </c>
      <c r="B2251" s="1" t="n">
        <v>45160</v>
      </c>
      <c r="C2251" s="1" t="n">
        <v>45807</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38717-2023</t>
        </is>
      </c>
      <c r="B2252" s="1" t="n">
        <v>45160</v>
      </c>
      <c r="C2252" s="1" t="n">
        <v>45807</v>
      </c>
      <c r="D2252" t="inlineStr">
        <is>
          <t>VÄSTERBOTTENS LÄN</t>
        </is>
      </c>
      <c r="E2252" t="inlineStr">
        <is>
          <t>SKELLEFTEÅ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38826-2023</t>
        </is>
      </c>
      <c r="B2253" s="1" t="n">
        <v>45161</v>
      </c>
      <c r="C2253" s="1" t="n">
        <v>45807</v>
      </c>
      <c r="D2253" t="inlineStr">
        <is>
          <t>VÄSTERBOTTENS LÄN</t>
        </is>
      </c>
      <c r="E2253" t="inlineStr">
        <is>
          <t>SKELLEFTEÅ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38304-2023</t>
        </is>
      </c>
      <c r="B2254" s="1" t="n">
        <v>45161</v>
      </c>
      <c r="C2254" s="1" t="n">
        <v>45807</v>
      </c>
      <c r="D2254" t="inlineStr">
        <is>
          <t>VÄSTERBOTTENS LÄN</t>
        </is>
      </c>
      <c r="E2254" t="inlineStr">
        <is>
          <t>SKELLEFTEÅ</t>
        </is>
      </c>
      <c r="F2254" t="inlineStr">
        <is>
          <t>Holmen skog AB</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38356-2023</t>
        </is>
      </c>
      <c r="B2255" s="1" t="n">
        <v>45161</v>
      </c>
      <c r="C2255" s="1" t="n">
        <v>45807</v>
      </c>
      <c r="D2255" t="inlineStr">
        <is>
          <t>VÄSTERBOTTENS LÄN</t>
        </is>
      </c>
      <c r="E2255" t="inlineStr">
        <is>
          <t>SKELLEFTEÅ</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38574-2023</t>
        </is>
      </c>
      <c r="B2256" s="1" t="n">
        <v>45161</v>
      </c>
      <c r="C2256" s="1" t="n">
        <v>45807</v>
      </c>
      <c r="D2256" t="inlineStr">
        <is>
          <t>VÄSTERBOTTENS LÄN</t>
        </is>
      </c>
      <c r="E2256" t="inlineStr">
        <is>
          <t>SKELLEFTEÅ</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38811-2023</t>
        </is>
      </c>
      <c r="B2257" s="1" t="n">
        <v>45161</v>
      </c>
      <c r="C2257" s="1" t="n">
        <v>45807</v>
      </c>
      <c r="D2257" t="inlineStr">
        <is>
          <t>VÄSTERBOTTENS LÄN</t>
        </is>
      </c>
      <c r="E2257" t="inlineStr">
        <is>
          <t>SKELLEFTEÅ</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38577-2023</t>
        </is>
      </c>
      <c r="B2258" s="1" t="n">
        <v>45161</v>
      </c>
      <c r="C2258" s="1" t="n">
        <v>45807</v>
      </c>
      <c r="D2258" t="inlineStr">
        <is>
          <t>VÄSTERBOTTENS LÄN</t>
        </is>
      </c>
      <c r="E2258" t="inlineStr">
        <is>
          <t>SKELLEFTEÅ</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38809-2023</t>
        </is>
      </c>
      <c r="B2259" s="1" t="n">
        <v>45161</v>
      </c>
      <c r="C2259" s="1" t="n">
        <v>45807</v>
      </c>
      <c r="D2259" t="inlineStr">
        <is>
          <t>VÄSTERBOTTENS LÄN</t>
        </is>
      </c>
      <c r="E2259" t="inlineStr">
        <is>
          <t>SKELLEFTEÅ</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38805-2023</t>
        </is>
      </c>
      <c r="B2260" s="1" t="n">
        <v>45161</v>
      </c>
      <c r="C2260" s="1" t="n">
        <v>45807</v>
      </c>
      <c r="D2260" t="inlineStr">
        <is>
          <t>VÄSTERBOTTENS LÄN</t>
        </is>
      </c>
      <c r="E2260" t="inlineStr">
        <is>
          <t>SKELLEFTEÅ</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38818-2023</t>
        </is>
      </c>
      <c r="B2261" s="1" t="n">
        <v>45161</v>
      </c>
      <c r="C2261" s="1" t="n">
        <v>45807</v>
      </c>
      <c r="D2261" t="inlineStr">
        <is>
          <t>VÄSTERBOTTENS LÄN</t>
        </is>
      </c>
      <c r="E2261" t="inlineStr">
        <is>
          <t>SKELLEFTEÅ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38396-2023</t>
        </is>
      </c>
      <c r="B2262" s="1" t="n">
        <v>45162</v>
      </c>
      <c r="C2262" s="1" t="n">
        <v>45807</v>
      </c>
      <c r="D2262" t="inlineStr">
        <is>
          <t>VÄSTERBOTTENS LÄN</t>
        </is>
      </c>
      <c r="E2262" t="inlineStr">
        <is>
          <t>SKELLEFTEÅ</t>
        </is>
      </c>
      <c r="F2262" t="inlineStr">
        <is>
          <t>Sveaskog</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38421-2023</t>
        </is>
      </c>
      <c r="B2263" s="1" t="n">
        <v>45162</v>
      </c>
      <c r="C2263" s="1" t="n">
        <v>45807</v>
      </c>
      <c r="D2263" t="inlineStr">
        <is>
          <t>VÄSTERBOTTENS LÄN</t>
        </is>
      </c>
      <c r="E2263" t="inlineStr">
        <is>
          <t>SKELLEFTEÅ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38395-2023</t>
        </is>
      </c>
      <c r="B2264" s="1" t="n">
        <v>45162</v>
      </c>
      <c r="C2264" s="1" t="n">
        <v>45807</v>
      </c>
      <c r="D2264" t="inlineStr">
        <is>
          <t>VÄSTERBOTTENS LÄN</t>
        </is>
      </c>
      <c r="E2264" t="inlineStr">
        <is>
          <t>SKELLEFTEÅ</t>
        </is>
      </c>
      <c r="F2264" t="inlineStr">
        <is>
          <t>Sveaskog</t>
        </is>
      </c>
      <c r="G2264" t="n">
        <v>18.9</v>
      </c>
      <c r="H2264" t="n">
        <v>0</v>
      </c>
      <c r="I2264" t="n">
        <v>0</v>
      </c>
      <c r="J2264" t="n">
        <v>0</v>
      </c>
      <c r="K2264" t="n">
        <v>0</v>
      </c>
      <c r="L2264" t="n">
        <v>0</v>
      </c>
      <c r="M2264" t="n">
        <v>0</v>
      </c>
      <c r="N2264" t="n">
        <v>0</v>
      </c>
      <c r="O2264" t="n">
        <v>0</v>
      </c>
      <c r="P2264" t="n">
        <v>0</v>
      </c>
      <c r="Q2264" t="n">
        <v>0</v>
      </c>
      <c r="R2264" s="2" t="inlineStr"/>
    </row>
    <row r="2265" ht="15" customHeight="1">
      <c r="A2265" t="inlineStr">
        <is>
          <t>A 38450-2023</t>
        </is>
      </c>
      <c r="B2265" s="1" t="n">
        <v>45162</v>
      </c>
      <c r="C2265" s="1" t="n">
        <v>45807</v>
      </c>
      <c r="D2265" t="inlineStr">
        <is>
          <t>VÄSTERBOTTENS LÄN</t>
        </is>
      </c>
      <c r="E2265" t="inlineStr">
        <is>
          <t>SKELLEFTEÅ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38393-2023</t>
        </is>
      </c>
      <c r="B2266" s="1" t="n">
        <v>45162</v>
      </c>
      <c r="C2266" s="1" t="n">
        <v>45807</v>
      </c>
      <c r="D2266" t="inlineStr">
        <is>
          <t>VÄSTERBOTTENS LÄN</t>
        </is>
      </c>
      <c r="E2266" t="inlineStr">
        <is>
          <t>SKELLEFTEÅ</t>
        </is>
      </c>
      <c r="F2266" t="inlineStr">
        <is>
          <t>Holmen skog AB</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38397-2023</t>
        </is>
      </c>
      <c r="B2267" s="1" t="n">
        <v>45162</v>
      </c>
      <c r="C2267" s="1" t="n">
        <v>45807</v>
      </c>
      <c r="D2267" t="inlineStr">
        <is>
          <t>VÄSTERBOTTENS LÄN</t>
        </is>
      </c>
      <c r="E2267" t="inlineStr">
        <is>
          <t>SKELLEFTEÅ</t>
        </is>
      </c>
      <c r="F2267" t="inlineStr">
        <is>
          <t>Sveaskog</t>
        </is>
      </c>
      <c r="G2267" t="n">
        <v>11.7</v>
      </c>
      <c r="H2267" t="n">
        <v>0</v>
      </c>
      <c r="I2267" t="n">
        <v>0</v>
      </c>
      <c r="J2267" t="n">
        <v>0</v>
      </c>
      <c r="K2267" t="n">
        <v>0</v>
      </c>
      <c r="L2267" t="n">
        <v>0</v>
      </c>
      <c r="M2267" t="n">
        <v>0</v>
      </c>
      <c r="N2267" t="n">
        <v>0</v>
      </c>
      <c r="O2267" t="n">
        <v>0</v>
      </c>
      <c r="P2267" t="n">
        <v>0</v>
      </c>
      <c r="Q2267" t="n">
        <v>0</v>
      </c>
      <c r="R2267" s="2" t="inlineStr"/>
    </row>
    <row r="2268" ht="15" customHeight="1">
      <c r="A2268" t="inlineStr">
        <is>
          <t>A 38445-2023</t>
        </is>
      </c>
      <c r="B2268" s="1" t="n">
        <v>45162</v>
      </c>
      <c r="C2268" s="1" t="n">
        <v>45807</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38473-2023</t>
        </is>
      </c>
      <c r="B2269" s="1" t="n">
        <v>45162</v>
      </c>
      <c r="C2269" s="1" t="n">
        <v>45807</v>
      </c>
      <c r="D2269" t="inlineStr">
        <is>
          <t>VÄSTERBOTTENS LÄN</t>
        </is>
      </c>
      <c r="E2269" t="inlineStr">
        <is>
          <t>SKELLEFTEÅ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38952-2023</t>
        </is>
      </c>
      <c r="B2270" s="1" t="n">
        <v>45163</v>
      </c>
      <c r="C2270" s="1" t="n">
        <v>45807</v>
      </c>
      <c r="D2270" t="inlineStr">
        <is>
          <t>VÄSTERBOTTENS LÄN</t>
        </is>
      </c>
      <c r="E2270" t="inlineStr">
        <is>
          <t>SKELLEFTEÅ</t>
        </is>
      </c>
      <c r="F2270" t="inlineStr">
        <is>
          <t>Sveaskog</t>
        </is>
      </c>
      <c r="G2270" t="n">
        <v>11.2</v>
      </c>
      <c r="H2270" t="n">
        <v>0</v>
      </c>
      <c r="I2270" t="n">
        <v>0</v>
      </c>
      <c r="J2270" t="n">
        <v>0</v>
      </c>
      <c r="K2270" t="n">
        <v>0</v>
      </c>
      <c r="L2270" t="n">
        <v>0</v>
      </c>
      <c r="M2270" t="n">
        <v>0</v>
      </c>
      <c r="N2270" t="n">
        <v>0</v>
      </c>
      <c r="O2270" t="n">
        <v>0</v>
      </c>
      <c r="P2270" t="n">
        <v>0</v>
      </c>
      <c r="Q2270" t="n">
        <v>0</v>
      </c>
      <c r="R2270" s="2" t="inlineStr"/>
    </row>
    <row r="2271" ht="15" customHeight="1">
      <c r="A2271" t="inlineStr">
        <is>
          <t>A 38830-2023</t>
        </is>
      </c>
      <c r="B2271" s="1" t="n">
        <v>45163</v>
      </c>
      <c r="C2271" s="1" t="n">
        <v>45807</v>
      </c>
      <c r="D2271" t="inlineStr">
        <is>
          <t>VÄSTERBOTTENS LÄN</t>
        </is>
      </c>
      <c r="E2271" t="inlineStr">
        <is>
          <t>SKELLEFTEÅ</t>
        </is>
      </c>
      <c r="F2271" t="inlineStr">
        <is>
          <t>Holmen skog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38833-2023</t>
        </is>
      </c>
      <c r="B2272" s="1" t="n">
        <v>45163</v>
      </c>
      <c r="C2272" s="1" t="n">
        <v>45807</v>
      </c>
      <c r="D2272" t="inlineStr">
        <is>
          <t>VÄSTERBOTTENS LÄN</t>
        </is>
      </c>
      <c r="E2272" t="inlineStr">
        <is>
          <t>SKELLEFTEÅ</t>
        </is>
      </c>
      <c r="F2272" t="inlineStr">
        <is>
          <t>Sveaskog</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38837-2023</t>
        </is>
      </c>
      <c r="B2273" s="1" t="n">
        <v>45163</v>
      </c>
      <c r="C2273" s="1" t="n">
        <v>45807</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38949-2023</t>
        </is>
      </c>
      <c r="B2274" s="1" t="n">
        <v>45163</v>
      </c>
      <c r="C2274" s="1" t="n">
        <v>45807</v>
      </c>
      <c r="D2274" t="inlineStr">
        <is>
          <t>VÄSTERBOTTENS LÄN</t>
        </is>
      </c>
      <c r="E2274" t="inlineStr">
        <is>
          <t>SKELLEFTEÅ</t>
        </is>
      </c>
      <c r="F2274" t="inlineStr">
        <is>
          <t>Sveaskog</t>
        </is>
      </c>
      <c r="G2274" t="n">
        <v>19.1</v>
      </c>
      <c r="H2274" t="n">
        <v>0</v>
      </c>
      <c r="I2274" t="n">
        <v>0</v>
      </c>
      <c r="J2274" t="n">
        <v>0</v>
      </c>
      <c r="K2274" t="n">
        <v>0</v>
      </c>
      <c r="L2274" t="n">
        <v>0</v>
      </c>
      <c r="M2274" t="n">
        <v>0</v>
      </c>
      <c r="N2274" t="n">
        <v>0</v>
      </c>
      <c r="O2274" t="n">
        <v>0</v>
      </c>
      <c r="P2274" t="n">
        <v>0</v>
      </c>
      <c r="Q2274" t="n">
        <v>0</v>
      </c>
      <c r="R2274" s="2" t="inlineStr"/>
    </row>
    <row r="2275" ht="15" customHeight="1">
      <c r="A2275" t="inlineStr">
        <is>
          <t>A 39018-2023</t>
        </is>
      </c>
      <c r="B2275" s="1" t="n">
        <v>45163</v>
      </c>
      <c r="C2275" s="1" t="n">
        <v>45807</v>
      </c>
      <c r="D2275" t="inlineStr">
        <is>
          <t>VÄSTERBOTTENS LÄN</t>
        </is>
      </c>
      <c r="E2275" t="inlineStr">
        <is>
          <t>SKELLEFTEÅ</t>
        </is>
      </c>
      <c r="F2275" t="inlineStr">
        <is>
          <t>Sveaskog</t>
        </is>
      </c>
      <c r="G2275" t="n">
        <v>20</v>
      </c>
      <c r="H2275" t="n">
        <v>0</v>
      </c>
      <c r="I2275" t="n">
        <v>0</v>
      </c>
      <c r="J2275" t="n">
        <v>0</v>
      </c>
      <c r="K2275" t="n">
        <v>0</v>
      </c>
      <c r="L2275" t="n">
        <v>0</v>
      </c>
      <c r="M2275" t="n">
        <v>0</v>
      </c>
      <c r="N2275" t="n">
        <v>0</v>
      </c>
      <c r="O2275" t="n">
        <v>0</v>
      </c>
      <c r="P2275" t="n">
        <v>0</v>
      </c>
      <c r="Q2275" t="n">
        <v>0</v>
      </c>
      <c r="R2275" s="2" t="inlineStr"/>
    </row>
    <row r="2276" ht="15" customHeight="1">
      <c r="A2276" t="inlineStr">
        <is>
          <t>A 39026-2023</t>
        </is>
      </c>
      <c r="B2276" s="1" t="n">
        <v>45163</v>
      </c>
      <c r="C2276" s="1" t="n">
        <v>45807</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39034-2023</t>
        </is>
      </c>
      <c r="B2277" s="1" t="n">
        <v>45163</v>
      </c>
      <c r="C2277" s="1" t="n">
        <v>45807</v>
      </c>
      <c r="D2277" t="inlineStr">
        <is>
          <t>VÄSTERBOTTENS LÄN</t>
        </is>
      </c>
      <c r="E2277" t="inlineStr">
        <is>
          <t>SKELLEFTEÅ</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39412-2023</t>
        </is>
      </c>
      <c r="B2278" s="1" t="n">
        <v>45163</v>
      </c>
      <c r="C2278" s="1" t="n">
        <v>45807</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39420-2023</t>
        </is>
      </c>
      <c r="B2279" s="1" t="n">
        <v>45163</v>
      </c>
      <c r="C2279" s="1" t="n">
        <v>45807</v>
      </c>
      <c r="D2279" t="inlineStr">
        <is>
          <t>VÄSTERBOTTENS LÄN</t>
        </is>
      </c>
      <c r="E2279" t="inlineStr">
        <is>
          <t>SKELLEFTEÅ</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38790-2023</t>
        </is>
      </c>
      <c r="B2280" s="1" t="n">
        <v>45163</v>
      </c>
      <c r="C2280" s="1" t="n">
        <v>45807</v>
      </c>
      <c r="D2280" t="inlineStr">
        <is>
          <t>VÄSTERBOTTENS LÄN</t>
        </is>
      </c>
      <c r="E2280" t="inlineStr">
        <is>
          <t>SKELLEFTEÅ</t>
        </is>
      </c>
      <c r="F2280" t="inlineStr">
        <is>
          <t>Holmen skog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39132-2023</t>
        </is>
      </c>
      <c r="B2281" s="1" t="n">
        <v>45165</v>
      </c>
      <c r="C2281" s="1" t="n">
        <v>45807</v>
      </c>
      <c r="D2281" t="inlineStr">
        <is>
          <t>VÄSTERBOTTENS LÄN</t>
        </is>
      </c>
      <c r="E2281" t="inlineStr">
        <is>
          <t>SKELLEFTEÅ</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39135-2023</t>
        </is>
      </c>
      <c r="B2282" s="1" t="n">
        <v>45165</v>
      </c>
      <c r="C2282" s="1" t="n">
        <v>45807</v>
      </c>
      <c r="D2282" t="inlineStr">
        <is>
          <t>VÄSTERBOTTENS LÄN</t>
        </is>
      </c>
      <c r="E2282" t="inlineStr">
        <is>
          <t>SKELLEFTEÅ</t>
        </is>
      </c>
      <c r="F2282" t="inlineStr">
        <is>
          <t>Holmen skog AB</t>
        </is>
      </c>
      <c r="G2282" t="n">
        <v>20.5</v>
      </c>
      <c r="H2282" t="n">
        <v>0</v>
      </c>
      <c r="I2282" t="n">
        <v>0</v>
      </c>
      <c r="J2282" t="n">
        <v>0</v>
      </c>
      <c r="K2282" t="n">
        <v>0</v>
      </c>
      <c r="L2282" t="n">
        <v>0</v>
      </c>
      <c r="M2282" t="n">
        <v>0</v>
      </c>
      <c r="N2282" t="n">
        <v>0</v>
      </c>
      <c r="O2282" t="n">
        <v>0</v>
      </c>
      <c r="P2282" t="n">
        <v>0</v>
      </c>
      <c r="Q2282" t="n">
        <v>0</v>
      </c>
      <c r="R2282" s="2" t="inlineStr"/>
    </row>
    <row r="2283" ht="15" customHeight="1">
      <c r="A2283" t="inlineStr">
        <is>
          <t>A 39147-2023</t>
        </is>
      </c>
      <c r="B2283" s="1" t="n">
        <v>45166</v>
      </c>
      <c r="C2283" s="1" t="n">
        <v>45807</v>
      </c>
      <c r="D2283" t="inlineStr">
        <is>
          <t>VÄSTERBOTTENS LÄN</t>
        </is>
      </c>
      <c r="E2283" t="inlineStr">
        <is>
          <t>SKELLEFTEÅ</t>
        </is>
      </c>
      <c r="F2283" t="inlineStr">
        <is>
          <t>Holmen skog AB</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39156-2023</t>
        </is>
      </c>
      <c r="B2284" s="1" t="n">
        <v>45166</v>
      </c>
      <c r="C2284" s="1" t="n">
        <v>45807</v>
      </c>
      <c r="D2284" t="inlineStr">
        <is>
          <t>VÄSTERBOTTENS LÄN</t>
        </is>
      </c>
      <c r="E2284" t="inlineStr">
        <is>
          <t>SKELLEFTEÅ</t>
        </is>
      </c>
      <c r="F2284" t="inlineStr">
        <is>
          <t>Sveaskog</t>
        </is>
      </c>
      <c r="G2284" t="n">
        <v>43.7</v>
      </c>
      <c r="H2284" t="n">
        <v>0</v>
      </c>
      <c r="I2284" t="n">
        <v>0</v>
      </c>
      <c r="J2284" t="n">
        <v>0</v>
      </c>
      <c r="K2284" t="n">
        <v>0</v>
      </c>
      <c r="L2284" t="n">
        <v>0</v>
      </c>
      <c r="M2284" t="n">
        <v>0</v>
      </c>
      <c r="N2284" t="n">
        <v>0</v>
      </c>
      <c r="O2284" t="n">
        <v>0</v>
      </c>
      <c r="P2284" t="n">
        <v>0</v>
      </c>
      <c r="Q2284" t="n">
        <v>0</v>
      </c>
      <c r="R2284" s="2" t="inlineStr"/>
    </row>
    <row r="2285" ht="15" customHeight="1">
      <c r="A2285" t="inlineStr">
        <is>
          <t>A 39695-2023</t>
        </is>
      </c>
      <c r="B2285" s="1" t="n">
        <v>45166</v>
      </c>
      <c r="C2285" s="1" t="n">
        <v>45807</v>
      </c>
      <c r="D2285" t="inlineStr">
        <is>
          <t>VÄSTERBOTTENS LÄN</t>
        </is>
      </c>
      <c r="E2285" t="inlineStr">
        <is>
          <t>SKELLEFTEÅ</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39513-2023</t>
        </is>
      </c>
      <c r="B2286" s="1" t="n">
        <v>45167</v>
      </c>
      <c r="C2286" s="1" t="n">
        <v>45807</v>
      </c>
      <c r="D2286" t="inlineStr">
        <is>
          <t>VÄSTERBOTTENS LÄN</t>
        </is>
      </c>
      <c r="E2286" t="inlineStr">
        <is>
          <t>SKELLEFTEÅ</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39553-2023</t>
        </is>
      </c>
      <c r="B2287" s="1" t="n">
        <v>45167</v>
      </c>
      <c r="C2287" s="1" t="n">
        <v>45807</v>
      </c>
      <c r="D2287" t="inlineStr">
        <is>
          <t>VÄSTERBOTTENS LÄN</t>
        </is>
      </c>
      <c r="E2287" t="inlineStr">
        <is>
          <t>SKELLEFTEÅ</t>
        </is>
      </c>
      <c r="F2287" t="inlineStr">
        <is>
          <t>Holmen skog AB</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39589-2023</t>
        </is>
      </c>
      <c r="B2288" s="1" t="n">
        <v>45167</v>
      </c>
      <c r="C2288" s="1" t="n">
        <v>45807</v>
      </c>
      <c r="D2288" t="inlineStr">
        <is>
          <t>VÄSTERBOTTENS LÄN</t>
        </is>
      </c>
      <c r="E2288" t="inlineStr">
        <is>
          <t>SKELLEFTEÅ</t>
        </is>
      </c>
      <c r="F2288" t="inlineStr">
        <is>
          <t>Holmen skog AB</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39544-2023</t>
        </is>
      </c>
      <c r="B2289" s="1" t="n">
        <v>45167</v>
      </c>
      <c r="C2289" s="1" t="n">
        <v>45807</v>
      </c>
      <c r="D2289" t="inlineStr">
        <is>
          <t>VÄSTERBOTTENS LÄN</t>
        </is>
      </c>
      <c r="E2289" t="inlineStr">
        <is>
          <t>SKELLEFTEÅ</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39846-2023</t>
        </is>
      </c>
      <c r="B2290" s="1" t="n">
        <v>45168</v>
      </c>
      <c r="C2290" s="1" t="n">
        <v>45807</v>
      </c>
      <c r="D2290" t="inlineStr">
        <is>
          <t>VÄSTERBOTTENS LÄN</t>
        </is>
      </c>
      <c r="E2290" t="inlineStr">
        <is>
          <t>SKELLEFTEÅ</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40189-2023</t>
        </is>
      </c>
      <c r="B2291" s="1" t="n">
        <v>45169</v>
      </c>
      <c r="C2291" s="1" t="n">
        <v>45807</v>
      </c>
      <c r="D2291" t="inlineStr">
        <is>
          <t>VÄSTERBOTTENS LÄN</t>
        </is>
      </c>
      <c r="E2291" t="inlineStr">
        <is>
          <t>SKELLEFTEÅ</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40373-2023</t>
        </is>
      </c>
      <c r="B2292" s="1" t="n">
        <v>45169</v>
      </c>
      <c r="C2292" s="1" t="n">
        <v>45807</v>
      </c>
      <c r="D2292" t="inlineStr">
        <is>
          <t>VÄSTERBOTTENS LÄN</t>
        </is>
      </c>
      <c r="E2292" t="inlineStr">
        <is>
          <t>SKELLEFTEÅ</t>
        </is>
      </c>
      <c r="F2292" t="inlineStr">
        <is>
          <t>Sveaskog</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40132-2023</t>
        </is>
      </c>
      <c r="B2293" s="1" t="n">
        <v>45169</v>
      </c>
      <c r="C2293" s="1" t="n">
        <v>45807</v>
      </c>
      <c r="D2293" t="inlineStr">
        <is>
          <t>VÄSTERBOTTENS LÄN</t>
        </is>
      </c>
      <c r="E2293" t="inlineStr">
        <is>
          <t>SKELLEFTEÅ</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40274-2023</t>
        </is>
      </c>
      <c r="B2294" s="1" t="n">
        <v>45169</v>
      </c>
      <c r="C2294" s="1" t="n">
        <v>45807</v>
      </c>
      <c r="D2294" t="inlineStr">
        <is>
          <t>VÄSTERBOTTENS LÄN</t>
        </is>
      </c>
      <c r="E2294" t="inlineStr">
        <is>
          <t>SKELLEFTEÅ</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40393-2023</t>
        </is>
      </c>
      <c r="B2295" s="1" t="n">
        <v>45169</v>
      </c>
      <c r="C2295" s="1" t="n">
        <v>45807</v>
      </c>
      <c r="D2295" t="inlineStr">
        <is>
          <t>VÄSTERBOTTENS LÄN</t>
        </is>
      </c>
      <c r="E2295" t="inlineStr">
        <is>
          <t>SKELLEFTEÅ</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40442-2023</t>
        </is>
      </c>
      <c r="B2296" s="1" t="n">
        <v>45170</v>
      </c>
      <c r="C2296" s="1" t="n">
        <v>45807</v>
      </c>
      <c r="D2296" t="inlineStr">
        <is>
          <t>VÄSTERBOTTENS LÄN</t>
        </is>
      </c>
      <c r="E2296" t="inlineStr">
        <is>
          <t>SKELLEFTEÅ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41109-2023</t>
        </is>
      </c>
      <c r="B2297" s="1" t="n">
        <v>45170</v>
      </c>
      <c r="C2297" s="1" t="n">
        <v>45807</v>
      </c>
      <c r="D2297" t="inlineStr">
        <is>
          <t>VÄSTERBOTTENS LÄN</t>
        </is>
      </c>
      <c r="E2297" t="inlineStr">
        <is>
          <t>SKELLEFTEÅ</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41006-2023</t>
        </is>
      </c>
      <c r="B2298" s="1" t="n">
        <v>45173</v>
      </c>
      <c r="C2298" s="1" t="n">
        <v>45807</v>
      </c>
      <c r="D2298" t="inlineStr">
        <is>
          <t>VÄSTERBOTTENS LÄN</t>
        </is>
      </c>
      <c r="E2298" t="inlineStr">
        <is>
          <t>SKELLEFTEÅ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41092-2023</t>
        </is>
      </c>
      <c r="B2299" s="1" t="n">
        <v>45173</v>
      </c>
      <c r="C2299" s="1" t="n">
        <v>45807</v>
      </c>
      <c r="D2299" t="inlineStr">
        <is>
          <t>VÄSTERBOTTENS LÄN</t>
        </is>
      </c>
      <c r="E2299" t="inlineStr">
        <is>
          <t>SKELLEFTEÅ</t>
        </is>
      </c>
      <c r="F2299" t="inlineStr">
        <is>
          <t>Holmen skog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41397-2023</t>
        </is>
      </c>
      <c r="B2300" s="1" t="n">
        <v>45174</v>
      </c>
      <c r="C2300" s="1" t="n">
        <v>45807</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41645-2023</t>
        </is>
      </c>
      <c r="B2301" s="1" t="n">
        <v>45175</v>
      </c>
      <c r="C2301" s="1" t="n">
        <v>45807</v>
      </c>
      <c r="D2301" t="inlineStr">
        <is>
          <t>VÄSTERBOTTENS LÄN</t>
        </is>
      </c>
      <c r="E2301" t="inlineStr">
        <is>
          <t>SKELLEFTEÅ</t>
        </is>
      </c>
      <c r="G2301" t="n">
        <v>26.4</v>
      </c>
      <c r="H2301" t="n">
        <v>0</v>
      </c>
      <c r="I2301" t="n">
        <v>0</v>
      </c>
      <c r="J2301" t="n">
        <v>0</v>
      </c>
      <c r="K2301" t="n">
        <v>0</v>
      </c>
      <c r="L2301" t="n">
        <v>0</v>
      </c>
      <c r="M2301" t="n">
        <v>0</v>
      </c>
      <c r="N2301" t="n">
        <v>0</v>
      </c>
      <c r="O2301" t="n">
        <v>0</v>
      </c>
      <c r="P2301" t="n">
        <v>0</v>
      </c>
      <c r="Q2301" t="n">
        <v>0</v>
      </c>
      <c r="R2301" s="2" t="inlineStr"/>
    </row>
    <row r="2302" ht="15" customHeight="1">
      <c r="A2302" t="inlineStr">
        <is>
          <t>A 41617-2023</t>
        </is>
      </c>
      <c r="B2302" s="1" t="n">
        <v>45175</v>
      </c>
      <c r="C2302" s="1" t="n">
        <v>45807</v>
      </c>
      <c r="D2302" t="inlineStr">
        <is>
          <t>VÄSTERBOTTENS LÄN</t>
        </is>
      </c>
      <c r="E2302" t="inlineStr">
        <is>
          <t>SKELLEFTEÅ</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42329-2023</t>
        </is>
      </c>
      <c r="B2303" s="1" t="n">
        <v>45175</v>
      </c>
      <c r="C2303" s="1" t="n">
        <v>45807</v>
      </c>
      <c r="D2303" t="inlineStr">
        <is>
          <t>VÄSTERBOTTENS LÄN</t>
        </is>
      </c>
      <c r="E2303" t="inlineStr">
        <is>
          <t>SKELLEFTEÅ</t>
        </is>
      </c>
      <c r="F2303" t="inlineStr">
        <is>
          <t>Kyrkan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42433-2023</t>
        </is>
      </c>
      <c r="B2304" s="1" t="n">
        <v>45175</v>
      </c>
      <c r="C2304" s="1" t="n">
        <v>45807</v>
      </c>
      <c r="D2304" t="inlineStr">
        <is>
          <t>VÄSTERBOTTENS LÄN</t>
        </is>
      </c>
      <c r="E2304" t="inlineStr">
        <is>
          <t>SKELLEFTEÅ</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41904-2023</t>
        </is>
      </c>
      <c r="B2305" s="1" t="n">
        <v>45177</v>
      </c>
      <c r="C2305" s="1" t="n">
        <v>45807</v>
      </c>
      <c r="D2305" t="inlineStr">
        <is>
          <t>VÄSTERBOTTENS LÄN</t>
        </is>
      </c>
      <c r="E2305" t="inlineStr">
        <is>
          <t>SKELLEFTEÅ</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42587-2023</t>
        </is>
      </c>
      <c r="B2306" s="1" t="n">
        <v>45176</v>
      </c>
      <c r="C2306" s="1" t="n">
        <v>45807</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42595-2023</t>
        </is>
      </c>
      <c r="B2307" s="1" t="n">
        <v>45176</v>
      </c>
      <c r="C2307" s="1" t="n">
        <v>45807</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42138-2023</t>
        </is>
      </c>
      <c r="B2308" s="1" t="n">
        <v>45177</v>
      </c>
      <c r="C2308" s="1" t="n">
        <v>45807</v>
      </c>
      <c r="D2308" t="inlineStr">
        <is>
          <t>VÄSTERBOTTENS LÄN</t>
        </is>
      </c>
      <c r="E2308" t="inlineStr">
        <is>
          <t>SKELLEFTEÅ</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42822-2023</t>
        </is>
      </c>
      <c r="B2309" s="1" t="n">
        <v>45177</v>
      </c>
      <c r="C2309" s="1" t="n">
        <v>45807</v>
      </c>
      <c r="D2309" t="inlineStr">
        <is>
          <t>VÄSTERBOTTENS LÄN</t>
        </is>
      </c>
      <c r="E2309" t="inlineStr">
        <is>
          <t>SKELLEFTEÅ</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42136-2023</t>
        </is>
      </c>
      <c r="B2310" s="1" t="n">
        <v>45177</v>
      </c>
      <c r="C2310" s="1" t="n">
        <v>45807</v>
      </c>
      <c r="D2310" t="inlineStr">
        <is>
          <t>VÄSTERBOTTENS LÄN</t>
        </is>
      </c>
      <c r="E2310" t="inlineStr">
        <is>
          <t>SKELLEFTEÅ</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42144-2023</t>
        </is>
      </c>
      <c r="B2311" s="1" t="n">
        <v>45177</v>
      </c>
      <c r="C2311" s="1" t="n">
        <v>45807</v>
      </c>
      <c r="D2311" t="inlineStr">
        <is>
          <t>VÄSTERBOTTENS LÄN</t>
        </is>
      </c>
      <c r="E2311" t="inlineStr">
        <is>
          <t>SKELLEFTEÅ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42137-2023</t>
        </is>
      </c>
      <c r="B2312" s="1" t="n">
        <v>45177</v>
      </c>
      <c r="C2312" s="1" t="n">
        <v>45807</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42842-2023</t>
        </is>
      </c>
      <c r="B2313" s="1" t="n">
        <v>45177</v>
      </c>
      <c r="C2313" s="1" t="n">
        <v>45807</v>
      </c>
      <c r="D2313" t="inlineStr">
        <is>
          <t>VÄSTERBOTTENS LÄN</t>
        </is>
      </c>
      <c r="E2313" t="inlineStr">
        <is>
          <t>SKELLEFTEÅ</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42421-2023</t>
        </is>
      </c>
      <c r="B2314" s="1" t="n">
        <v>45180</v>
      </c>
      <c r="C2314" s="1" t="n">
        <v>45807</v>
      </c>
      <c r="D2314" t="inlineStr">
        <is>
          <t>VÄSTERBOTTENS LÄN</t>
        </is>
      </c>
      <c r="E2314" t="inlineStr">
        <is>
          <t>SKELLEFTEÅ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42982-2023</t>
        </is>
      </c>
      <c r="B2315" s="1" t="n">
        <v>45180</v>
      </c>
      <c r="C2315" s="1" t="n">
        <v>45807</v>
      </c>
      <c r="D2315" t="inlineStr">
        <is>
          <t>VÄSTERBOTTENS LÄN</t>
        </is>
      </c>
      <c r="E2315" t="inlineStr">
        <is>
          <t>SKELLEFTEÅ</t>
        </is>
      </c>
      <c r="G2315" t="n">
        <v>11.2</v>
      </c>
      <c r="H2315" t="n">
        <v>0</v>
      </c>
      <c r="I2315" t="n">
        <v>0</v>
      </c>
      <c r="J2315" t="n">
        <v>0</v>
      </c>
      <c r="K2315" t="n">
        <v>0</v>
      </c>
      <c r="L2315" t="n">
        <v>0</v>
      </c>
      <c r="M2315" t="n">
        <v>0</v>
      </c>
      <c r="N2315" t="n">
        <v>0</v>
      </c>
      <c r="O2315" t="n">
        <v>0</v>
      </c>
      <c r="P2315" t="n">
        <v>0</v>
      </c>
      <c r="Q2315" t="n">
        <v>0</v>
      </c>
      <c r="R2315" s="2" t="inlineStr"/>
    </row>
    <row r="2316" ht="15" customHeight="1">
      <c r="A2316" t="inlineStr">
        <is>
          <t>A 43060-2023</t>
        </is>
      </c>
      <c r="B2316" s="1" t="n">
        <v>45180</v>
      </c>
      <c r="C2316" s="1" t="n">
        <v>45807</v>
      </c>
      <c r="D2316" t="inlineStr">
        <is>
          <t>VÄSTERBOTTENS LÄN</t>
        </is>
      </c>
      <c r="E2316" t="inlineStr">
        <is>
          <t>SKELLEFTEÅ</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43568-2023</t>
        </is>
      </c>
      <c r="B2317" s="1" t="n">
        <v>45181</v>
      </c>
      <c r="C2317" s="1" t="n">
        <v>45807</v>
      </c>
      <c r="D2317" t="inlineStr">
        <is>
          <t>VÄSTERBOTTENS LÄN</t>
        </is>
      </c>
      <c r="E2317" t="inlineStr">
        <is>
          <t>SKELLEFTEÅ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43563-2023</t>
        </is>
      </c>
      <c r="B2318" s="1" t="n">
        <v>45181</v>
      </c>
      <c r="C2318" s="1" t="n">
        <v>45807</v>
      </c>
      <c r="D2318" t="inlineStr">
        <is>
          <t>VÄSTERBOTTENS LÄN</t>
        </is>
      </c>
      <c r="E2318" t="inlineStr">
        <is>
          <t>SKELLEFTEÅ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43598-2023</t>
        </is>
      </c>
      <c r="B2319" s="1" t="n">
        <v>45181</v>
      </c>
      <c r="C2319" s="1" t="n">
        <v>45807</v>
      </c>
      <c r="D2319" t="inlineStr">
        <is>
          <t>VÄSTERBOTTENS LÄN</t>
        </is>
      </c>
      <c r="E2319" t="inlineStr">
        <is>
          <t>SKELLEFTEÅ</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43603-2023</t>
        </is>
      </c>
      <c r="B2320" s="1" t="n">
        <v>45181</v>
      </c>
      <c r="C2320" s="1" t="n">
        <v>45807</v>
      </c>
      <c r="D2320" t="inlineStr">
        <is>
          <t>VÄSTERBOTTENS LÄN</t>
        </is>
      </c>
      <c r="E2320" t="inlineStr">
        <is>
          <t>SKELLEFTEÅ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42640-2023</t>
        </is>
      </c>
      <c r="B2321" s="1" t="n">
        <v>45181</v>
      </c>
      <c r="C2321" s="1" t="n">
        <v>45807</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42650-2023</t>
        </is>
      </c>
      <c r="B2322" s="1" t="n">
        <v>45181</v>
      </c>
      <c r="C2322" s="1" t="n">
        <v>45807</v>
      </c>
      <c r="D2322" t="inlineStr">
        <is>
          <t>VÄSTERBOTTENS LÄN</t>
        </is>
      </c>
      <c r="E2322" t="inlineStr">
        <is>
          <t>SKELLEFTEÅ</t>
        </is>
      </c>
      <c r="F2322" t="inlineStr">
        <is>
          <t>Holmen skog AB</t>
        </is>
      </c>
      <c r="G2322" t="n">
        <v>12.4</v>
      </c>
      <c r="H2322" t="n">
        <v>0</v>
      </c>
      <c r="I2322" t="n">
        <v>0</v>
      </c>
      <c r="J2322" t="n">
        <v>0</v>
      </c>
      <c r="K2322" t="n">
        <v>0</v>
      </c>
      <c r="L2322" t="n">
        <v>0</v>
      </c>
      <c r="M2322" t="n">
        <v>0</v>
      </c>
      <c r="N2322" t="n">
        <v>0</v>
      </c>
      <c r="O2322" t="n">
        <v>0</v>
      </c>
      <c r="P2322" t="n">
        <v>0</v>
      </c>
      <c r="Q2322" t="n">
        <v>0</v>
      </c>
      <c r="R2322" s="2" t="inlineStr"/>
    </row>
    <row r="2323" ht="15" customHeight="1">
      <c r="A2323" t="inlineStr">
        <is>
          <t>A 42787-2023</t>
        </is>
      </c>
      <c r="B2323" s="1" t="n">
        <v>45181</v>
      </c>
      <c r="C2323" s="1" t="n">
        <v>45807</v>
      </c>
      <c r="D2323" t="inlineStr">
        <is>
          <t>VÄSTERBOTTENS LÄN</t>
        </is>
      </c>
      <c r="E2323" t="inlineStr">
        <is>
          <t>SKELLEFTEÅ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42789-2023</t>
        </is>
      </c>
      <c r="B2324" s="1" t="n">
        <v>45181</v>
      </c>
      <c r="C2324" s="1" t="n">
        <v>45807</v>
      </c>
      <c r="D2324" t="inlineStr">
        <is>
          <t>VÄSTERBOTTENS LÄN</t>
        </is>
      </c>
      <c r="E2324" t="inlineStr">
        <is>
          <t>SKELLEFTEÅ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43057-2023</t>
        </is>
      </c>
      <c r="B2325" s="1" t="n">
        <v>45182</v>
      </c>
      <c r="C2325" s="1" t="n">
        <v>45807</v>
      </c>
      <c r="D2325" t="inlineStr">
        <is>
          <t>VÄSTERBOTTENS LÄN</t>
        </is>
      </c>
      <c r="E2325" t="inlineStr">
        <is>
          <t>SKELLEFTEÅ</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43059-2023</t>
        </is>
      </c>
      <c r="B2326" s="1" t="n">
        <v>45182</v>
      </c>
      <c r="C2326" s="1" t="n">
        <v>45807</v>
      </c>
      <c r="D2326" t="inlineStr">
        <is>
          <t>VÄSTERBOTTENS LÄN</t>
        </is>
      </c>
      <c r="E2326" t="inlineStr">
        <is>
          <t>SKELLEFTEÅ</t>
        </is>
      </c>
      <c r="F2326" t="inlineStr">
        <is>
          <t>Sveaskog</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44025-2023</t>
        </is>
      </c>
      <c r="B2327" s="1" t="n">
        <v>45182</v>
      </c>
      <c r="C2327" s="1" t="n">
        <v>45807</v>
      </c>
      <c r="D2327" t="inlineStr">
        <is>
          <t>VÄSTERBOTTENS LÄN</t>
        </is>
      </c>
      <c r="E2327" t="inlineStr">
        <is>
          <t>SKELLEFTEÅ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43435-2023</t>
        </is>
      </c>
      <c r="B2328" s="1" t="n">
        <v>45184</v>
      </c>
      <c r="C2328" s="1" t="n">
        <v>45807</v>
      </c>
      <c r="D2328" t="inlineStr">
        <is>
          <t>VÄSTERBOTTENS LÄN</t>
        </is>
      </c>
      <c r="E2328" t="inlineStr">
        <is>
          <t>SKELLEFTEÅ</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43439-2023</t>
        </is>
      </c>
      <c r="B2329" s="1" t="n">
        <v>45184</v>
      </c>
      <c r="C2329" s="1" t="n">
        <v>45807</v>
      </c>
      <c r="D2329" t="inlineStr">
        <is>
          <t>VÄSTERBOTTENS LÄN</t>
        </is>
      </c>
      <c r="E2329" t="inlineStr">
        <is>
          <t>SKELLEFTEÅ</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43438-2023</t>
        </is>
      </c>
      <c r="B2330" s="1" t="n">
        <v>45184</v>
      </c>
      <c r="C2330" s="1" t="n">
        <v>45807</v>
      </c>
      <c r="D2330" t="inlineStr">
        <is>
          <t>VÄSTERBOTTENS LÄN</t>
        </is>
      </c>
      <c r="E2330" t="inlineStr">
        <is>
          <t>SKELLEFTEÅ</t>
        </is>
      </c>
      <c r="F2330" t="inlineStr">
        <is>
          <t>Holmen skog AB</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43474-2023</t>
        </is>
      </c>
      <c r="B2331" s="1" t="n">
        <v>45184</v>
      </c>
      <c r="C2331" s="1" t="n">
        <v>45807</v>
      </c>
      <c r="D2331" t="inlineStr">
        <is>
          <t>VÄSTERBOTTENS LÄN</t>
        </is>
      </c>
      <c r="E2331" t="inlineStr">
        <is>
          <t>SKELLEFTEÅ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43578-2023</t>
        </is>
      </c>
      <c r="B2332" s="1" t="n">
        <v>45184</v>
      </c>
      <c r="C2332" s="1" t="n">
        <v>45807</v>
      </c>
      <c r="D2332" t="inlineStr">
        <is>
          <t>VÄSTERBOTTENS LÄN</t>
        </is>
      </c>
      <c r="E2332" t="inlineStr">
        <is>
          <t>SKELLEFTEÅ</t>
        </is>
      </c>
      <c r="F2332" t="inlineStr">
        <is>
          <t>Holmen skog AB</t>
        </is>
      </c>
      <c r="G2332" t="n">
        <v>14.7</v>
      </c>
      <c r="H2332" t="n">
        <v>0</v>
      </c>
      <c r="I2332" t="n">
        <v>0</v>
      </c>
      <c r="J2332" t="n">
        <v>0</v>
      </c>
      <c r="K2332" t="n">
        <v>0</v>
      </c>
      <c r="L2332" t="n">
        <v>0</v>
      </c>
      <c r="M2332" t="n">
        <v>0</v>
      </c>
      <c r="N2332" t="n">
        <v>0</v>
      </c>
      <c r="O2332" t="n">
        <v>0</v>
      </c>
      <c r="P2332" t="n">
        <v>0</v>
      </c>
      <c r="Q2332" t="n">
        <v>0</v>
      </c>
      <c r="R2332" s="2" t="inlineStr"/>
    </row>
    <row r="2333" ht="15" customHeight="1">
      <c r="A2333" t="inlineStr">
        <is>
          <t>A 43631-2023</t>
        </is>
      </c>
      <c r="B2333" s="1" t="n">
        <v>45185</v>
      </c>
      <c r="C2333" s="1" t="n">
        <v>45807</v>
      </c>
      <c r="D2333" t="inlineStr">
        <is>
          <t>VÄSTERBOTTENS LÄN</t>
        </is>
      </c>
      <c r="E2333" t="inlineStr">
        <is>
          <t>SKELLEFTEÅ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43751-2023</t>
        </is>
      </c>
      <c r="B2334" s="1" t="n">
        <v>45187</v>
      </c>
      <c r="C2334" s="1" t="n">
        <v>45807</v>
      </c>
      <c r="D2334" t="inlineStr">
        <is>
          <t>VÄSTERBOTTENS LÄN</t>
        </is>
      </c>
      <c r="E2334" t="inlineStr">
        <is>
          <t>SKELLEFTEÅ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43686-2023</t>
        </is>
      </c>
      <c r="B2335" s="1" t="n">
        <v>45187</v>
      </c>
      <c r="C2335" s="1" t="n">
        <v>45807</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45079-2023</t>
        </is>
      </c>
      <c r="B2336" s="1" t="n">
        <v>45187</v>
      </c>
      <c r="C2336" s="1" t="n">
        <v>45807</v>
      </c>
      <c r="D2336" t="inlineStr">
        <is>
          <t>VÄSTERBOTTENS LÄN</t>
        </is>
      </c>
      <c r="E2336" t="inlineStr">
        <is>
          <t>SKELLEFTEÅ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44145-2023</t>
        </is>
      </c>
      <c r="B2337" s="1" t="n">
        <v>45188</v>
      </c>
      <c r="C2337" s="1" t="n">
        <v>45807</v>
      </c>
      <c r="D2337" t="inlineStr">
        <is>
          <t>VÄSTERBOTTENS LÄN</t>
        </is>
      </c>
      <c r="E2337" t="inlineStr">
        <is>
          <t>SKELLEFTEÅ</t>
        </is>
      </c>
      <c r="G2337" t="n">
        <v>15.1</v>
      </c>
      <c r="H2337" t="n">
        <v>0</v>
      </c>
      <c r="I2337" t="n">
        <v>0</v>
      </c>
      <c r="J2337" t="n">
        <v>0</v>
      </c>
      <c r="K2337" t="n">
        <v>0</v>
      </c>
      <c r="L2337" t="n">
        <v>0</v>
      </c>
      <c r="M2337" t="n">
        <v>0</v>
      </c>
      <c r="N2337" t="n">
        <v>0</v>
      </c>
      <c r="O2337" t="n">
        <v>0</v>
      </c>
      <c r="P2337" t="n">
        <v>0</v>
      </c>
      <c r="Q2337" t="n">
        <v>0</v>
      </c>
      <c r="R2337" s="2" t="inlineStr"/>
    </row>
    <row r="2338" ht="15" customHeight="1">
      <c r="A2338" t="inlineStr">
        <is>
          <t>A 44225-2023</t>
        </is>
      </c>
      <c r="B2338" s="1" t="n">
        <v>45188</v>
      </c>
      <c r="C2338" s="1" t="n">
        <v>45807</v>
      </c>
      <c r="D2338" t="inlineStr">
        <is>
          <t>VÄSTERBOTTENS LÄN</t>
        </is>
      </c>
      <c r="E2338" t="inlineStr">
        <is>
          <t>SKELLEFTEÅ</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44078-2023</t>
        </is>
      </c>
      <c r="B2339" s="1" t="n">
        <v>45188</v>
      </c>
      <c r="C2339" s="1" t="n">
        <v>45807</v>
      </c>
      <c r="D2339" t="inlineStr">
        <is>
          <t>VÄSTERBOTTENS LÄN</t>
        </is>
      </c>
      <c r="E2339" t="inlineStr">
        <is>
          <t>SKELLEFTEÅ</t>
        </is>
      </c>
      <c r="F2339" t="inlineStr">
        <is>
          <t>Holmen skog AB</t>
        </is>
      </c>
      <c r="G2339" t="n">
        <v>13.7</v>
      </c>
      <c r="H2339" t="n">
        <v>0</v>
      </c>
      <c r="I2339" t="n">
        <v>0</v>
      </c>
      <c r="J2339" t="n">
        <v>0</v>
      </c>
      <c r="K2339" t="n">
        <v>0</v>
      </c>
      <c r="L2339" t="n">
        <v>0</v>
      </c>
      <c r="M2339" t="n">
        <v>0</v>
      </c>
      <c r="N2339" t="n">
        <v>0</v>
      </c>
      <c r="O2339" t="n">
        <v>0</v>
      </c>
      <c r="P2339" t="n">
        <v>0</v>
      </c>
      <c r="Q2339" t="n">
        <v>0</v>
      </c>
      <c r="R2339" s="2" t="inlineStr"/>
    </row>
    <row r="2340" ht="15" customHeight="1">
      <c r="A2340" t="inlineStr">
        <is>
          <t>A 44250-2023</t>
        </is>
      </c>
      <c r="B2340" s="1" t="n">
        <v>45188</v>
      </c>
      <c r="C2340" s="1" t="n">
        <v>45807</v>
      </c>
      <c r="D2340" t="inlineStr">
        <is>
          <t>VÄSTERBOTTENS LÄN</t>
        </is>
      </c>
      <c r="E2340" t="inlineStr">
        <is>
          <t>SKELLEFTEÅ</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44263-2023</t>
        </is>
      </c>
      <c r="B2341" s="1" t="n">
        <v>45188</v>
      </c>
      <c r="C2341" s="1" t="n">
        <v>45807</v>
      </c>
      <c r="D2341" t="inlineStr">
        <is>
          <t>VÄSTERBOTTENS LÄN</t>
        </is>
      </c>
      <c r="E2341" t="inlineStr">
        <is>
          <t>SKELLEFTEÅ</t>
        </is>
      </c>
      <c r="F2341" t="inlineStr">
        <is>
          <t>Holmen skog AB</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44296-2023</t>
        </is>
      </c>
      <c r="B2342" s="1" t="n">
        <v>45188</v>
      </c>
      <c r="C2342" s="1" t="n">
        <v>45807</v>
      </c>
      <c r="D2342" t="inlineStr">
        <is>
          <t>VÄSTERBOTTENS LÄN</t>
        </is>
      </c>
      <c r="E2342" t="inlineStr">
        <is>
          <t>SKELLEFTEÅ</t>
        </is>
      </c>
      <c r="F2342" t="inlineStr">
        <is>
          <t>Holmen skog AB</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44301-2023</t>
        </is>
      </c>
      <c r="B2343" s="1" t="n">
        <v>45188</v>
      </c>
      <c r="C2343" s="1" t="n">
        <v>45807</v>
      </c>
      <c r="D2343" t="inlineStr">
        <is>
          <t>VÄSTERBOTTENS LÄN</t>
        </is>
      </c>
      <c r="E2343" t="inlineStr">
        <is>
          <t>SKELLEFTEÅ</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44335-2023</t>
        </is>
      </c>
      <c r="B2344" s="1" t="n">
        <v>45188</v>
      </c>
      <c r="C2344" s="1" t="n">
        <v>45807</v>
      </c>
      <c r="D2344" t="inlineStr">
        <is>
          <t>VÄSTERBOTTENS LÄN</t>
        </is>
      </c>
      <c r="E2344" t="inlineStr">
        <is>
          <t>SKELLEFTEÅ</t>
        </is>
      </c>
      <c r="F2344" t="inlineStr">
        <is>
          <t>Holmen skog AB</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45581-2023</t>
        </is>
      </c>
      <c r="B2345" s="1" t="n">
        <v>45188</v>
      </c>
      <c r="C2345" s="1" t="n">
        <v>45807</v>
      </c>
      <c r="D2345" t="inlineStr">
        <is>
          <t>VÄSTERBOTTENS LÄN</t>
        </is>
      </c>
      <c r="E2345" t="inlineStr">
        <is>
          <t>SKELLEFTEÅ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45576-2023</t>
        </is>
      </c>
      <c r="B2346" s="1" t="n">
        <v>45188</v>
      </c>
      <c r="C2346" s="1" t="n">
        <v>45807</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44483-2023</t>
        </is>
      </c>
      <c r="B2347" s="1" t="n">
        <v>45189</v>
      </c>
      <c r="C2347" s="1" t="n">
        <v>45807</v>
      </c>
      <c r="D2347" t="inlineStr">
        <is>
          <t>VÄSTERBOTTENS LÄN</t>
        </is>
      </c>
      <c r="E2347" t="inlineStr">
        <is>
          <t>SKELLEFTEÅ</t>
        </is>
      </c>
      <c r="F2347" t="inlineStr">
        <is>
          <t>Holmen skog AB</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44545-2023</t>
        </is>
      </c>
      <c r="B2348" s="1" t="n">
        <v>45189</v>
      </c>
      <c r="C2348" s="1" t="n">
        <v>45807</v>
      </c>
      <c r="D2348" t="inlineStr">
        <is>
          <t>VÄSTERBOTTENS LÄN</t>
        </is>
      </c>
      <c r="E2348" t="inlineStr">
        <is>
          <t>SKELLEFTEÅ</t>
        </is>
      </c>
      <c r="F2348" t="inlineStr">
        <is>
          <t>Holmen skog AB</t>
        </is>
      </c>
      <c r="G2348" t="n">
        <v>16.9</v>
      </c>
      <c r="H2348" t="n">
        <v>0</v>
      </c>
      <c r="I2348" t="n">
        <v>0</v>
      </c>
      <c r="J2348" t="n">
        <v>0</v>
      </c>
      <c r="K2348" t="n">
        <v>0</v>
      </c>
      <c r="L2348" t="n">
        <v>0</v>
      </c>
      <c r="M2348" t="n">
        <v>0</v>
      </c>
      <c r="N2348" t="n">
        <v>0</v>
      </c>
      <c r="O2348" t="n">
        <v>0</v>
      </c>
      <c r="P2348" t="n">
        <v>0</v>
      </c>
      <c r="Q2348" t="n">
        <v>0</v>
      </c>
      <c r="R2348" s="2" t="inlineStr"/>
    </row>
    <row r="2349" ht="15" customHeight="1">
      <c r="A2349" t="inlineStr">
        <is>
          <t>A 44561-2023</t>
        </is>
      </c>
      <c r="B2349" s="1" t="n">
        <v>45189</v>
      </c>
      <c r="C2349" s="1" t="n">
        <v>45807</v>
      </c>
      <c r="D2349" t="inlineStr">
        <is>
          <t>VÄSTERBOTTENS LÄN</t>
        </is>
      </c>
      <c r="E2349" t="inlineStr">
        <is>
          <t>SKELLEFTEÅ</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45727-2023</t>
        </is>
      </c>
      <c r="B2350" s="1" t="n">
        <v>45189</v>
      </c>
      <c r="C2350" s="1" t="n">
        <v>45807</v>
      </c>
      <c r="D2350" t="inlineStr">
        <is>
          <t>VÄSTERBOTTENS LÄN</t>
        </is>
      </c>
      <c r="E2350" t="inlineStr">
        <is>
          <t>SKELLEFTEÅ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44567-2023</t>
        </is>
      </c>
      <c r="B2351" s="1" t="n">
        <v>45189</v>
      </c>
      <c r="C2351" s="1" t="n">
        <v>45807</v>
      </c>
      <c r="D2351" t="inlineStr">
        <is>
          <t>VÄSTERBOTTENS LÄN</t>
        </is>
      </c>
      <c r="E2351" t="inlineStr">
        <is>
          <t>SKELLEFTEÅ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44745-2023</t>
        </is>
      </c>
      <c r="B2352" s="1" t="n">
        <v>45190</v>
      </c>
      <c r="C2352" s="1" t="n">
        <v>45807</v>
      </c>
      <c r="D2352" t="inlineStr">
        <is>
          <t>VÄSTERBOTTENS LÄN</t>
        </is>
      </c>
      <c r="E2352" t="inlineStr">
        <is>
          <t>SKELLEFTEÅ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44912-2023</t>
        </is>
      </c>
      <c r="B2353" s="1" t="n">
        <v>45190</v>
      </c>
      <c r="C2353" s="1" t="n">
        <v>45807</v>
      </c>
      <c r="D2353" t="inlineStr">
        <is>
          <t>VÄSTERBOTTENS LÄN</t>
        </is>
      </c>
      <c r="E2353" t="inlineStr">
        <is>
          <t>SKELLEFTEÅ</t>
        </is>
      </c>
      <c r="F2353" t="inlineStr">
        <is>
          <t>Holmen skog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44959-2023</t>
        </is>
      </c>
      <c r="B2354" s="1" t="n">
        <v>45190</v>
      </c>
      <c r="C2354" s="1" t="n">
        <v>45807</v>
      </c>
      <c r="D2354" t="inlineStr">
        <is>
          <t>VÄSTERBOTTENS LÄN</t>
        </is>
      </c>
      <c r="E2354" t="inlineStr">
        <is>
          <t>SKELLEFTEÅ</t>
        </is>
      </c>
      <c r="F2354" t="inlineStr">
        <is>
          <t>Sveaskog</t>
        </is>
      </c>
      <c r="G2354" t="n">
        <v>15.3</v>
      </c>
      <c r="H2354" t="n">
        <v>0</v>
      </c>
      <c r="I2354" t="n">
        <v>0</v>
      </c>
      <c r="J2354" t="n">
        <v>0</v>
      </c>
      <c r="K2354" t="n">
        <v>0</v>
      </c>
      <c r="L2354" t="n">
        <v>0</v>
      </c>
      <c r="M2354" t="n">
        <v>0</v>
      </c>
      <c r="N2354" t="n">
        <v>0</v>
      </c>
      <c r="O2354" t="n">
        <v>0</v>
      </c>
      <c r="P2354" t="n">
        <v>0</v>
      </c>
      <c r="Q2354" t="n">
        <v>0</v>
      </c>
      <c r="R2354" s="2" t="inlineStr"/>
    </row>
    <row r="2355" ht="15" customHeight="1">
      <c r="A2355" t="inlineStr">
        <is>
          <t>A 44856-2023</t>
        </is>
      </c>
      <c r="B2355" s="1" t="n">
        <v>45190</v>
      </c>
      <c r="C2355" s="1" t="n">
        <v>45807</v>
      </c>
      <c r="D2355" t="inlineStr">
        <is>
          <t>VÄSTERBOTTENS LÄN</t>
        </is>
      </c>
      <c r="E2355" t="inlineStr">
        <is>
          <t>SKELLEFTEÅ</t>
        </is>
      </c>
      <c r="G2355" t="n">
        <v>13.4</v>
      </c>
      <c r="H2355" t="n">
        <v>0</v>
      </c>
      <c r="I2355" t="n">
        <v>0</v>
      </c>
      <c r="J2355" t="n">
        <v>0</v>
      </c>
      <c r="K2355" t="n">
        <v>0</v>
      </c>
      <c r="L2355" t="n">
        <v>0</v>
      </c>
      <c r="M2355" t="n">
        <v>0</v>
      </c>
      <c r="N2355" t="n">
        <v>0</v>
      </c>
      <c r="O2355" t="n">
        <v>0</v>
      </c>
      <c r="P2355" t="n">
        <v>0</v>
      </c>
      <c r="Q2355" t="n">
        <v>0</v>
      </c>
      <c r="R2355" s="2" t="inlineStr"/>
    </row>
    <row r="2356" ht="15" customHeight="1">
      <c r="A2356" t="inlineStr">
        <is>
          <t>A 44872-2023</t>
        </is>
      </c>
      <c r="B2356" s="1" t="n">
        <v>45190</v>
      </c>
      <c r="C2356" s="1" t="n">
        <v>45807</v>
      </c>
      <c r="D2356" t="inlineStr">
        <is>
          <t>VÄSTERBOTTENS LÄN</t>
        </is>
      </c>
      <c r="E2356" t="inlineStr">
        <is>
          <t>SKELLEFTEÅ</t>
        </is>
      </c>
      <c r="F2356" t="inlineStr">
        <is>
          <t>Holmen skog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44877-2023</t>
        </is>
      </c>
      <c r="B2357" s="1" t="n">
        <v>45190</v>
      </c>
      <c r="C2357" s="1" t="n">
        <v>45807</v>
      </c>
      <c r="D2357" t="inlineStr">
        <is>
          <t>VÄSTERBOTTENS LÄN</t>
        </is>
      </c>
      <c r="E2357" t="inlineStr">
        <is>
          <t>SKELLEFTEÅ</t>
        </is>
      </c>
      <c r="F2357" t="inlineStr">
        <is>
          <t>Holmen skog AB</t>
        </is>
      </c>
      <c r="G2357" t="n">
        <v>11.8</v>
      </c>
      <c r="H2357" t="n">
        <v>0</v>
      </c>
      <c r="I2357" t="n">
        <v>0</v>
      </c>
      <c r="J2357" t="n">
        <v>0</v>
      </c>
      <c r="K2357" t="n">
        <v>0</v>
      </c>
      <c r="L2357" t="n">
        <v>0</v>
      </c>
      <c r="M2357" t="n">
        <v>0</v>
      </c>
      <c r="N2357" t="n">
        <v>0</v>
      </c>
      <c r="O2357" t="n">
        <v>0</v>
      </c>
      <c r="P2357" t="n">
        <v>0</v>
      </c>
      <c r="Q2357" t="n">
        <v>0</v>
      </c>
      <c r="R2357" s="2" t="inlineStr"/>
    </row>
    <row r="2358" ht="15" customHeight="1">
      <c r="A2358" t="inlineStr">
        <is>
          <t>A 44775-2023</t>
        </is>
      </c>
      <c r="B2358" s="1" t="n">
        <v>45190</v>
      </c>
      <c r="C2358" s="1" t="n">
        <v>45807</v>
      </c>
      <c r="D2358" t="inlineStr">
        <is>
          <t>VÄSTERBOTTENS LÄN</t>
        </is>
      </c>
      <c r="E2358" t="inlineStr">
        <is>
          <t>SKELLEFTEÅ</t>
        </is>
      </c>
      <c r="F2358" t="inlineStr">
        <is>
          <t>Sveaskog</t>
        </is>
      </c>
      <c r="G2358" t="n">
        <v>20.4</v>
      </c>
      <c r="H2358" t="n">
        <v>0</v>
      </c>
      <c r="I2358" t="n">
        <v>0</v>
      </c>
      <c r="J2358" t="n">
        <v>0</v>
      </c>
      <c r="K2358" t="n">
        <v>0</v>
      </c>
      <c r="L2358" t="n">
        <v>0</v>
      </c>
      <c r="M2358" t="n">
        <v>0</v>
      </c>
      <c r="N2358" t="n">
        <v>0</v>
      </c>
      <c r="O2358" t="n">
        <v>0</v>
      </c>
      <c r="P2358" t="n">
        <v>0</v>
      </c>
      <c r="Q2358" t="n">
        <v>0</v>
      </c>
      <c r="R2358" s="2" t="inlineStr"/>
    </row>
    <row r="2359" ht="15" customHeight="1">
      <c r="A2359" t="inlineStr">
        <is>
          <t>A 44825-2023</t>
        </is>
      </c>
      <c r="B2359" s="1" t="n">
        <v>45190</v>
      </c>
      <c r="C2359" s="1" t="n">
        <v>45807</v>
      </c>
      <c r="D2359" t="inlineStr">
        <is>
          <t>VÄSTERBOTTENS LÄN</t>
        </is>
      </c>
      <c r="E2359" t="inlineStr">
        <is>
          <t>SKELLEFTEÅ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46191-2023</t>
        </is>
      </c>
      <c r="B2360" s="1" t="n">
        <v>45190</v>
      </c>
      <c r="C2360" s="1" t="n">
        <v>45807</v>
      </c>
      <c r="D2360" t="inlineStr">
        <is>
          <t>VÄSTERBOTTENS LÄN</t>
        </is>
      </c>
      <c r="E2360" t="inlineStr">
        <is>
          <t>SKELLEFTEÅ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46084-2023</t>
        </is>
      </c>
      <c r="B2361" s="1" t="n">
        <v>45190</v>
      </c>
      <c r="C2361" s="1" t="n">
        <v>45807</v>
      </c>
      <c r="D2361" t="inlineStr">
        <is>
          <t>VÄSTERBOTTENS LÄN</t>
        </is>
      </c>
      <c r="E2361" t="inlineStr">
        <is>
          <t>SKELLEFTEÅ</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46107-2023</t>
        </is>
      </c>
      <c r="B2362" s="1" t="n">
        <v>45190</v>
      </c>
      <c r="C2362" s="1" t="n">
        <v>45807</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45039-2023</t>
        </is>
      </c>
      <c r="B2363" s="1" t="n">
        <v>45191</v>
      </c>
      <c r="C2363" s="1" t="n">
        <v>45807</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46302-2023</t>
        </is>
      </c>
      <c r="B2364" s="1" t="n">
        <v>45191</v>
      </c>
      <c r="C2364" s="1" t="n">
        <v>45807</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45552-2023</t>
        </is>
      </c>
      <c r="B2365" s="1" t="n">
        <v>45194</v>
      </c>
      <c r="C2365" s="1" t="n">
        <v>45807</v>
      </c>
      <c r="D2365" t="inlineStr">
        <is>
          <t>VÄSTERBOTTENS LÄN</t>
        </is>
      </c>
      <c r="E2365" t="inlineStr">
        <is>
          <t>SKELLEFTEÅ</t>
        </is>
      </c>
      <c r="G2365" t="n">
        <v>18.3</v>
      </c>
      <c r="H2365" t="n">
        <v>0</v>
      </c>
      <c r="I2365" t="n">
        <v>0</v>
      </c>
      <c r="J2365" t="n">
        <v>0</v>
      </c>
      <c r="K2365" t="n">
        <v>0</v>
      </c>
      <c r="L2365" t="n">
        <v>0</v>
      </c>
      <c r="M2365" t="n">
        <v>0</v>
      </c>
      <c r="N2365" t="n">
        <v>0</v>
      </c>
      <c r="O2365" t="n">
        <v>0</v>
      </c>
      <c r="P2365" t="n">
        <v>0</v>
      </c>
      <c r="Q2365" t="n">
        <v>0</v>
      </c>
      <c r="R2365" s="2" t="inlineStr"/>
    </row>
    <row r="2366" ht="15" customHeight="1">
      <c r="A2366" t="inlineStr">
        <is>
          <t>A 46504-2023</t>
        </is>
      </c>
      <c r="B2366" s="1" t="n">
        <v>45194</v>
      </c>
      <c r="C2366" s="1" t="n">
        <v>45807</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45498-2023</t>
        </is>
      </c>
      <c r="B2367" s="1" t="n">
        <v>45194</v>
      </c>
      <c r="C2367" s="1" t="n">
        <v>45807</v>
      </c>
      <c r="D2367" t="inlineStr">
        <is>
          <t>VÄSTERBOTTENS LÄN</t>
        </is>
      </c>
      <c r="E2367" t="inlineStr">
        <is>
          <t>SKELLEFTEÅ</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46492-2023</t>
        </is>
      </c>
      <c r="B2368" s="1" t="n">
        <v>45194</v>
      </c>
      <c r="C2368" s="1" t="n">
        <v>45807</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46440-2023</t>
        </is>
      </c>
      <c r="B2369" s="1" t="n">
        <v>45197</v>
      </c>
      <c r="C2369" s="1" t="n">
        <v>45807</v>
      </c>
      <c r="D2369" t="inlineStr">
        <is>
          <t>VÄSTERBOTTENS LÄN</t>
        </is>
      </c>
      <c r="E2369" t="inlineStr">
        <is>
          <t>SKELLEFTEÅ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46540-2023</t>
        </is>
      </c>
      <c r="B2370" s="1" t="n">
        <v>45198</v>
      </c>
      <c r="C2370" s="1" t="n">
        <v>45807</v>
      </c>
      <c r="D2370" t="inlineStr">
        <is>
          <t>VÄSTERBOTTENS LÄN</t>
        </is>
      </c>
      <c r="E2370" t="inlineStr">
        <is>
          <t>SKELLEFTEÅ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46539-2023</t>
        </is>
      </c>
      <c r="B2371" s="1" t="n">
        <v>45198</v>
      </c>
      <c r="C2371" s="1" t="n">
        <v>45807</v>
      </c>
      <c r="D2371" t="inlineStr">
        <is>
          <t>VÄSTERBOTTENS LÄN</t>
        </is>
      </c>
      <c r="E2371" t="inlineStr">
        <is>
          <t>SKELLEFTEÅ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46541-2023</t>
        </is>
      </c>
      <c r="B2372" s="1" t="n">
        <v>45198</v>
      </c>
      <c r="C2372" s="1" t="n">
        <v>45807</v>
      </c>
      <c r="D2372" t="inlineStr">
        <is>
          <t>VÄSTERBOTTENS LÄN</t>
        </is>
      </c>
      <c r="E2372" t="inlineStr">
        <is>
          <t>SKELLEFTEÅ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46448-2023</t>
        </is>
      </c>
      <c r="B2373" s="1" t="n">
        <v>45197</v>
      </c>
      <c r="C2373" s="1" t="n">
        <v>45807</v>
      </c>
      <c r="D2373" t="inlineStr">
        <is>
          <t>VÄSTERBOTTENS LÄN</t>
        </is>
      </c>
      <c r="E2373" t="inlineStr">
        <is>
          <t>SKELLEFTEÅ</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46538-2023</t>
        </is>
      </c>
      <c r="B2374" s="1" t="n">
        <v>45198</v>
      </c>
      <c r="C2374" s="1" t="n">
        <v>45807</v>
      </c>
      <c r="D2374" t="inlineStr">
        <is>
          <t>VÄSTERBOTTENS LÄN</t>
        </is>
      </c>
      <c r="E2374" t="inlineStr">
        <is>
          <t>SKELLEFTEÅ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47447-2023</t>
        </is>
      </c>
      <c r="B2375" s="1" t="n">
        <v>45197</v>
      </c>
      <c r="C2375" s="1" t="n">
        <v>45807</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46584-2023</t>
        </is>
      </c>
      <c r="B2376" s="1" t="n">
        <v>45198</v>
      </c>
      <c r="C2376" s="1" t="n">
        <v>45807</v>
      </c>
      <c r="D2376" t="inlineStr">
        <is>
          <t>VÄSTERBOTTENS LÄN</t>
        </is>
      </c>
      <c r="E2376" t="inlineStr">
        <is>
          <t>SKELLEFTEÅ</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46590-2023</t>
        </is>
      </c>
      <c r="B2377" s="1" t="n">
        <v>45198</v>
      </c>
      <c r="C2377" s="1" t="n">
        <v>45807</v>
      </c>
      <c r="D2377" t="inlineStr">
        <is>
          <t>VÄSTERBOTTENS LÄN</t>
        </is>
      </c>
      <c r="E2377" t="inlineStr">
        <is>
          <t>SKELLEFTEÅ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47924-2023</t>
        </is>
      </c>
      <c r="B2378" s="1" t="n">
        <v>45198</v>
      </c>
      <c r="C2378" s="1" t="n">
        <v>45807</v>
      </c>
      <c r="D2378" t="inlineStr">
        <is>
          <t>VÄSTERBOTTENS LÄN</t>
        </is>
      </c>
      <c r="E2378" t="inlineStr">
        <is>
          <t>SKELLEFTEÅ</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47923-2023</t>
        </is>
      </c>
      <c r="B2379" s="1" t="n">
        <v>45198</v>
      </c>
      <c r="C2379" s="1" t="n">
        <v>45807</v>
      </c>
      <c r="D2379" t="inlineStr">
        <is>
          <t>VÄSTERBOTTENS LÄN</t>
        </is>
      </c>
      <c r="E2379" t="inlineStr">
        <is>
          <t>SKELLEFTEÅ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47925-2023</t>
        </is>
      </c>
      <c r="B2380" s="1" t="n">
        <v>45198</v>
      </c>
      <c r="C2380" s="1" t="n">
        <v>45807</v>
      </c>
      <c r="D2380" t="inlineStr">
        <is>
          <t>VÄSTERBOTTENS LÄN</t>
        </is>
      </c>
      <c r="E2380" t="inlineStr">
        <is>
          <t>SKELLEFTEÅ</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47155-2023</t>
        </is>
      </c>
      <c r="B2381" s="1" t="n">
        <v>45202</v>
      </c>
      <c r="C2381" s="1" t="n">
        <v>45807</v>
      </c>
      <c r="D2381" t="inlineStr">
        <is>
          <t>VÄSTERBOTTENS LÄN</t>
        </is>
      </c>
      <c r="E2381" t="inlineStr">
        <is>
          <t>SKELLEFTEÅ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47154-2023</t>
        </is>
      </c>
      <c r="B2382" s="1" t="n">
        <v>45202</v>
      </c>
      <c r="C2382" s="1" t="n">
        <v>45807</v>
      </c>
      <c r="D2382" t="inlineStr">
        <is>
          <t>VÄSTERBOTTENS LÄN</t>
        </is>
      </c>
      <c r="E2382" t="inlineStr">
        <is>
          <t>SKELLEFTEÅ</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47139-2023</t>
        </is>
      </c>
      <c r="B2383" s="1" t="n">
        <v>45201</v>
      </c>
      <c r="C2383" s="1" t="n">
        <v>45807</v>
      </c>
      <c r="D2383" t="inlineStr">
        <is>
          <t>VÄSTERBOTTENS LÄN</t>
        </is>
      </c>
      <c r="E2383" t="inlineStr">
        <is>
          <t>SKELLEFTEÅ</t>
        </is>
      </c>
      <c r="F2383" t="inlineStr">
        <is>
          <t>Sveaskog</t>
        </is>
      </c>
      <c r="G2383" t="n">
        <v>11.3</v>
      </c>
      <c r="H2383" t="n">
        <v>0</v>
      </c>
      <c r="I2383" t="n">
        <v>0</v>
      </c>
      <c r="J2383" t="n">
        <v>0</v>
      </c>
      <c r="K2383" t="n">
        <v>0</v>
      </c>
      <c r="L2383" t="n">
        <v>0</v>
      </c>
      <c r="M2383" t="n">
        <v>0</v>
      </c>
      <c r="N2383" t="n">
        <v>0</v>
      </c>
      <c r="O2383" t="n">
        <v>0</v>
      </c>
      <c r="P2383" t="n">
        <v>0</v>
      </c>
      <c r="Q2383" t="n">
        <v>0</v>
      </c>
      <c r="R2383" s="2" t="inlineStr"/>
    </row>
    <row r="2384" ht="15" customHeight="1">
      <c r="A2384" t="inlineStr">
        <is>
          <t>A 46965-2023</t>
        </is>
      </c>
      <c r="B2384" s="1" t="n">
        <v>45201</v>
      </c>
      <c r="C2384" s="1" t="n">
        <v>45807</v>
      </c>
      <c r="D2384" t="inlineStr">
        <is>
          <t>VÄSTERBOTTENS LÄN</t>
        </is>
      </c>
      <c r="E2384" t="inlineStr">
        <is>
          <t>SKELLEFTEÅ</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48392-2023</t>
        </is>
      </c>
      <c r="B2385" s="1" t="n">
        <v>45201</v>
      </c>
      <c r="C2385" s="1" t="n">
        <v>45807</v>
      </c>
      <c r="D2385" t="inlineStr">
        <is>
          <t>VÄSTERBOTTENS LÄN</t>
        </is>
      </c>
      <c r="E2385" t="inlineStr">
        <is>
          <t>SKELLEFTEÅ</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48394-2023</t>
        </is>
      </c>
      <c r="B2386" s="1" t="n">
        <v>45201</v>
      </c>
      <c r="C2386" s="1" t="n">
        <v>45807</v>
      </c>
      <c r="D2386" t="inlineStr">
        <is>
          <t>VÄSTERBOTTENS LÄN</t>
        </is>
      </c>
      <c r="E2386" t="inlineStr">
        <is>
          <t>SKELLEFTEÅ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47312-2023</t>
        </is>
      </c>
      <c r="B2387" s="1" t="n">
        <v>45202</v>
      </c>
      <c r="C2387" s="1" t="n">
        <v>45807</v>
      </c>
      <c r="D2387" t="inlineStr">
        <is>
          <t>VÄSTERBOTTENS LÄN</t>
        </is>
      </c>
      <c r="E2387" t="inlineStr">
        <is>
          <t>SKELLEFTEÅ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47406-2023</t>
        </is>
      </c>
      <c r="B2388" s="1" t="n">
        <v>45202</v>
      </c>
      <c r="C2388" s="1" t="n">
        <v>45807</v>
      </c>
      <c r="D2388" t="inlineStr">
        <is>
          <t>VÄSTERBOTTENS LÄN</t>
        </is>
      </c>
      <c r="E2388" t="inlineStr">
        <is>
          <t>SKELLEFTEÅ</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47468-2023</t>
        </is>
      </c>
      <c r="B2389" s="1" t="n">
        <v>45202</v>
      </c>
      <c r="C2389" s="1" t="n">
        <v>45807</v>
      </c>
      <c r="D2389" t="inlineStr">
        <is>
          <t>VÄSTERBOTTENS LÄN</t>
        </is>
      </c>
      <c r="E2389" t="inlineStr">
        <is>
          <t>SKELLEFTEÅ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47716-2023</t>
        </is>
      </c>
      <c r="B2390" s="1" t="n">
        <v>45203</v>
      </c>
      <c r="C2390" s="1" t="n">
        <v>45807</v>
      </c>
      <c r="D2390" t="inlineStr">
        <is>
          <t>VÄSTERBOTTENS LÄN</t>
        </is>
      </c>
      <c r="E2390" t="inlineStr">
        <is>
          <t>SKELLEFTEÅ</t>
        </is>
      </c>
      <c r="G2390" t="n">
        <v>9.699999999999999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47531-2023</t>
        </is>
      </c>
      <c r="B2391" s="1" t="n">
        <v>45203</v>
      </c>
      <c r="C2391" s="1" t="n">
        <v>45807</v>
      </c>
      <c r="D2391" t="inlineStr">
        <is>
          <t>VÄSTERBOTTENS LÄN</t>
        </is>
      </c>
      <c r="E2391" t="inlineStr">
        <is>
          <t>SKELLEFTEÅ</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47534-2023</t>
        </is>
      </c>
      <c r="B2392" s="1" t="n">
        <v>45203</v>
      </c>
      <c r="C2392" s="1" t="n">
        <v>45807</v>
      </c>
      <c r="D2392" t="inlineStr">
        <is>
          <t>VÄSTERBOTTENS LÄN</t>
        </is>
      </c>
      <c r="E2392" t="inlineStr">
        <is>
          <t>SKELLEFTEÅ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47910-2023</t>
        </is>
      </c>
      <c r="B2393" s="1" t="n">
        <v>45204</v>
      </c>
      <c r="C2393" s="1" t="n">
        <v>45807</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48062-2023</t>
        </is>
      </c>
      <c r="B2394" s="1" t="n">
        <v>45205</v>
      </c>
      <c r="C2394" s="1" t="n">
        <v>45807</v>
      </c>
      <c r="D2394" t="inlineStr">
        <is>
          <t>VÄSTERBOTTENS LÄN</t>
        </is>
      </c>
      <c r="E2394" t="inlineStr">
        <is>
          <t>SKELLEFTEÅ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48160-2023</t>
        </is>
      </c>
      <c r="B2395" s="1" t="n">
        <v>45205</v>
      </c>
      <c r="C2395" s="1" t="n">
        <v>45807</v>
      </c>
      <c r="D2395" t="inlineStr">
        <is>
          <t>VÄSTERBOTTENS LÄN</t>
        </is>
      </c>
      <c r="E2395" t="inlineStr">
        <is>
          <t>SKELLEFTEÅ</t>
        </is>
      </c>
      <c r="G2395" t="n">
        <v>18.8</v>
      </c>
      <c r="H2395" t="n">
        <v>0</v>
      </c>
      <c r="I2395" t="n">
        <v>0</v>
      </c>
      <c r="J2395" t="n">
        <v>0</v>
      </c>
      <c r="K2395" t="n">
        <v>0</v>
      </c>
      <c r="L2395" t="n">
        <v>0</v>
      </c>
      <c r="M2395" t="n">
        <v>0</v>
      </c>
      <c r="N2395" t="n">
        <v>0</v>
      </c>
      <c r="O2395" t="n">
        <v>0</v>
      </c>
      <c r="P2395" t="n">
        <v>0</v>
      </c>
      <c r="Q2395" t="n">
        <v>0</v>
      </c>
      <c r="R2395" s="2" t="inlineStr"/>
    </row>
    <row r="2396" ht="15" customHeight="1">
      <c r="A2396" t="inlineStr">
        <is>
          <t>A 48316-2023</t>
        </is>
      </c>
      <c r="B2396" s="1" t="n">
        <v>45205</v>
      </c>
      <c r="C2396" s="1" t="n">
        <v>45807</v>
      </c>
      <c r="D2396" t="inlineStr">
        <is>
          <t>VÄSTERBOTTENS LÄN</t>
        </is>
      </c>
      <c r="E2396" t="inlineStr">
        <is>
          <t>SKELLEFTEÅ</t>
        </is>
      </c>
      <c r="F2396" t="inlineStr">
        <is>
          <t>Holmen skog AB</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48264-2023</t>
        </is>
      </c>
      <c r="B2397" s="1" t="n">
        <v>45205</v>
      </c>
      <c r="C2397" s="1" t="n">
        <v>45807</v>
      </c>
      <c r="D2397" t="inlineStr">
        <is>
          <t>VÄSTERBOTTENS LÄN</t>
        </is>
      </c>
      <c r="E2397" t="inlineStr">
        <is>
          <t>SKELLEFTEÅ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48361-2023</t>
        </is>
      </c>
      <c r="B2398" s="1" t="n">
        <v>45205</v>
      </c>
      <c r="C2398" s="1" t="n">
        <v>45807</v>
      </c>
      <c r="D2398" t="inlineStr">
        <is>
          <t>VÄSTERBOTTENS LÄN</t>
        </is>
      </c>
      <c r="E2398" t="inlineStr">
        <is>
          <t>SKELLEFTEÅ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49573-2023</t>
        </is>
      </c>
      <c r="B2399" s="1" t="n">
        <v>45205</v>
      </c>
      <c r="C2399" s="1" t="n">
        <v>45807</v>
      </c>
      <c r="D2399" t="inlineStr">
        <is>
          <t>VÄSTERBOTTENS LÄN</t>
        </is>
      </c>
      <c r="E2399" t="inlineStr">
        <is>
          <t>SKELLEFTEÅ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49587-2023</t>
        </is>
      </c>
      <c r="B2400" s="1" t="n">
        <v>45206</v>
      </c>
      <c r="C2400" s="1" t="n">
        <v>45807</v>
      </c>
      <c r="D2400" t="inlineStr">
        <is>
          <t>VÄSTERBOTTENS LÄN</t>
        </is>
      </c>
      <c r="E2400" t="inlineStr">
        <is>
          <t>SKELLEFTEÅ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49594-2023</t>
        </is>
      </c>
      <c r="B2401" s="1" t="n">
        <v>45206</v>
      </c>
      <c r="C2401" s="1" t="n">
        <v>45807</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48454-2023</t>
        </is>
      </c>
      <c r="B2402" s="1" t="n">
        <v>45206</v>
      </c>
      <c r="C2402" s="1" t="n">
        <v>45807</v>
      </c>
      <c r="D2402" t="inlineStr">
        <is>
          <t>VÄSTERBOTTENS LÄN</t>
        </is>
      </c>
      <c r="E2402" t="inlineStr">
        <is>
          <t>SKELLEFTEÅ</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48501-2023</t>
        </is>
      </c>
      <c r="B2403" s="1" t="n">
        <v>45207</v>
      </c>
      <c r="C2403" s="1" t="n">
        <v>45807</v>
      </c>
      <c r="D2403" t="inlineStr">
        <is>
          <t>VÄSTERBOTTENS LÄN</t>
        </is>
      </c>
      <c r="E2403" t="inlineStr">
        <is>
          <t>SKELLEFTEÅ</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48517-2023</t>
        </is>
      </c>
      <c r="B2404" s="1" t="n">
        <v>45208</v>
      </c>
      <c r="C2404" s="1" t="n">
        <v>45807</v>
      </c>
      <c r="D2404" t="inlineStr">
        <is>
          <t>VÄSTERBOTTENS LÄN</t>
        </is>
      </c>
      <c r="E2404" t="inlineStr">
        <is>
          <t>SKELLEFTEÅ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48518-2023</t>
        </is>
      </c>
      <c r="B2405" s="1" t="n">
        <v>45208</v>
      </c>
      <c r="C2405" s="1" t="n">
        <v>45807</v>
      </c>
      <c r="D2405" t="inlineStr">
        <is>
          <t>VÄSTERBOTTENS LÄN</t>
        </is>
      </c>
      <c r="E2405" t="inlineStr">
        <is>
          <t>SKELLEFTEÅ</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48573-2023</t>
        </is>
      </c>
      <c r="B2406" s="1" t="n">
        <v>45208</v>
      </c>
      <c r="C2406" s="1" t="n">
        <v>45807</v>
      </c>
      <c r="D2406" t="inlineStr">
        <is>
          <t>VÄSTERBOTTENS LÄN</t>
        </is>
      </c>
      <c r="E2406" t="inlineStr">
        <is>
          <t>SKELLEFTEÅ</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48516-2023</t>
        </is>
      </c>
      <c r="B2407" s="1" t="n">
        <v>45208</v>
      </c>
      <c r="C2407" s="1" t="n">
        <v>45807</v>
      </c>
      <c r="D2407" t="inlineStr">
        <is>
          <t>VÄSTERBOTTENS LÄN</t>
        </is>
      </c>
      <c r="E2407" t="inlineStr">
        <is>
          <t>SKELLEFTEÅ</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48802-2023</t>
        </is>
      </c>
      <c r="B2408" s="1" t="n">
        <v>45209</v>
      </c>
      <c r="C2408" s="1" t="n">
        <v>45807</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50185-2023</t>
        </is>
      </c>
      <c r="B2409" s="1" t="n">
        <v>45209</v>
      </c>
      <c r="C2409" s="1" t="n">
        <v>45807</v>
      </c>
      <c r="D2409" t="inlineStr">
        <is>
          <t>VÄSTERBOTTENS LÄN</t>
        </is>
      </c>
      <c r="E2409" t="inlineStr">
        <is>
          <t>SKELLEFTEÅ</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49161-2023</t>
        </is>
      </c>
      <c r="B2410" s="1" t="n">
        <v>45210</v>
      </c>
      <c r="C2410" s="1" t="n">
        <v>45807</v>
      </c>
      <c r="D2410" t="inlineStr">
        <is>
          <t>VÄSTERBOTTENS LÄN</t>
        </is>
      </c>
      <c r="E2410" t="inlineStr">
        <is>
          <t>SKELLEFTEÅ</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49130-2023</t>
        </is>
      </c>
      <c r="B2411" s="1" t="n">
        <v>45210</v>
      </c>
      <c r="C2411" s="1" t="n">
        <v>45807</v>
      </c>
      <c r="D2411" t="inlineStr">
        <is>
          <t>VÄSTERBOTTENS LÄN</t>
        </is>
      </c>
      <c r="E2411" t="inlineStr">
        <is>
          <t>SKELLEFTEÅ</t>
        </is>
      </c>
      <c r="F2411" t="inlineStr">
        <is>
          <t>Holmen skog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49055-2023</t>
        </is>
      </c>
      <c r="B2412" s="1" t="n">
        <v>45210</v>
      </c>
      <c r="C2412" s="1" t="n">
        <v>45807</v>
      </c>
      <c r="D2412" t="inlineStr">
        <is>
          <t>VÄSTERBOTTENS LÄN</t>
        </is>
      </c>
      <c r="E2412" t="inlineStr">
        <is>
          <t>SKELLEFTEÅ</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49241-2023</t>
        </is>
      </c>
      <c r="B2413" s="1" t="n">
        <v>45210</v>
      </c>
      <c r="C2413" s="1" t="n">
        <v>45807</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49243-2023</t>
        </is>
      </c>
      <c r="B2414" s="1" t="n">
        <v>45210</v>
      </c>
      <c r="C2414" s="1" t="n">
        <v>45807</v>
      </c>
      <c r="D2414" t="inlineStr">
        <is>
          <t>VÄSTERBOTTENS LÄN</t>
        </is>
      </c>
      <c r="E2414" t="inlineStr">
        <is>
          <t>SKELLEFTEÅ</t>
        </is>
      </c>
      <c r="F2414" t="inlineStr">
        <is>
          <t>Holmen skog AB</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50378-2023</t>
        </is>
      </c>
      <c r="B2415" s="1" t="n">
        <v>45210</v>
      </c>
      <c r="C2415" s="1" t="n">
        <v>45807</v>
      </c>
      <c r="D2415" t="inlineStr">
        <is>
          <t>VÄSTERBOTTENS LÄN</t>
        </is>
      </c>
      <c r="E2415" t="inlineStr">
        <is>
          <t>SKELLEFTEÅ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49283-2023</t>
        </is>
      </c>
      <c r="B2416" s="1" t="n">
        <v>45210</v>
      </c>
      <c r="C2416" s="1" t="n">
        <v>45807</v>
      </c>
      <c r="D2416" t="inlineStr">
        <is>
          <t>VÄSTERBOTTENS LÄN</t>
        </is>
      </c>
      <c r="E2416" t="inlineStr">
        <is>
          <t>SKELLEFTEÅ</t>
        </is>
      </c>
      <c r="F2416" t="inlineStr">
        <is>
          <t>Holmen skog AB</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49688-2023</t>
        </is>
      </c>
      <c r="B2417" s="1" t="n">
        <v>45212</v>
      </c>
      <c r="C2417" s="1" t="n">
        <v>45807</v>
      </c>
      <c r="D2417" t="inlineStr">
        <is>
          <t>VÄSTERBOTTENS LÄN</t>
        </is>
      </c>
      <c r="E2417" t="inlineStr">
        <is>
          <t>SKELLEFTEÅ</t>
        </is>
      </c>
      <c r="F2417" t="inlineStr">
        <is>
          <t>Holmen skog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49730-2023</t>
        </is>
      </c>
      <c r="B2418" s="1" t="n">
        <v>45212</v>
      </c>
      <c r="C2418" s="1" t="n">
        <v>45807</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49728-2023</t>
        </is>
      </c>
      <c r="B2419" s="1" t="n">
        <v>45212</v>
      </c>
      <c r="C2419" s="1" t="n">
        <v>45807</v>
      </c>
      <c r="D2419" t="inlineStr">
        <is>
          <t>VÄSTERBOTTENS LÄN</t>
        </is>
      </c>
      <c r="E2419" t="inlineStr">
        <is>
          <t>SKELLEFTEÅ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51342-2023</t>
        </is>
      </c>
      <c r="B2420" s="1" t="n">
        <v>45212</v>
      </c>
      <c r="C2420" s="1" t="n">
        <v>45807</v>
      </c>
      <c r="D2420" t="inlineStr">
        <is>
          <t>VÄSTERBOTTENS LÄN</t>
        </is>
      </c>
      <c r="E2420" t="inlineStr">
        <is>
          <t>SKELLEFTEÅ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49901-2023</t>
        </is>
      </c>
      <c r="B2421" s="1" t="n">
        <v>45213</v>
      </c>
      <c r="C2421" s="1" t="n">
        <v>45807</v>
      </c>
      <c r="D2421" t="inlineStr">
        <is>
          <t>VÄSTERBOTTENS LÄN</t>
        </is>
      </c>
      <c r="E2421" t="inlineStr">
        <is>
          <t>SKELLEFTEÅ</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49900-2023</t>
        </is>
      </c>
      <c r="B2422" s="1" t="n">
        <v>45213</v>
      </c>
      <c r="C2422" s="1" t="n">
        <v>45807</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49949-2023</t>
        </is>
      </c>
      <c r="B2423" s="1" t="n">
        <v>45215</v>
      </c>
      <c r="C2423" s="1" t="n">
        <v>45807</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50081-2023</t>
        </is>
      </c>
      <c r="B2424" s="1" t="n">
        <v>45215</v>
      </c>
      <c r="C2424" s="1" t="n">
        <v>45807</v>
      </c>
      <c r="D2424" t="inlineStr">
        <is>
          <t>VÄSTERBOTTENS LÄN</t>
        </is>
      </c>
      <c r="E2424" t="inlineStr">
        <is>
          <t>SKELLEFTEÅ</t>
        </is>
      </c>
      <c r="F2424" t="inlineStr">
        <is>
          <t>Holmen skog AB</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50108-2023</t>
        </is>
      </c>
      <c r="B2425" s="1" t="n">
        <v>45215</v>
      </c>
      <c r="C2425" s="1" t="n">
        <v>45807</v>
      </c>
      <c r="D2425" t="inlineStr">
        <is>
          <t>VÄSTERBOTTENS LÄN</t>
        </is>
      </c>
      <c r="E2425" t="inlineStr">
        <is>
          <t>SKELLEFTEÅ</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51590-2023</t>
        </is>
      </c>
      <c r="B2426" s="1" t="n">
        <v>45215</v>
      </c>
      <c r="C2426" s="1" t="n">
        <v>45807</v>
      </c>
      <c r="D2426" t="inlineStr">
        <is>
          <t>VÄSTERBOTTENS LÄN</t>
        </is>
      </c>
      <c r="E2426" t="inlineStr">
        <is>
          <t>SKELLEFTEÅ</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51611-2023</t>
        </is>
      </c>
      <c r="B2427" s="1" t="n">
        <v>45215</v>
      </c>
      <c r="C2427" s="1" t="n">
        <v>45807</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51683-2023</t>
        </is>
      </c>
      <c r="B2428" s="1" t="n">
        <v>45215</v>
      </c>
      <c r="C2428" s="1" t="n">
        <v>45807</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51664-2023</t>
        </is>
      </c>
      <c r="B2429" s="1" t="n">
        <v>45215</v>
      </c>
      <c r="C2429" s="1" t="n">
        <v>45807</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50474-2023</t>
        </is>
      </c>
      <c r="B2430" s="1" t="n">
        <v>45217</v>
      </c>
      <c r="C2430" s="1" t="n">
        <v>45807</v>
      </c>
      <c r="D2430" t="inlineStr">
        <is>
          <t>VÄSTERBOTTENS LÄN</t>
        </is>
      </c>
      <c r="E2430" t="inlineStr">
        <is>
          <t>SKELLEFTEÅ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50462-2023</t>
        </is>
      </c>
      <c r="B2431" s="1" t="n">
        <v>45216</v>
      </c>
      <c r="C2431" s="1" t="n">
        <v>45807</v>
      </c>
      <c r="D2431" t="inlineStr">
        <is>
          <t>VÄSTERBOTTENS LÄN</t>
        </is>
      </c>
      <c r="E2431" t="inlineStr">
        <is>
          <t>SKELLEFTEÅ</t>
        </is>
      </c>
      <c r="G2431" t="n">
        <v>12.4</v>
      </c>
      <c r="H2431" t="n">
        <v>0</v>
      </c>
      <c r="I2431" t="n">
        <v>0</v>
      </c>
      <c r="J2431" t="n">
        <v>0</v>
      </c>
      <c r="K2431" t="n">
        <v>0</v>
      </c>
      <c r="L2431" t="n">
        <v>0</v>
      </c>
      <c r="M2431" t="n">
        <v>0</v>
      </c>
      <c r="N2431" t="n">
        <v>0</v>
      </c>
      <c r="O2431" t="n">
        <v>0</v>
      </c>
      <c r="P2431" t="n">
        <v>0</v>
      </c>
      <c r="Q2431" t="n">
        <v>0</v>
      </c>
      <c r="R2431" s="2" t="inlineStr"/>
    </row>
    <row r="2432" ht="15" customHeight="1">
      <c r="A2432" t="inlineStr">
        <is>
          <t>A 50477-2023</t>
        </is>
      </c>
      <c r="B2432" s="1" t="n">
        <v>45217</v>
      </c>
      <c r="C2432" s="1" t="n">
        <v>45807</v>
      </c>
      <c r="D2432" t="inlineStr">
        <is>
          <t>VÄSTERBOTTENS LÄN</t>
        </is>
      </c>
      <c r="E2432" t="inlineStr">
        <is>
          <t>SKELLEFTEÅ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50338-2023</t>
        </is>
      </c>
      <c r="B2433" s="1" t="n">
        <v>45216</v>
      </c>
      <c r="C2433" s="1" t="n">
        <v>45807</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52062-2023</t>
        </is>
      </c>
      <c r="B2434" s="1" t="n">
        <v>45216</v>
      </c>
      <c r="C2434" s="1" t="n">
        <v>45807</v>
      </c>
      <c r="D2434" t="inlineStr">
        <is>
          <t>VÄSTERBOTTENS LÄN</t>
        </is>
      </c>
      <c r="E2434" t="inlineStr">
        <is>
          <t>SKELLEFTEÅ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52037-2023</t>
        </is>
      </c>
      <c r="B2435" s="1" t="n">
        <v>45216</v>
      </c>
      <c r="C2435" s="1" t="n">
        <v>45807</v>
      </c>
      <c r="D2435" t="inlineStr">
        <is>
          <t>VÄSTERBOTTENS LÄN</t>
        </is>
      </c>
      <c r="E2435" t="inlineStr">
        <is>
          <t>SKELLEFTEÅ</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51926-2023</t>
        </is>
      </c>
      <c r="B2436" s="1" t="n">
        <v>45216</v>
      </c>
      <c r="C2436" s="1" t="n">
        <v>45807</v>
      </c>
      <c r="D2436" t="inlineStr">
        <is>
          <t>VÄSTERBOTTENS LÄN</t>
        </is>
      </c>
      <c r="E2436" t="inlineStr">
        <is>
          <t>SKELLEFTEÅ</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50475-2023</t>
        </is>
      </c>
      <c r="B2437" s="1" t="n">
        <v>45217</v>
      </c>
      <c r="C2437" s="1" t="n">
        <v>45807</v>
      </c>
      <c r="D2437" t="inlineStr">
        <is>
          <t>VÄSTERBOTTENS LÄN</t>
        </is>
      </c>
      <c r="E2437" t="inlineStr">
        <is>
          <t>SKELLEFTEÅ</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51970-2023</t>
        </is>
      </c>
      <c r="B2438" s="1" t="n">
        <v>45216</v>
      </c>
      <c r="C2438" s="1" t="n">
        <v>45807</v>
      </c>
      <c r="D2438" t="inlineStr">
        <is>
          <t>VÄSTERBOTTENS LÄN</t>
        </is>
      </c>
      <c r="E2438" t="inlineStr">
        <is>
          <t>SKELLEFTEÅ</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51928-2023</t>
        </is>
      </c>
      <c r="B2439" s="1" t="n">
        <v>45216</v>
      </c>
      <c r="C2439" s="1" t="n">
        <v>45807</v>
      </c>
      <c r="D2439" t="inlineStr">
        <is>
          <t>VÄSTERBOTTENS LÄN</t>
        </is>
      </c>
      <c r="E2439" t="inlineStr">
        <is>
          <t>SKELLEFTEÅ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51960-2023</t>
        </is>
      </c>
      <c r="B2440" s="1" t="n">
        <v>45216</v>
      </c>
      <c r="C2440" s="1" t="n">
        <v>45807</v>
      </c>
      <c r="D2440" t="inlineStr">
        <is>
          <t>VÄSTERBOTTENS LÄN</t>
        </is>
      </c>
      <c r="E2440" t="inlineStr">
        <is>
          <t>SKELLEFTEÅ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51963-2023</t>
        </is>
      </c>
      <c r="B2441" s="1" t="n">
        <v>45216</v>
      </c>
      <c r="C2441" s="1" t="n">
        <v>45807</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50488-2023</t>
        </is>
      </c>
      <c r="B2442" s="1" t="n">
        <v>45217</v>
      </c>
      <c r="C2442" s="1" t="n">
        <v>45807</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50476-2023</t>
        </is>
      </c>
      <c r="B2443" s="1" t="n">
        <v>45217</v>
      </c>
      <c r="C2443" s="1" t="n">
        <v>45807</v>
      </c>
      <c r="D2443" t="inlineStr">
        <is>
          <t>VÄSTERBOTTENS LÄN</t>
        </is>
      </c>
      <c r="E2443" t="inlineStr">
        <is>
          <t>SKELLEFTEÅ</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50464-2023</t>
        </is>
      </c>
      <c r="B2444" s="1" t="n">
        <v>45216</v>
      </c>
      <c r="C2444" s="1" t="n">
        <v>45807</v>
      </c>
      <c r="D2444" t="inlineStr">
        <is>
          <t>VÄSTERBOTTENS LÄN</t>
        </is>
      </c>
      <c r="E2444" t="inlineStr">
        <is>
          <t>SKELLEFTEÅ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50549-2023</t>
        </is>
      </c>
      <c r="B2445" s="1" t="n">
        <v>45217</v>
      </c>
      <c r="C2445" s="1" t="n">
        <v>45807</v>
      </c>
      <c r="D2445" t="inlineStr">
        <is>
          <t>VÄSTERBOTTENS LÄN</t>
        </is>
      </c>
      <c r="E2445" t="inlineStr">
        <is>
          <t>SKELLEFTEÅ</t>
        </is>
      </c>
      <c r="F2445" t="inlineStr">
        <is>
          <t>Holmen skog AB</t>
        </is>
      </c>
      <c r="G2445" t="n">
        <v>28.5</v>
      </c>
      <c r="H2445" t="n">
        <v>0</v>
      </c>
      <c r="I2445" t="n">
        <v>0</v>
      </c>
      <c r="J2445" t="n">
        <v>0</v>
      </c>
      <c r="K2445" t="n">
        <v>0</v>
      </c>
      <c r="L2445" t="n">
        <v>0</v>
      </c>
      <c r="M2445" t="n">
        <v>0</v>
      </c>
      <c r="N2445" t="n">
        <v>0</v>
      </c>
      <c r="O2445" t="n">
        <v>0</v>
      </c>
      <c r="P2445" t="n">
        <v>0</v>
      </c>
      <c r="Q2445" t="n">
        <v>0</v>
      </c>
      <c r="R2445" s="2" t="inlineStr"/>
    </row>
    <row r="2446" ht="15" customHeight="1">
      <c r="A2446" t="inlineStr">
        <is>
          <t>A 50821-2023</t>
        </is>
      </c>
      <c r="B2446" s="1" t="n">
        <v>45218</v>
      </c>
      <c r="C2446" s="1" t="n">
        <v>45807</v>
      </c>
      <c r="D2446" t="inlineStr">
        <is>
          <t>VÄSTERBOTTENS LÄN</t>
        </is>
      </c>
      <c r="E2446" t="inlineStr">
        <is>
          <t>SKELLEFTEÅ</t>
        </is>
      </c>
      <c r="G2446" t="n">
        <v>19.3</v>
      </c>
      <c r="H2446" t="n">
        <v>0</v>
      </c>
      <c r="I2446" t="n">
        <v>0</v>
      </c>
      <c r="J2446" t="n">
        <v>0</v>
      </c>
      <c r="K2446" t="n">
        <v>0</v>
      </c>
      <c r="L2446" t="n">
        <v>0</v>
      </c>
      <c r="M2446" t="n">
        <v>0</v>
      </c>
      <c r="N2446" t="n">
        <v>0</v>
      </c>
      <c r="O2446" t="n">
        <v>0</v>
      </c>
      <c r="P2446" t="n">
        <v>0</v>
      </c>
      <c r="Q2446" t="n">
        <v>0</v>
      </c>
      <c r="R2446" s="2" t="inlineStr"/>
    </row>
    <row r="2447" ht="15" customHeight="1">
      <c r="A2447" t="inlineStr">
        <is>
          <t>A 52228-2023</t>
        </is>
      </c>
      <c r="B2447" s="1" t="n">
        <v>45217</v>
      </c>
      <c r="C2447" s="1" t="n">
        <v>45807</v>
      </c>
      <c r="D2447" t="inlineStr">
        <is>
          <t>VÄSTERBOTTENS LÄN</t>
        </is>
      </c>
      <c r="E2447" t="inlineStr">
        <is>
          <t>SKELLEFTEÅ</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52305-2023</t>
        </is>
      </c>
      <c r="B2448" s="1" t="n">
        <v>45217</v>
      </c>
      <c r="C2448" s="1" t="n">
        <v>45807</v>
      </c>
      <c r="D2448" t="inlineStr">
        <is>
          <t>VÄSTERBOTTENS LÄN</t>
        </is>
      </c>
      <c r="E2448" t="inlineStr">
        <is>
          <t>SKELLEFTEÅ</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52300-2023</t>
        </is>
      </c>
      <c r="B2449" s="1" t="n">
        <v>45217</v>
      </c>
      <c r="C2449" s="1" t="n">
        <v>45807</v>
      </c>
      <c r="D2449" t="inlineStr">
        <is>
          <t>VÄSTERBOTTENS LÄN</t>
        </is>
      </c>
      <c r="E2449" t="inlineStr">
        <is>
          <t>SKELLEFTEÅ</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52287-2023</t>
        </is>
      </c>
      <c r="B2450" s="1" t="n">
        <v>45217</v>
      </c>
      <c r="C2450" s="1" t="n">
        <v>45807</v>
      </c>
      <c r="D2450" t="inlineStr">
        <is>
          <t>VÄSTERBOTTENS LÄN</t>
        </is>
      </c>
      <c r="E2450" t="inlineStr">
        <is>
          <t>SKELLEFTEÅ</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52239-2023</t>
        </is>
      </c>
      <c r="B2451" s="1" t="n">
        <v>45217</v>
      </c>
      <c r="C2451" s="1" t="n">
        <v>45807</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52792-2023</t>
        </is>
      </c>
      <c r="B2452" s="1" t="n">
        <v>45219</v>
      </c>
      <c r="C2452" s="1" t="n">
        <v>45807</v>
      </c>
      <c r="D2452" t="inlineStr">
        <is>
          <t>VÄSTERBOTTENS LÄN</t>
        </is>
      </c>
      <c r="E2452" t="inlineStr">
        <is>
          <t>SKELLEFTEÅ</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52809-2023</t>
        </is>
      </c>
      <c r="B2453" s="1" t="n">
        <v>45219</v>
      </c>
      <c r="C2453" s="1" t="n">
        <v>45807</v>
      </c>
      <c r="D2453" t="inlineStr">
        <is>
          <t>VÄSTERBOTTENS LÄN</t>
        </is>
      </c>
      <c r="E2453" t="inlineStr">
        <is>
          <t>SKELLEFTEÅ</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51339-2023</t>
        </is>
      </c>
      <c r="B2454" s="1" t="n">
        <v>45219</v>
      </c>
      <c r="C2454" s="1" t="n">
        <v>45807</v>
      </c>
      <c r="D2454" t="inlineStr">
        <is>
          <t>VÄSTERBOTTENS LÄN</t>
        </is>
      </c>
      <c r="E2454" t="inlineStr">
        <is>
          <t>SKELLEFTEÅ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51396-2023</t>
        </is>
      </c>
      <c r="B2455" s="1" t="n">
        <v>45219</v>
      </c>
      <c r="C2455" s="1" t="n">
        <v>45807</v>
      </c>
      <c r="D2455" t="inlineStr">
        <is>
          <t>VÄSTERBOTTENS LÄN</t>
        </is>
      </c>
      <c r="E2455" t="inlineStr">
        <is>
          <t>SKELLEFTEÅ</t>
        </is>
      </c>
      <c r="F2455" t="inlineStr">
        <is>
          <t>Holmen skog AB</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51418-2023</t>
        </is>
      </c>
      <c r="B2456" s="1" t="n">
        <v>45219</v>
      </c>
      <c r="C2456" s="1" t="n">
        <v>45807</v>
      </c>
      <c r="D2456" t="inlineStr">
        <is>
          <t>VÄSTERBOTTENS LÄN</t>
        </is>
      </c>
      <c r="E2456" t="inlineStr">
        <is>
          <t>SKELLEFTEÅ</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51455-2023</t>
        </is>
      </c>
      <c r="B2457" s="1" t="n">
        <v>45221</v>
      </c>
      <c r="C2457" s="1" t="n">
        <v>45807</v>
      </c>
      <c r="D2457" t="inlineStr">
        <is>
          <t>VÄSTERBOTTENS LÄN</t>
        </is>
      </c>
      <c r="E2457" t="inlineStr">
        <is>
          <t>SKELLEFTEÅ</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51470-2023</t>
        </is>
      </c>
      <c r="B2458" s="1" t="n">
        <v>45221</v>
      </c>
      <c r="C2458" s="1" t="n">
        <v>45807</v>
      </c>
      <c r="D2458" t="inlineStr">
        <is>
          <t>VÄSTERBOTTENS LÄN</t>
        </is>
      </c>
      <c r="E2458" t="inlineStr">
        <is>
          <t>SKELLEFTEÅ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51478-2023</t>
        </is>
      </c>
      <c r="B2459" s="1" t="n">
        <v>45221</v>
      </c>
      <c r="C2459" s="1" t="n">
        <v>45807</v>
      </c>
      <c r="D2459" t="inlineStr">
        <is>
          <t>VÄSTERBOTTENS LÄN</t>
        </is>
      </c>
      <c r="E2459" t="inlineStr">
        <is>
          <t>SKELLEFTEÅ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51526-2023</t>
        </is>
      </c>
      <c r="B2460" s="1" t="n">
        <v>45222</v>
      </c>
      <c r="C2460" s="1" t="n">
        <v>45807</v>
      </c>
      <c r="D2460" t="inlineStr">
        <is>
          <t>VÄSTERBOTTENS LÄN</t>
        </is>
      </c>
      <c r="E2460" t="inlineStr">
        <is>
          <t>SKELLEFTEÅ</t>
        </is>
      </c>
      <c r="F2460" t="inlineStr">
        <is>
          <t>Holmen skog AB</t>
        </is>
      </c>
      <c r="G2460" t="n">
        <v>14.1</v>
      </c>
      <c r="H2460" t="n">
        <v>0</v>
      </c>
      <c r="I2460" t="n">
        <v>0</v>
      </c>
      <c r="J2460" t="n">
        <v>0</v>
      </c>
      <c r="K2460" t="n">
        <v>0</v>
      </c>
      <c r="L2460" t="n">
        <v>0</v>
      </c>
      <c r="M2460" t="n">
        <v>0</v>
      </c>
      <c r="N2460" t="n">
        <v>0</v>
      </c>
      <c r="O2460" t="n">
        <v>0</v>
      </c>
      <c r="P2460" t="n">
        <v>0</v>
      </c>
      <c r="Q2460" t="n">
        <v>0</v>
      </c>
      <c r="R2460" s="2" t="inlineStr"/>
    </row>
    <row r="2461" ht="15" customHeight="1">
      <c r="A2461" t="inlineStr">
        <is>
          <t>A 51644-2023</t>
        </is>
      </c>
      <c r="B2461" s="1" t="n">
        <v>45222</v>
      </c>
      <c r="C2461" s="1" t="n">
        <v>45807</v>
      </c>
      <c r="D2461" t="inlineStr">
        <is>
          <t>VÄSTERBOTTENS LÄN</t>
        </is>
      </c>
      <c r="E2461" t="inlineStr">
        <is>
          <t>SKELLEFTEÅ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51703-2023</t>
        </is>
      </c>
      <c r="B2462" s="1" t="n">
        <v>45222</v>
      </c>
      <c r="C2462" s="1" t="n">
        <v>45807</v>
      </c>
      <c r="D2462" t="inlineStr">
        <is>
          <t>VÄSTERBOTTENS LÄN</t>
        </is>
      </c>
      <c r="E2462" t="inlineStr">
        <is>
          <t>SKELLEFTEÅ</t>
        </is>
      </c>
      <c r="F2462" t="inlineStr">
        <is>
          <t>Kommuner</t>
        </is>
      </c>
      <c r="G2462" t="n">
        <v>8.300000000000001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51667-2023</t>
        </is>
      </c>
      <c r="B2463" s="1" t="n">
        <v>45222</v>
      </c>
      <c r="C2463" s="1" t="n">
        <v>45807</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53215-2023</t>
        </is>
      </c>
      <c r="B2464" s="1" t="n">
        <v>45222</v>
      </c>
      <c r="C2464" s="1" t="n">
        <v>45807</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51502-2023</t>
        </is>
      </c>
      <c r="B2465" s="1" t="n">
        <v>45222</v>
      </c>
      <c r="C2465" s="1" t="n">
        <v>45807</v>
      </c>
      <c r="D2465" t="inlineStr">
        <is>
          <t>VÄSTERBOTTENS LÄN</t>
        </is>
      </c>
      <c r="E2465" t="inlineStr">
        <is>
          <t>SKELLEFTEÅ</t>
        </is>
      </c>
      <c r="F2465" t="inlineStr">
        <is>
          <t>Kommuner</t>
        </is>
      </c>
      <c r="G2465" t="n">
        <v>16.3</v>
      </c>
      <c r="H2465" t="n">
        <v>0</v>
      </c>
      <c r="I2465" t="n">
        <v>0</v>
      </c>
      <c r="J2465" t="n">
        <v>0</v>
      </c>
      <c r="K2465" t="n">
        <v>0</v>
      </c>
      <c r="L2465" t="n">
        <v>0</v>
      </c>
      <c r="M2465" t="n">
        <v>0</v>
      </c>
      <c r="N2465" t="n">
        <v>0</v>
      </c>
      <c r="O2465" t="n">
        <v>0</v>
      </c>
      <c r="P2465" t="n">
        <v>0</v>
      </c>
      <c r="Q2465" t="n">
        <v>0</v>
      </c>
      <c r="R2465" s="2" t="inlineStr"/>
    </row>
    <row r="2466" ht="15" customHeight="1">
      <c r="A2466" t="inlineStr">
        <is>
          <t>A 51507-2023</t>
        </is>
      </c>
      <c r="B2466" s="1" t="n">
        <v>45222</v>
      </c>
      <c r="C2466" s="1" t="n">
        <v>45807</v>
      </c>
      <c r="D2466" t="inlineStr">
        <is>
          <t>VÄSTERBOTTENS LÄN</t>
        </is>
      </c>
      <c r="E2466" t="inlineStr">
        <is>
          <t>SKELLEFTEÅ</t>
        </is>
      </c>
      <c r="F2466" t="inlineStr">
        <is>
          <t>Kommuner</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52107-2023</t>
        </is>
      </c>
      <c r="B2467" s="1" t="n">
        <v>45224</v>
      </c>
      <c r="C2467" s="1" t="n">
        <v>45807</v>
      </c>
      <c r="D2467" t="inlineStr">
        <is>
          <t>VÄSTERBOTTENS LÄN</t>
        </is>
      </c>
      <c r="E2467" t="inlineStr">
        <is>
          <t>SKELLEFTEÅ</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52007-2023</t>
        </is>
      </c>
      <c r="B2468" s="1" t="n">
        <v>45223</v>
      </c>
      <c r="C2468" s="1" t="n">
        <v>45807</v>
      </c>
      <c r="D2468" t="inlineStr">
        <is>
          <t>VÄSTERBOTTENS LÄN</t>
        </is>
      </c>
      <c r="E2468" t="inlineStr">
        <is>
          <t>SKELLEFTEÅ</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52082-2023</t>
        </is>
      </c>
      <c r="B2469" s="1" t="n">
        <v>45223</v>
      </c>
      <c r="C2469" s="1" t="n">
        <v>45807</v>
      </c>
      <c r="D2469" t="inlineStr">
        <is>
          <t>VÄSTERBOTTENS LÄN</t>
        </is>
      </c>
      <c r="E2469" t="inlineStr">
        <is>
          <t>SKELLEFTEÅ</t>
        </is>
      </c>
      <c r="F2469" t="inlineStr">
        <is>
          <t>Sveaskog</t>
        </is>
      </c>
      <c r="G2469" t="n">
        <v>15.5</v>
      </c>
      <c r="H2469" t="n">
        <v>0</v>
      </c>
      <c r="I2469" t="n">
        <v>0</v>
      </c>
      <c r="J2469" t="n">
        <v>0</v>
      </c>
      <c r="K2469" t="n">
        <v>0</v>
      </c>
      <c r="L2469" t="n">
        <v>0</v>
      </c>
      <c r="M2469" t="n">
        <v>0</v>
      </c>
      <c r="N2469" t="n">
        <v>0</v>
      </c>
      <c r="O2469" t="n">
        <v>0</v>
      </c>
      <c r="P2469" t="n">
        <v>0</v>
      </c>
      <c r="Q2469" t="n">
        <v>0</v>
      </c>
      <c r="R2469" s="2" t="inlineStr"/>
    </row>
    <row r="2470" ht="15" customHeight="1">
      <c r="A2470" t="inlineStr">
        <is>
          <t>A 52106-2023</t>
        </is>
      </c>
      <c r="B2470" s="1" t="n">
        <v>45224</v>
      </c>
      <c r="C2470" s="1" t="n">
        <v>45807</v>
      </c>
      <c r="D2470" t="inlineStr">
        <is>
          <t>VÄSTERBOTTENS LÄN</t>
        </is>
      </c>
      <c r="E2470" t="inlineStr">
        <is>
          <t>SKELLEFTEÅ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51958-2023</t>
        </is>
      </c>
      <c r="B2471" s="1" t="n">
        <v>45223</v>
      </c>
      <c r="C2471" s="1" t="n">
        <v>45807</v>
      </c>
      <c r="D2471" t="inlineStr">
        <is>
          <t>VÄSTERBOTTENS LÄN</t>
        </is>
      </c>
      <c r="E2471" t="inlineStr">
        <is>
          <t>SKELLEFTEÅ</t>
        </is>
      </c>
      <c r="G2471" t="n">
        <v>18.7</v>
      </c>
      <c r="H2471" t="n">
        <v>0</v>
      </c>
      <c r="I2471" t="n">
        <v>0</v>
      </c>
      <c r="J2471" t="n">
        <v>0</v>
      </c>
      <c r="K2471" t="n">
        <v>0</v>
      </c>
      <c r="L2471" t="n">
        <v>0</v>
      </c>
      <c r="M2471" t="n">
        <v>0</v>
      </c>
      <c r="N2471" t="n">
        <v>0</v>
      </c>
      <c r="O2471" t="n">
        <v>0</v>
      </c>
      <c r="P2471" t="n">
        <v>0</v>
      </c>
      <c r="Q2471" t="n">
        <v>0</v>
      </c>
      <c r="R2471" s="2" t="inlineStr"/>
    </row>
    <row r="2472" ht="15" customHeight="1">
      <c r="A2472" t="inlineStr">
        <is>
          <t>A 51969-2023</t>
        </is>
      </c>
      <c r="B2472" s="1" t="n">
        <v>45223</v>
      </c>
      <c r="C2472" s="1" t="n">
        <v>45807</v>
      </c>
      <c r="D2472" t="inlineStr">
        <is>
          <t>VÄSTERBOTTENS LÄN</t>
        </is>
      </c>
      <c r="E2472" t="inlineStr">
        <is>
          <t>SKELLEFTEÅ</t>
        </is>
      </c>
      <c r="F2472" t="inlineStr">
        <is>
          <t>Sveaskog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52105-2023</t>
        </is>
      </c>
      <c r="B2473" s="1" t="n">
        <v>45224</v>
      </c>
      <c r="C2473" s="1" t="n">
        <v>45807</v>
      </c>
      <c r="D2473" t="inlineStr">
        <is>
          <t>VÄSTERBOTTENS LÄN</t>
        </is>
      </c>
      <c r="E2473" t="inlineStr">
        <is>
          <t>SKELLEFTEÅ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53500-2023</t>
        </is>
      </c>
      <c r="B2474" s="1" t="n">
        <v>45223</v>
      </c>
      <c r="C2474" s="1" t="n">
        <v>45807</v>
      </c>
      <c r="D2474" t="inlineStr">
        <is>
          <t>VÄSTERBOTTENS LÄN</t>
        </is>
      </c>
      <c r="E2474" t="inlineStr">
        <is>
          <t>SKELLEFTEÅ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52364-2023</t>
        </is>
      </c>
      <c r="B2475" s="1" t="n">
        <v>45224</v>
      </c>
      <c r="C2475" s="1" t="n">
        <v>45807</v>
      </c>
      <c r="D2475" t="inlineStr">
        <is>
          <t>VÄSTERBOTTENS LÄN</t>
        </is>
      </c>
      <c r="E2475" t="inlineStr">
        <is>
          <t>SKELLEFTEÅ</t>
        </is>
      </c>
      <c r="F2475" t="inlineStr">
        <is>
          <t>Sveaskog</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52185-2023</t>
        </is>
      </c>
      <c r="B2476" s="1" t="n">
        <v>45224</v>
      </c>
      <c r="C2476" s="1" t="n">
        <v>45807</v>
      </c>
      <c r="D2476" t="inlineStr">
        <is>
          <t>VÄSTERBOTTENS LÄN</t>
        </is>
      </c>
      <c r="E2476" t="inlineStr">
        <is>
          <t>SKELLEFTEÅ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52203-2023</t>
        </is>
      </c>
      <c r="B2477" s="1" t="n">
        <v>45224</v>
      </c>
      <c r="C2477" s="1" t="n">
        <v>45807</v>
      </c>
      <c r="D2477" t="inlineStr">
        <is>
          <t>VÄSTERBOTTENS LÄN</t>
        </is>
      </c>
      <c r="E2477" t="inlineStr">
        <is>
          <t>SKELLEFTEÅ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53656-2023</t>
        </is>
      </c>
      <c r="B2478" s="1" t="n">
        <v>45224</v>
      </c>
      <c r="C2478" s="1" t="n">
        <v>45807</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53680-2023</t>
        </is>
      </c>
      <c r="B2479" s="1" t="n">
        <v>45224</v>
      </c>
      <c r="C2479" s="1" t="n">
        <v>45807</v>
      </c>
      <c r="D2479" t="inlineStr">
        <is>
          <t>VÄSTERBOTTENS LÄN</t>
        </is>
      </c>
      <c r="E2479" t="inlineStr">
        <is>
          <t>SKELLEFTEÅ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52384-2023</t>
        </is>
      </c>
      <c r="B2480" s="1" t="n">
        <v>45224</v>
      </c>
      <c r="C2480" s="1" t="n">
        <v>45807</v>
      </c>
      <c r="D2480" t="inlineStr">
        <is>
          <t>VÄSTERBOTTENS LÄN</t>
        </is>
      </c>
      <c r="E2480" t="inlineStr">
        <is>
          <t>SKELLEFTEÅ</t>
        </is>
      </c>
      <c r="F2480" t="inlineStr">
        <is>
          <t>Sveaskog</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52419-2023</t>
        </is>
      </c>
      <c r="B2481" s="1" t="n">
        <v>45225</v>
      </c>
      <c r="C2481" s="1" t="n">
        <v>45807</v>
      </c>
      <c r="D2481" t="inlineStr">
        <is>
          <t>VÄSTERBOTTENS LÄN</t>
        </is>
      </c>
      <c r="E2481" t="inlineStr">
        <is>
          <t>SKELLEFTEÅ</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52425-2023</t>
        </is>
      </c>
      <c r="B2482" s="1" t="n">
        <v>45225</v>
      </c>
      <c r="C2482" s="1" t="n">
        <v>45807</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52444-2023</t>
        </is>
      </c>
      <c r="B2483" s="1" t="n">
        <v>45225</v>
      </c>
      <c r="C2483" s="1" t="n">
        <v>45807</v>
      </c>
      <c r="D2483" t="inlineStr">
        <is>
          <t>VÄSTERBOTTENS LÄN</t>
        </is>
      </c>
      <c r="E2483" t="inlineStr">
        <is>
          <t>SKELLEFTEÅ</t>
        </is>
      </c>
      <c r="F2483" t="inlineStr">
        <is>
          <t>Sveaskog</t>
        </is>
      </c>
      <c r="G2483" t="n">
        <v>28.5</v>
      </c>
      <c r="H2483" t="n">
        <v>0</v>
      </c>
      <c r="I2483" t="n">
        <v>0</v>
      </c>
      <c r="J2483" t="n">
        <v>0</v>
      </c>
      <c r="K2483" t="n">
        <v>0</v>
      </c>
      <c r="L2483" t="n">
        <v>0</v>
      </c>
      <c r="M2483" t="n">
        <v>0</v>
      </c>
      <c r="N2483" t="n">
        <v>0</v>
      </c>
      <c r="O2483" t="n">
        <v>0</v>
      </c>
      <c r="P2483" t="n">
        <v>0</v>
      </c>
      <c r="Q2483" t="n">
        <v>0</v>
      </c>
      <c r="R2483" s="2" t="inlineStr"/>
    </row>
    <row r="2484" ht="15" customHeight="1">
      <c r="A2484" t="inlineStr">
        <is>
          <t>A 52441-2023</t>
        </is>
      </c>
      <c r="B2484" s="1" t="n">
        <v>45225</v>
      </c>
      <c r="C2484" s="1" t="n">
        <v>45807</v>
      </c>
      <c r="D2484" t="inlineStr">
        <is>
          <t>VÄSTERBOTTENS LÄN</t>
        </is>
      </c>
      <c r="E2484" t="inlineStr">
        <is>
          <t>SKELLEFTEÅ</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52489-2023</t>
        </is>
      </c>
      <c r="B2485" s="1" t="n">
        <v>45225</v>
      </c>
      <c r="C2485" s="1" t="n">
        <v>45807</v>
      </c>
      <c r="D2485" t="inlineStr">
        <is>
          <t>VÄSTERBOTTENS LÄN</t>
        </is>
      </c>
      <c r="E2485" t="inlineStr">
        <is>
          <t>SKELLEFTEÅ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52493-2023</t>
        </is>
      </c>
      <c r="B2486" s="1" t="n">
        <v>45225</v>
      </c>
      <c r="C2486" s="1" t="n">
        <v>45807</v>
      </c>
      <c r="D2486" t="inlineStr">
        <is>
          <t>VÄSTERBOTTENS LÄN</t>
        </is>
      </c>
      <c r="E2486" t="inlineStr">
        <is>
          <t>SKELLEFTEÅ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52442-2023</t>
        </is>
      </c>
      <c r="B2487" s="1" t="n">
        <v>45225</v>
      </c>
      <c r="C2487" s="1" t="n">
        <v>45807</v>
      </c>
      <c r="D2487" t="inlineStr">
        <is>
          <t>VÄSTERBOTTENS LÄN</t>
        </is>
      </c>
      <c r="E2487" t="inlineStr">
        <is>
          <t>SKELLEFTEÅ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52447-2023</t>
        </is>
      </c>
      <c r="B2488" s="1" t="n">
        <v>45225</v>
      </c>
      <c r="C2488" s="1" t="n">
        <v>45807</v>
      </c>
      <c r="D2488" t="inlineStr">
        <is>
          <t>VÄSTERBOTTENS LÄN</t>
        </is>
      </c>
      <c r="E2488" t="inlineStr">
        <is>
          <t>SKELLEFTEÅ</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52686-2023</t>
        </is>
      </c>
      <c r="B2489" s="1" t="n">
        <v>45225</v>
      </c>
      <c r="C2489" s="1" t="n">
        <v>45807</v>
      </c>
      <c r="D2489" t="inlineStr">
        <is>
          <t>VÄSTERBOTTENS LÄN</t>
        </is>
      </c>
      <c r="E2489" t="inlineStr">
        <is>
          <t>SKELLEFTEÅ</t>
        </is>
      </c>
      <c r="F2489" t="inlineStr">
        <is>
          <t>Sveaskog</t>
        </is>
      </c>
      <c r="G2489" t="n">
        <v>18.1</v>
      </c>
      <c r="H2489" t="n">
        <v>0</v>
      </c>
      <c r="I2489" t="n">
        <v>0</v>
      </c>
      <c r="J2489" t="n">
        <v>0</v>
      </c>
      <c r="K2489" t="n">
        <v>0</v>
      </c>
      <c r="L2489" t="n">
        <v>0</v>
      </c>
      <c r="M2489" t="n">
        <v>0</v>
      </c>
      <c r="N2489" t="n">
        <v>0</v>
      </c>
      <c r="O2489" t="n">
        <v>0</v>
      </c>
      <c r="P2489" t="n">
        <v>0</v>
      </c>
      <c r="Q2489" t="n">
        <v>0</v>
      </c>
      <c r="R2489" s="2" t="inlineStr"/>
    </row>
    <row r="2490" ht="15" customHeight="1">
      <c r="A2490" t="inlineStr">
        <is>
          <t>A 54399-2023</t>
        </is>
      </c>
      <c r="B2490" s="1" t="n">
        <v>45226</v>
      </c>
      <c r="C2490" s="1" t="n">
        <v>45807</v>
      </c>
      <c r="D2490" t="inlineStr">
        <is>
          <t>VÄSTERBOTTENS LÄN</t>
        </is>
      </c>
      <c r="E2490" t="inlineStr">
        <is>
          <t>SKELLEFTEÅ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54394-2023</t>
        </is>
      </c>
      <c r="B2491" s="1" t="n">
        <v>45226</v>
      </c>
      <c r="C2491" s="1" t="n">
        <v>45807</v>
      </c>
      <c r="D2491" t="inlineStr">
        <is>
          <t>VÄSTERBOTTENS LÄN</t>
        </is>
      </c>
      <c r="E2491" t="inlineStr">
        <is>
          <t>SKELLEFTEÅ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54411-2023</t>
        </is>
      </c>
      <c r="B2492" s="1" t="n">
        <v>45226</v>
      </c>
      <c r="C2492" s="1" t="n">
        <v>45807</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54449-2023</t>
        </is>
      </c>
      <c r="B2493" s="1" t="n">
        <v>45226</v>
      </c>
      <c r="C2493" s="1" t="n">
        <v>45807</v>
      </c>
      <c r="D2493" t="inlineStr">
        <is>
          <t>VÄSTERBOTTENS LÄN</t>
        </is>
      </c>
      <c r="E2493" t="inlineStr">
        <is>
          <t>SKELLEFTEÅ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54469-2023</t>
        </is>
      </c>
      <c r="B2494" s="1" t="n">
        <v>45226</v>
      </c>
      <c r="C2494" s="1" t="n">
        <v>45807</v>
      </c>
      <c r="D2494" t="inlineStr">
        <is>
          <t>VÄSTERBOTTENS LÄN</t>
        </is>
      </c>
      <c r="E2494" t="inlineStr">
        <is>
          <t>SKELLEFTEÅ</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54497-2023</t>
        </is>
      </c>
      <c r="B2495" s="1" t="n">
        <v>45226</v>
      </c>
      <c r="C2495" s="1" t="n">
        <v>45807</v>
      </c>
      <c r="D2495" t="inlineStr">
        <is>
          <t>VÄSTERBOTTENS LÄN</t>
        </is>
      </c>
      <c r="E2495" t="inlineStr">
        <is>
          <t>SKELLEFTEÅ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54499-2023</t>
        </is>
      </c>
      <c r="B2496" s="1" t="n">
        <v>45226</v>
      </c>
      <c r="C2496" s="1" t="n">
        <v>45807</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54401-2023</t>
        </is>
      </c>
      <c r="B2497" s="1" t="n">
        <v>45226</v>
      </c>
      <c r="C2497" s="1" t="n">
        <v>45807</v>
      </c>
      <c r="D2497" t="inlineStr">
        <is>
          <t>VÄSTERBOTTENS LÄN</t>
        </is>
      </c>
      <c r="E2497" t="inlineStr">
        <is>
          <t>SKELLEFTEÅ</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52993-2023</t>
        </is>
      </c>
      <c r="B2498" s="1" t="n">
        <v>45226</v>
      </c>
      <c r="C2498" s="1" t="n">
        <v>45807</v>
      </c>
      <c r="D2498" t="inlineStr">
        <is>
          <t>VÄSTERBOTTENS LÄN</t>
        </is>
      </c>
      <c r="E2498" t="inlineStr">
        <is>
          <t>SKELLEFTEÅ</t>
        </is>
      </c>
      <c r="F2498" t="inlineStr">
        <is>
          <t>Holmen skog AB</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52829-2023</t>
        </is>
      </c>
      <c r="B2499" s="1" t="n">
        <v>45226</v>
      </c>
      <c r="C2499" s="1" t="n">
        <v>45807</v>
      </c>
      <c r="D2499" t="inlineStr">
        <is>
          <t>VÄSTERBOTTENS LÄN</t>
        </is>
      </c>
      <c r="E2499" t="inlineStr">
        <is>
          <t>SKELLEFTEÅ</t>
        </is>
      </c>
      <c r="F2499" t="inlineStr">
        <is>
          <t>Sveaskog</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53028-2023</t>
        </is>
      </c>
      <c r="B2500" s="1" t="n">
        <v>45226</v>
      </c>
      <c r="C2500" s="1" t="n">
        <v>45807</v>
      </c>
      <c r="D2500" t="inlineStr">
        <is>
          <t>VÄSTERBOTTENS LÄN</t>
        </is>
      </c>
      <c r="E2500" t="inlineStr">
        <is>
          <t>SKELLEFTEÅ</t>
        </is>
      </c>
      <c r="F2500" t="inlineStr">
        <is>
          <t>Holmen skog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53020-2023</t>
        </is>
      </c>
      <c r="B2501" s="1" t="n">
        <v>45226</v>
      </c>
      <c r="C2501" s="1" t="n">
        <v>45807</v>
      </c>
      <c r="D2501" t="inlineStr">
        <is>
          <t>VÄSTERBOTTENS LÄN</t>
        </is>
      </c>
      <c r="E2501" t="inlineStr">
        <is>
          <t>SKELLEFTEÅ</t>
        </is>
      </c>
      <c r="F2501" t="inlineStr">
        <is>
          <t>Sveaskog</t>
        </is>
      </c>
      <c r="G2501" t="n">
        <v>18.9</v>
      </c>
      <c r="H2501" t="n">
        <v>0</v>
      </c>
      <c r="I2501" t="n">
        <v>0</v>
      </c>
      <c r="J2501" t="n">
        <v>0</v>
      </c>
      <c r="K2501" t="n">
        <v>0</v>
      </c>
      <c r="L2501" t="n">
        <v>0</v>
      </c>
      <c r="M2501" t="n">
        <v>0</v>
      </c>
      <c r="N2501" t="n">
        <v>0</v>
      </c>
      <c r="O2501" t="n">
        <v>0</v>
      </c>
      <c r="P2501" t="n">
        <v>0</v>
      </c>
      <c r="Q2501" t="n">
        <v>0</v>
      </c>
      <c r="R2501" s="2" t="inlineStr"/>
    </row>
    <row r="2502" ht="15" customHeight="1">
      <c r="A2502" t="inlineStr">
        <is>
          <t>A 53183-2023</t>
        </is>
      </c>
      <c r="B2502" s="1" t="n">
        <v>45229</v>
      </c>
      <c r="C2502" s="1" t="n">
        <v>45807</v>
      </c>
      <c r="D2502" t="inlineStr">
        <is>
          <t>VÄSTERBOTTENS LÄN</t>
        </is>
      </c>
      <c r="E2502" t="inlineStr">
        <is>
          <t>SKELLEFTEÅ</t>
        </is>
      </c>
      <c r="F2502" t="inlineStr">
        <is>
          <t>Sveaskog</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53311-2023</t>
        </is>
      </c>
      <c r="B2503" s="1" t="n">
        <v>45229</v>
      </c>
      <c r="C2503" s="1" t="n">
        <v>45807</v>
      </c>
      <c r="D2503" t="inlineStr">
        <is>
          <t>VÄSTERBOTTENS LÄN</t>
        </is>
      </c>
      <c r="E2503" t="inlineStr">
        <is>
          <t>SKELLEFTEÅ</t>
        </is>
      </c>
      <c r="F2503" t="inlineStr">
        <is>
          <t>Holmen skog AB</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53255-2023</t>
        </is>
      </c>
      <c r="B2504" s="1" t="n">
        <v>45229</v>
      </c>
      <c r="C2504" s="1" t="n">
        <v>45807</v>
      </c>
      <c r="D2504" t="inlineStr">
        <is>
          <t>VÄSTERBOTTENS LÄN</t>
        </is>
      </c>
      <c r="E2504" t="inlineStr">
        <is>
          <t>SKELLEFTEÅ</t>
        </is>
      </c>
      <c r="F2504" t="inlineStr">
        <is>
          <t>Sveaskog</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53426-2023</t>
        </is>
      </c>
      <c r="B2505" s="1" t="n">
        <v>45229</v>
      </c>
      <c r="C2505" s="1" t="n">
        <v>45807</v>
      </c>
      <c r="D2505" t="inlineStr">
        <is>
          <t>VÄSTERBOTTENS LÄN</t>
        </is>
      </c>
      <c r="E2505" t="inlineStr">
        <is>
          <t>SKELLEFTEÅ</t>
        </is>
      </c>
      <c r="F2505" t="inlineStr">
        <is>
          <t>Holmen skog AB</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55077-2023</t>
        </is>
      </c>
      <c r="B2506" s="1" t="n">
        <v>45230</v>
      </c>
      <c r="C2506" s="1" t="n">
        <v>45807</v>
      </c>
      <c r="D2506" t="inlineStr">
        <is>
          <t>VÄSTERBOTTENS LÄN</t>
        </is>
      </c>
      <c r="E2506" t="inlineStr">
        <is>
          <t>SKELLEFTEÅ</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55081-2023</t>
        </is>
      </c>
      <c r="B2507" s="1" t="n">
        <v>45230</v>
      </c>
      <c r="C2507" s="1" t="n">
        <v>45807</v>
      </c>
      <c r="D2507" t="inlineStr">
        <is>
          <t>VÄSTERBOTTENS LÄN</t>
        </is>
      </c>
      <c r="E2507" t="inlineStr">
        <is>
          <t>SKELLEFTEÅ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55409-2023</t>
        </is>
      </c>
      <c r="B2508" s="1" t="n">
        <v>45231</v>
      </c>
      <c r="C2508" s="1" t="n">
        <v>45807</v>
      </c>
      <c r="D2508" t="inlineStr">
        <is>
          <t>VÄSTERBOTTENS LÄN</t>
        </is>
      </c>
      <c r="E2508" t="inlineStr">
        <is>
          <t>SKELLEFTEÅ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55414-2023</t>
        </is>
      </c>
      <c r="B2509" s="1" t="n">
        <v>45231</v>
      </c>
      <c r="C2509" s="1" t="n">
        <v>45807</v>
      </c>
      <c r="D2509" t="inlineStr">
        <is>
          <t>VÄSTERBOTTENS LÄN</t>
        </is>
      </c>
      <c r="E2509" t="inlineStr">
        <is>
          <t>SKELLEFTEÅ</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55420-2023</t>
        </is>
      </c>
      <c r="B2510" s="1" t="n">
        <v>45231</v>
      </c>
      <c r="C2510" s="1" t="n">
        <v>45807</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54024-2023</t>
        </is>
      </c>
      <c r="B2511" s="1" t="n">
        <v>45231</v>
      </c>
      <c r="C2511" s="1" t="n">
        <v>45807</v>
      </c>
      <c r="D2511" t="inlineStr">
        <is>
          <t>VÄSTERBOTTENS LÄN</t>
        </is>
      </c>
      <c r="E2511" t="inlineStr">
        <is>
          <t>SKELLEFTEÅ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55413-2023</t>
        </is>
      </c>
      <c r="B2512" s="1" t="n">
        <v>45231</v>
      </c>
      <c r="C2512" s="1" t="n">
        <v>45807</v>
      </c>
      <c r="D2512" t="inlineStr">
        <is>
          <t>VÄSTERBOTTENS LÄN</t>
        </is>
      </c>
      <c r="E2512" t="inlineStr">
        <is>
          <t>SKELLEFTEÅ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54087-2023</t>
        </is>
      </c>
      <c r="B2513" s="1" t="n">
        <v>45232</v>
      </c>
      <c r="C2513" s="1" t="n">
        <v>45807</v>
      </c>
      <c r="D2513" t="inlineStr">
        <is>
          <t>VÄSTERBOTTENS LÄN</t>
        </is>
      </c>
      <c r="E2513" t="inlineStr">
        <is>
          <t>SKELLEFTEÅ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54111-2023</t>
        </is>
      </c>
      <c r="B2514" s="1" t="n">
        <v>45232</v>
      </c>
      <c r="C2514" s="1" t="n">
        <v>45807</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54113-2023</t>
        </is>
      </c>
      <c r="B2515" s="1" t="n">
        <v>45232</v>
      </c>
      <c r="C2515" s="1" t="n">
        <v>45807</v>
      </c>
      <c r="D2515" t="inlineStr">
        <is>
          <t>VÄSTERBOTTENS LÄN</t>
        </is>
      </c>
      <c r="E2515" t="inlineStr">
        <is>
          <t>SKELLEFTEÅ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55783-2023</t>
        </is>
      </c>
      <c r="B2516" s="1" t="n">
        <v>45232</v>
      </c>
      <c r="C2516" s="1" t="n">
        <v>45807</v>
      </c>
      <c r="D2516" t="inlineStr">
        <is>
          <t>VÄSTERBOTTENS LÄN</t>
        </is>
      </c>
      <c r="E2516" t="inlineStr">
        <is>
          <t>SKELLEFTEÅ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54596-2023</t>
        </is>
      </c>
      <c r="B2517" s="1" t="n">
        <v>45233</v>
      </c>
      <c r="C2517" s="1" t="n">
        <v>45807</v>
      </c>
      <c r="D2517" t="inlineStr">
        <is>
          <t>VÄSTERBOTTENS LÄN</t>
        </is>
      </c>
      <c r="E2517" t="inlineStr">
        <is>
          <t>SKELLEFTEÅ</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54476-2023</t>
        </is>
      </c>
      <c r="B2518" s="1" t="n">
        <v>45233</v>
      </c>
      <c r="C2518" s="1" t="n">
        <v>45807</v>
      </c>
      <c r="D2518" t="inlineStr">
        <is>
          <t>VÄSTERBOTTENS LÄN</t>
        </is>
      </c>
      <c r="E2518" t="inlineStr">
        <is>
          <t>SKELLEFTEÅ</t>
        </is>
      </c>
      <c r="G2518" t="n">
        <v>11.3</v>
      </c>
      <c r="H2518" t="n">
        <v>0</v>
      </c>
      <c r="I2518" t="n">
        <v>0</v>
      </c>
      <c r="J2518" t="n">
        <v>0</v>
      </c>
      <c r="K2518" t="n">
        <v>0</v>
      </c>
      <c r="L2518" t="n">
        <v>0</v>
      </c>
      <c r="M2518" t="n">
        <v>0</v>
      </c>
      <c r="N2518" t="n">
        <v>0</v>
      </c>
      <c r="O2518" t="n">
        <v>0</v>
      </c>
      <c r="P2518" t="n">
        <v>0</v>
      </c>
      <c r="Q2518" t="n">
        <v>0</v>
      </c>
      <c r="R2518" s="2" t="inlineStr"/>
    </row>
    <row r="2519" ht="15" customHeight="1">
      <c r="A2519" t="inlineStr">
        <is>
          <t>A 54361-2023</t>
        </is>
      </c>
      <c r="B2519" s="1" t="n">
        <v>45233</v>
      </c>
      <c r="C2519" s="1" t="n">
        <v>45807</v>
      </c>
      <c r="D2519" t="inlineStr">
        <is>
          <t>VÄSTERBOTTENS LÄN</t>
        </is>
      </c>
      <c r="E2519" t="inlineStr">
        <is>
          <t>SKELLEFTEÅ</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56114-2023</t>
        </is>
      </c>
      <c r="B2520" s="1" t="n">
        <v>45235</v>
      </c>
      <c r="C2520" s="1" t="n">
        <v>45807</v>
      </c>
      <c r="D2520" t="inlineStr">
        <is>
          <t>VÄSTERBOTTENS LÄN</t>
        </is>
      </c>
      <c r="E2520" t="inlineStr">
        <is>
          <t>SKELLEFTEÅ</t>
        </is>
      </c>
      <c r="G2520" t="n">
        <v>18.1</v>
      </c>
      <c r="H2520" t="n">
        <v>0</v>
      </c>
      <c r="I2520" t="n">
        <v>0</v>
      </c>
      <c r="J2520" t="n">
        <v>0</v>
      </c>
      <c r="K2520" t="n">
        <v>0</v>
      </c>
      <c r="L2520" t="n">
        <v>0</v>
      </c>
      <c r="M2520" t="n">
        <v>0</v>
      </c>
      <c r="N2520" t="n">
        <v>0</v>
      </c>
      <c r="O2520" t="n">
        <v>0</v>
      </c>
      <c r="P2520" t="n">
        <v>0</v>
      </c>
      <c r="Q2520" t="n">
        <v>0</v>
      </c>
      <c r="R2520" s="2" t="inlineStr"/>
    </row>
    <row r="2521" ht="15" customHeight="1">
      <c r="A2521" t="inlineStr">
        <is>
          <t>A 56111-2023</t>
        </is>
      </c>
      <c r="B2521" s="1" t="n">
        <v>45235</v>
      </c>
      <c r="C2521" s="1" t="n">
        <v>45807</v>
      </c>
      <c r="D2521" t="inlineStr">
        <is>
          <t>VÄSTERBOTTENS LÄN</t>
        </is>
      </c>
      <c r="E2521" t="inlineStr">
        <is>
          <t>SKELLEFTEÅ</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56108-2023</t>
        </is>
      </c>
      <c r="B2522" s="1" t="n">
        <v>45235</v>
      </c>
      <c r="C2522" s="1" t="n">
        <v>45807</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56104-2023</t>
        </is>
      </c>
      <c r="B2523" s="1" t="n">
        <v>45235</v>
      </c>
      <c r="C2523" s="1" t="n">
        <v>45807</v>
      </c>
      <c r="D2523" t="inlineStr">
        <is>
          <t>VÄSTERBOTTENS LÄN</t>
        </is>
      </c>
      <c r="E2523" t="inlineStr">
        <is>
          <t>SKELLEFTEÅ</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54813-2023</t>
        </is>
      </c>
      <c r="B2524" s="1" t="n">
        <v>45236</v>
      </c>
      <c r="C2524" s="1" t="n">
        <v>45807</v>
      </c>
      <c r="D2524" t="inlineStr">
        <is>
          <t>VÄSTERBOTTENS LÄN</t>
        </is>
      </c>
      <c r="E2524" t="inlineStr">
        <is>
          <t>SKELLEFTEÅ</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54821-2023</t>
        </is>
      </c>
      <c r="B2525" s="1" t="n">
        <v>45236</v>
      </c>
      <c r="C2525" s="1" t="n">
        <v>45807</v>
      </c>
      <c r="D2525" t="inlineStr">
        <is>
          <t>VÄSTERBOTTENS LÄN</t>
        </is>
      </c>
      <c r="E2525" t="inlineStr">
        <is>
          <t>SKELLEFTEÅ</t>
        </is>
      </c>
      <c r="F2525" t="inlineStr">
        <is>
          <t>Kommuner</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56185-2023</t>
        </is>
      </c>
      <c r="B2526" s="1" t="n">
        <v>45236</v>
      </c>
      <c r="C2526" s="1" t="n">
        <v>45807</v>
      </c>
      <c r="D2526" t="inlineStr">
        <is>
          <t>VÄSTERBOTTENS LÄN</t>
        </is>
      </c>
      <c r="E2526" t="inlineStr">
        <is>
          <t>SKELLEFTEÅ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54700-2023</t>
        </is>
      </c>
      <c r="B2527" s="1" t="n">
        <v>45236</v>
      </c>
      <c r="C2527" s="1" t="n">
        <v>45807</v>
      </c>
      <c r="D2527" t="inlineStr">
        <is>
          <t>VÄSTERBOTTENS LÄN</t>
        </is>
      </c>
      <c r="E2527" t="inlineStr">
        <is>
          <t>SKELLEFTEÅ</t>
        </is>
      </c>
      <c r="F2527" t="inlineStr">
        <is>
          <t>Holmen skog AB</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56323-2023</t>
        </is>
      </c>
      <c r="B2528" s="1" t="n">
        <v>45236</v>
      </c>
      <c r="C2528" s="1" t="n">
        <v>45807</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54811-2023</t>
        </is>
      </c>
      <c r="B2529" s="1" t="n">
        <v>45236</v>
      </c>
      <c r="C2529" s="1" t="n">
        <v>45807</v>
      </c>
      <c r="D2529" t="inlineStr">
        <is>
          <t>VÄSTERBOTTENS LÄN</t>
        </is>
      </c>
      <c r="E2529" t="inlineStr">
        <is>
          <t>SKELLEFTEÅ</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55095-2023</t>
        </is>
      </c>
      <c r="B2530" s="1" t="n">
        <v>45237</v>
      </c>
      <c r="C2530" s="1" t="n">
        <v>45807</v>
      </c>
      <c r="D2530" t="inlineStr">
        <is>
          <t>VÄSTERBOTTENS LÄN</t>
        </is>
      </c>
      <c r="E2530" t="inlineStr">
        <is>
          <t>SKELLEFTEÅ</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56404-2023</t>
        </is>
      </c>
      <c r="B2531" s="1" t="n">
        <v>45237</v>
      </c>
      <c r="C2531" s="1" t="n">
        <v>45807</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55528-2023</t>
        </is>
      </c>
      <c r="B2532" s="1" t="n">
        <v>45238</v>
      </c>
      <c r="C2532" s="1" t="n">
        <v>45807</v>
      </c>
      <c r="D2532" t="inlineStr">
        <is>
          <t>VÄSTERBOTTENS LÄN</t>
        </is>
      </c>
      <c r="E2532" t="inlineStr">
        <is>
          <t>SKELLEFTEÅ</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55613-2023</t>
        </is>
      </c>
      <c r="B2533" s="1" t="n">
        <v>45238</v>
      </c>
      <c r="C2533" s="1" t="n">
        <v>45807</v>
      </c>
      <c r="D2533" t="inlineStr">
        <is>
          <t>VÄSTERBOTTENS LÄN</t>
        </is>
      </c>
      <c r="E2533" t="inlineStr">
        <is>
          <t>SKELLEFTEÅ</t>
        </is>
      </c>
      <c r="F2533" t="inlineStr">
        <is>
          <t>Sveaskog</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55532-2023</t>
        </is>
      </c>
      <c r="B2534" s="1" t="n">
        <v>45238</v>
      </c>
      <c r="C2534" s="1" t="n">
        <v>45807</v>
      </c>
      <c r="D2534" t="inlineStr">
        <is>
          <t>VÄSTERBOTTENS LÄN</t>
        </is>
      </c>
      <c r="E2534" t="inlineStr">
        <is>
          <t>SKELLEFTEÅ</t>
        </is>
      </c>
      <c r="F2534" t="inlineStr">
        <is>
          <t>Sveaskog</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56509-2023</t>
        </is>
      </c>
      <c r="B2535" s="1" t="n">
        <v>45238</v>
      </c>
      <c r="C2535" s="1" t="n">
        <v>45807</v>
      </c>
      <c r="D2535" t="inlineStr">
        <is>
          <t>VÄSTERBOTTENS LÄN</t>
        </is>
      </c>
      <c r="E2535" t="inlineStr">
        <is>
          <t>SKELLEFTEÅ</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56528-2023</t>
        </is>
      </c>
      <c r="B2536" s="1" t="n">
        <v>45238</v>
      </c>
      <c r="C2536" s="1" t="n">
        <v>45807</v>
      </c>
      <c r="D2536" t="inlineStr">
        <is>
          <t>VÄSTERBOTTENS LÄN</t>
        </is>
      </c>
      <c r="E2536" t="inlineStr">
        <is>
          <t>SKELLEFTEÅ</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55739-2023</t>
        </is>
      </c>
      <c r="B2537" s="1" t="n">
        <v>45239</v>
      </c>
      <c r="C2537" s="1" t="n">
        <v>45807</v>
      </c>
      <c r="D2537" t="inlineStr">
        <is>
          <t>VÄSTERBOTTENS LÄN</t>
        </is>
      </c>
      <c r="E2537" t="inlineStr">
        <is>
          <t>SKELLEFTEÅ</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55718-2023</t>
        </is>
      </c>
      <c r="B2538" s="1" t="n">
        <v>45239</v>
      </c>
      <c r="C2538" s="1" t="n">
        <v>45807</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55730-2023</t>
        </is>
      </c>
      <c r="B2539" s="1" t="n">
        <v>45239</v>
      </c>
      <c r="C2539" s="1" t="n">
        <v>45807</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55744-2023</t>
        </is>
      </c>
      <c r="B2540" s="1" t="n">
        <v>45239</v>
      </c>
      <c r="C2540" s="1" t="n">
        <v>45807</v>
      </c>
      <c r="D2540" t="inlineStr">
        <is>
          <t>VÄSTERBOTTENS LÄN</t>
        </is>
      </c>
      <c r="E2540" t="inlineStr">
        <is>
          <t>SKELLEFTEÅ</t>
        </is>
      </c>
      <c r="G2540" t="n">
        <v>12.4</v>
      </c>
      <c r="H2540" t="n">
        <v>0</v>
      </c>
      <c r="I2540" t="n">
        <v>0</v>
      </c>
      <c r="J2540" t="n">
        <v>0</v>
      </c>
      <c r="K2540" t="n">
        <v>0</v>
      </c>
      <c r="L2540" t="n">
        <v>0</v>
      </c>
      <c r="M2540" t="n">
        <v>0</v>
      </c>
      <c r="N2540" t="n">
        <v>0</v>
      </c>
      <c r="O2540" t="n">
        <v>0</v>
      </c>
      <c r="P2540" t="n">
        <v>0</v>
      </c>
      <c r="Q2540" t="n">
        <v>0</v>
      </c>
      <c r="R2540" s="2" t="inlineStr"/>
    </row>
    <row r="2541" ht="15" customHeight="1">
      <c r="A2541" t="inlineStr">
        <is>
          <t>A 55873-2023</t>
        </is>
      </c>
      <c r="B2541" s="1" t="n">
        <v>45239</v>
      </c>
      <c r="C2541" s="1" t="n">
        <v>45807</v>
      </c>
      <c r="D2541" t="inlineStr">
        <is>
          <t>VÄSTERBOTTENS LÄN</t>
        </is>
      </c>
      <c r="E2541" t="inlineStr">
        <is>
          <t>SKELLEFTEÅ</t>
        </is>
      </c>
      <c r="F2541" t="inlineStr">
        <is>
          <t>Sveaskog</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55750-2023</t>
        </is>
      </c>
      <c r="B2542" s="1" t="n">
        <v>45239</v>
      </c>
      <c r="C2542" s="1" t="n">
        <v>45807</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55895-2023</t>
        </is>
      </c>
      <c r="B2543" s="1" t="n">
        <v>45239</v>
      </c>
      <c r="C2543" s="1" t="n">
        <v>45807</v>
      </c>
      <c r="D2543" t="inlineStr">
        <is>
          <t>VÄSTERBOTTENS LÄN</t>
        </is>
      </c>
      <c r="E2543" t="inlineStr">
        <is>
          <t>SKELLEFTEÅ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55907-2023</t>
        </is>
      </c>
      <c r="B2544" s="1" t="n">
        <v>45239</v>
      </c>
      <c r="C2544" s="1" t="n">
        <v>45807</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57440-2023</t>
        </is>
      </c>
      <c r="B2545" s="1" t="n">
        <v>45240</v>
      </c>
      <c r="C2545" s="1" t="n">
        <v>45807</v>
      </c>
      <c r="D2545" t="inlineStr">
        <is>
          <t>VÄSTERBOTTENS LÄN</t>
        </is>
      </c>
      <c r="E2545" t="inlineStr">
        <is>
          <t>SKELLEFTEÅ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56265-2023</t>
        </is>
      </c>
      <c r="B2546" s="1" t="n">
        <v>45240</v>
      </c>
      <c r="C2546" s="1" t="n">
        <v>45807</v>
      </c>
      <c r="D2546" t="inlineStr">
        <is>
          <t>VÄSTERBOTTENS LÄN</t>
        </is>
      </c>
      <c r="E2546" t="inlineStr">
        <is>
          <t>SKELLEFTEÅ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56153-2023</t>
        </is>
      </c>
      <c r="B2547" s="1" t="n">
        <v>45240</v>
      </c>
      <c r="C2547" s="1" t="n">
        <v>45807</v>
      </c>
      <c r="D2547" t="inlineStr">
        <is>
          <t>VÄSTERBOTTENS LÄN</t>
        </is>
      </c>
      <c r="E2547" t="inlineStr">
        <is>
          <t>SKELLEFTEÅ</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56264-2023</t>
        </is>
      </c>
      <c r="B2548" s="1" t="n">
        <v>45240</v>
      </c>
      <c r="C2548" s="1" t="n">
        <v>45807</v>
      </c>
      <c r="D2548" t="inlineStr">
        <is>
          <t>VÄSTERBOTTENS LÄN</t>
        </is>
      </c>
      <c r="E2548" t="inlineStr">
        <is>
          <t>SKELLEFTEÅ</t>
        </is>
      </c>
      <c r="F2548" t="inlineStr">
        <is>
          <t>SCA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56163-2023</t>
        </is>
      </c>
      <c r="B2549" s="1" t="n">
        <v>45240</v>
      </c>
      <c r="C2549" s="1" t="n">
        <v>45807</v>
      </c>
      <c r="D2549" t="inlineStr">
        <is>
          <t>VÄSTERBOTTENS LÄN</t>
        </is>
      </c>
      <c r="E2549" t="inlineStr">
        <is>
          <t>SKELLEFTEÅ</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57437-2023</t>
        </is>
      </c>
      <c r="B2550" s="1" t="n">
        <v>45240</v>
      </c>
      <c r="C2550" s="1" t="n">
        <v>45807</v>
      </c>
      <c r="D2550" t="inlineStr">
        <is>
          <t>VÄSTERBOTTENS LÄN</t>
        </is>
      </c>
      <c r="E2550" t="inlineStr">
        <is>
          <t>SKELLEFTEÅ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56263-2023</t>
        </is>
      </c>
      <c r="B2551" s="1" t="n">
        <v>45240</v>
      </c>
      <c r="C2551" s="1" t="n">
        <v>45807</v>
      </c>
      <c r="D2551" t="inlineStr">
        <is>
          <t>VÄSTERBOTTENS LÄN</t>
        </is>
      </c>
      <c r="E2551" t="inlineStr">
        <is>
          <t>SKELLEFTEÅ</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56203-2023</t>
        </is>
      </c>
      <c r="B2552" s="1" t="n">
        <v>45240</v>
      </c>
      <c r="C2552" s="1" t="n">
        <v>45807</v>
      </c>
      <c r="D2552" t="inlineStr">
        <is>
          <t>VÄSTERBOTTENS LÄN</t>
        </is>
      </c>
      <c r="E2552" t="inlineStr">
        <is>
          <t>SKELLEFTEÅ</t>
        </is>
      </c>
      <c r="F2552" t="inlineStr">
        <is>
          <t>Holmen skog AB</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55986-2023</t>
        </is>
      </c>
      <c r="B2553" s="1" t="n">
        <v>45240</v>
      </c>
      <c r="C2553" s="1" t="n">
        <v>45807</v>
      </c>
      <c r="D2553" t="inlineStr">
        <is>
          <t>VÄSTERBOTTENS LÄN</t>
        </is>
      </c>
      <c r="E2553" t="inlineStr">
        <is>
          <t>SKELLEFTEÅ</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56143-2023</t>
        </is>
      </c>
      <c r="B2554" s="1" t="n">
        <v>45240</v>
      </c>
      <c r="C2554" s="1" t="n">
        <v>45807</v>
      </c>
      <c r="D2554" t="inlineStr">
        <is>
          <t>VÄSTERBOTTENS LÄN</t>
        </is>
      </c>
      <c r="E2554" t="inlineStr">
        <is>
          <t>SKELLEFTEÅ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56291-2023</t>
        </is>
      </c>
      <c r="B2555" s="1" t="n">
        <v>45242</v>
      </c>
      <c r="C2555" s="1" t="n">
        <v>45807</v>
      </c>
      <c r="D2555" t="inlineStr">
        <is>
          <t>VÄSTERBOTTENS LÄN</t>
        </is>
      </c>
      <c r="E2555" t="inlineStr">
        <is>
          <t>SKELLEFTEÅ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56463-2023</t>
        </is>
      </c>
      <c r="B2556" s="1" t="n">
        <v>45243</v>
      </c>
      <c r="C2556" s="1" t="n">
        <v>45807</v>
      </c>
      <c r="D2556" t="inlineStr">
        <is>
          <t>VÄSTERBOTTENS LÄN</t>
        </is>
      </c>
      <c r="E2556" t="inlineStr">
        <is>
          <t>SKELLEFTEÅ</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56450-2023</t>
        </is>
      </c>
      <c r="B2557" s="1" t="n">
        <v>45243</v>
      </c>
      <c r="C2557" s="1" t="n">
        <v>45807</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56548-2023</t>
        </is>
      </c>
      <c r="B2558" s="1" t="n">
        <v>45243</v>
      </c>
      <c r="C2558" s="1" t="n">
        <v>45807</v>
      </c>
      <c r="D2558" t="inlineStr">
        <is>
          <t>VÄSTERBOTTENS LÄN</t>
        </is>
      </c>
      <c r="E2558" t="inlineStr">
        <is>
          <t>SKELLEFTEÅ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56653-2023</t>
        </is>
      </c>
      <c r="B2559" s="1" t="n">
        <v>45243</v>
      </c>
      <c r="C2559" s="1" t="n">
        <v>45807</v>
      </c>
      <c r="D2559" t="inlineStr">
        <is>
          <t>VÄSTERBOTTENS LÄN</t>
        </is>
      </c>
      <c r="E2559" t="inlineStr">
        <is>
          <t>SKELLEFTEÅ</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57558-2023</t>
        </is>
      </c>
      <c r="B2560" s="1" t="n">
        <v>45243</v>
      </c>
      <c r="C2560" s="1" t="n">
        <v>45807</v>
      </c>
      <c r="D2560" t="inlineStr">
        <is>
          <t>VÄSTERBOTTENS LÄN</t>
        </is>
      </c>
      <c r="E2560" t="inlineStr">
        <is>
          <t>SKELLEFTEÅ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56375-2023</t>
        </is>
      </c>
      <c r="B2561" s="1" t="n">
        <v>45243</v>
      </c>
      <c r="C2561" s="1" t="n">
        <v>45807</v>
      </c>
      <c r="D2561" t="inlineStr">
        <is>
          <t>VÄSTERBOTTENS LÄN</t>
        </is>
      </c>
      <c r="E2561" t="inlineStr">
        <is>
          <t>SKELLEFTEÅ</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56471-2023</t>
        </is>
      </c>
      <c r="B2562" s="1" t="n">
        <v>45243</v>
      </c>
      <c r="C2562" s="1" t="n">
        <v>45807</v>
      </c>
      <c r="D2562" t="inlineStr">
        <is>
          <t>VÄSTERBOTTENS LÄN</t>
        </is>
      </c>
      <c r="E2562" t="inlineStr">
        <is>
          <t>SKELLEFTEÅ</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56839-2023</t>
        </is>
      </c>
      <c r="B2563" s="1" t="n">
        <v>45244</v>
      </c>
      <c r="C2563" s="1" t="n">
        <v>45807</v>
      </c>
      <c r="D2563" t="inlineStr">
        <is>
          <t>VÄSTERBOTTENS LÄN</t>
        </is>
      </c>
      <c r="E2563" t="inlineStr">
        <is>
          <t>SKELLEFTEÅ</t>
        </is>
      </c>
      <c r="F2563" t="inlineStr">
        <is>
          <t>Holmen skog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57985-2023</t>
        </is>
      </c>
      <c r="B2564" s="1" t="n">
        <v>45244</v>
      </c>
      <c r="C2564" s="1" t="n">
        <v>45807</v>
      </c>
      <c r="D2564" t="inlineStr">
        <is>
          <t>VÄSTERBOTTENS LÄN</t>
        </is>
      </c>
      <c r="E2564" t="inlineStr">
        <is>
          <t>SKELLEFTEÅ</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58012-2023</t>
        </is>
      </c>
      <c r="B2565" s="1" t="n">
        <v>45244</v>
      </c>
      <c r="C2565" s="1" t="n">
        <v>45807</v>
      </c>
      <c r="D2565" t="inlineStr">
        <is>
          <t>VÄSTERBOTTENS LÄN</t>
        </is>
      </c>
      <c r="E2565" t="inlineStr">
        <is>
          <t>SKELLEFTEÅ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57085-2023</t>
        </is>
      </c>
      <c r="B2566" s="1" t="n">
        <v>45245</v>
      </c>
      <c r="C2566" s="1" t="n">
        <v>45807</v>
      </c>
      <c r="D2566" t="inlineStr">
        <is>
          <t>VÄSTERBOTTENS LÄN</t>
        </is>
      </c>
      <c r="E2566" t="inlineStr">
        <is>
          <t>SKELLEFTEÅ</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57191-2023</t>
        </is>
      </c>
      <c r="B2567" s="1" t="n">
        <v>45245</v>
      </c>
      <c r="C2567" s="1" t="n">
        <v>45807</v>
      </c>
      <c r="D2567" t="inlineStr">
        <is>
          <t>VÄSTERBOTTENS LÄN</t>
        </is>
      </c>
      <c r="E2567" t="inlineStr">
        <is>
          <t>SKELLEFTEÅ</t>
        </is>
      </c>
      <c r="F2567" t="inlineStr">
        <is>
          <t>Sveaskog</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57453-2023</t>
        </is>
      </c>
      <c r="B2568" s="1" t="n">
        <v>45246</v>
      </c>
      <c r="C2568" s="1" t="n">
        <v>45807</v>
      </c>
      <c r="D2568" t="inlineStr">
        <is>
          <t>VÄSTERBOTTENS LÄN</t>
        </is>
      </c>
      <c r="E2568" t="inlineStr">
        <is>
          <t>SKELLEFTEÅ</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58581-2023</t>
        </is>
      </c>
      <c r="B2569" s="1" t="n">
        <v>45246</v>
      </c>
      <c r="C2569" s="1" t="n">
        <v>45807</v>
      </c>
      <c r="D2569" t="inlineStr">
        <is>
          <t>VÄSTERBOTTENS LÄN</t>
        </is>
      </c>
      <c r="E2569" t="inlineStr">
        <is>
          <t>SKELLEFTEÅ</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57838-2023</t>
        </is>
      </c>
      <c r="B2570" s="1" t="n">
        <v>45247</v>
      </c>
      <c r="C2570" s="1" t="n">
        <v>45807</v>
      </c>
      <c r="D2570" t="inlineStr">
        <is>
          <t>VÄSTERBOTTENS LÄN</t>
        </is>
      </c>
      <c r="E2570" t="inlineStr">
        <is>
          <t>SKELLEFTEÅ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58043-2023</t>
        </is>
      </c>
      <c r="B2571" s="1" t="n">
        <v>45247</v>
      </c>
      <c r="C2571" s="1" t="n">
        <v>45807</v>
      </c>
      <c r="D2571" t="inlineStr">
        <is>
          <t>VÄSTERBOTTENS LÄN</t>
        </is>
      </c>
      <c r="E2571" t="inlineStr">
        <is>
          <t>SKELLEFTEÅ</t>
        </is>
      </c>
      <c r="F2571" t="inlineStr">
        <is>
          <t>Sveaskog</t>
        </is>
      </c>
      <c r="G2571" t="n">
        <v>12.6</v>
      </c>
      <c r="H2571" t="n">
        <v>0</v>
      </c>
      <c r="I2571" t="n">
        <v>0</v>
      </c>
      <c r="J2571" t="n">
        <v>0</v>
      </c>
      <c r="K2571" t="n">
        <v>0</v>
      </c>
      <c r="L2571" t="n">
        <v>0</v>
      </c>
      <c r="M2571" t="n">
        <v>0</v>
      </c>
      <c r="N2571" t="n">
        <v>0</v>
      </c>
      <c r="O2571" t="n">
        <v>0</v>
      </c>
      <c r="P2571" t="n">
        <v>0</v>
      </c>
      <c r="Q2571" t="n">
        <v>0</v>
      </c>
      <c r="R2571" s="2" t="inlineStr"/>
    </row>
    <row r="2572" ht="15" customHeight="1">
      <c r="A2572" t="inlineStr">
        <is>
          <t>A 58058-2023</t>
        </is>
      </c>
      <c r="B2572" s="1" t="n">
        <v>45247</v>
      </c>
      <c r="C2572" s="1" t="n">
        <v>45807</v>
      </c>
      <c r="D2572" t="inlineStr">
        <is>
          <t>VÄSTERBOTTENS LÄN</t>
        </is>
      </c>
      <c r="E2572" t="inlineStr">
        <is>
          <t>SKELLEFTEÅ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58069-2023</t>
        </is>
      </c>
      <c r="B2573" s="1" t="n">
        <v>45247</v>
      </c>
      <c r="C2573" s="1" t="n">
        <v>45807</v>
      </c>
      <c r="D2573" t="inlineStr">
        <is>
          <t>VÄSTERBOTTENS LÄN</t>
        </is>
      </c>
      <c r="E2573" t="inlineStr">
        <is>
          <t>SKELLEFTEÅ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58059-2023</t>
        </is>
      </c>
      <c r="B2574" s="1" t="n">
        <v>45247</v>
      </c>
      <c r="C2574" s="1" t="n">
        <v>45807</v>
      </c>
      <c r="D2574" t="inlineStr">
        <is>
          <t>VÄSTERBOTTENS LÄN</t>
        </is>
      </c>
      <c r="E2574" t="inlineStr">
        <is>
          <t>SKELLEFTEÅ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58072-2023</t>
        </is>
      </c>
      <c r="B2575" s="1" t="n">
        <v>45247</v>
      </c>
      <c r="C2575" s="1" t="n">
        <v>45807</v>
      </c>
      <c r="D2575" t="inlineStr">
        <is>
          <t>VÄSTERBOTTENS LÄN</t>
        </is>
      </c>
      <c r="E2575" t="inlineStr">
        <is>
          <t>SKELLEFTEÅ</t>
        </is>
      </c>
      <c r="G2575" t="n">
        <v>8.199999999999999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58680-2023</t>
        </is>
      </c>
      <c r="B2576" s="1" t="n">
        <v>45247</v>
      </c>
      <c r="C2576" s="1" t="n">
        <v>45807</v>
      </c>
      <c r="D2576" t="inlineStr">
        <is>
          <t>VÄSTERBOTTENS LÄN</t>
        </is>
      </c>
      <c r="E2576" t="inlineStr">
        <is>
          <t>SKELLEFTEÅ</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58701-2023</t>
        </is>
      </c>
      <c r="B2577" s="1" t="n">
        <v>45247</v>
      </c>
      <c r="C2577" s="1" t="n">
        <v>45807</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58821-2023</t>
        </is>
      </c>
      <c r="B2578" s="1" t="n">
        <v>45247</v>
      </c>
      <c r="C2578" s="1" t="n">
        <v>45807</v>
      </c>
      <c r="D2578" t="inlineStr">
        <is>
          <t>VÄSTERBOTTENS LÄN</t>
        </is>
      </c>
      <c r="E2578" t="inlineStr">
        <is>
          <t>SKELLEFTEÅ</t>
        </is>
      </c>
      <c r="G2578" t="n">
        <v>15.6</v>
      </c>
      <c r="H2578" t="n">
        <v>0</v>
      </c>
      <c r="I2578" t="n">
        <v>0</v>
      </c>
      <c r="J2578" t="n">
        <v>0</v>
      </c>
      <c r="K2578" t="n">
        <v>0</v>
      </c>
      <c r="L2578" t="n">
        <v>0</v>
      </c>
      <c r="M2578" t="n">
        <v>0</v>
      </c>
      <c r="N2578" t="n">
        <v>0</v>
      </c>
      <c r="O2578" t="n">
        <v>0</v>
      </c>
      <c r="P2578" t="n">
        <v>0</v>
      </c>
      <c r="Q2578" t="n">
        <v>0</v>
      </c>
      <c r="R2578" s="2" t="inlineStr"/>
    </row>
    <row r="2579" ht="15" customHeight="1">
      <c r="A2579" t="inlineStr">
        <is>
          <t>A 58060-2023</t>
        </is>
      </c>
      <c r="B2579" s="1" t="n">
        <v>45247</v>
      </c>
      <c r="C2579" s="1" t="n">
        <v>45807</v>
      </c>
      <c r="D2579" t="inlineStr">
        <is>
          <t>VÄSTERBOTTENS LÄN</t>
        </is>
      </c>
      <c r="E2579" t="inlineStr">
        <is>
          <t>SKELLEFTEÅ</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58008-2023</t>
        </is>
      </c>
      <c r="B2580" s="1" t="n">
        <v>45247</v>
      </c>
      <c r="C2580" s="1" t="n">
        <v>45807</v>
      </c>
      <c r="D2580" t="inlineStr">
        <is>
          <t>VÄSTERBOTTENS LÄN</t>
        </is>
      </c>
      <c r="E2580" t="inlineStr">
        <is>
          <t>SKELLEFTEÅ</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57958-2023</t>
        </is>
      </c>
      <c r="B2581" s="1" t="n">
        <v>45247</v>
      </c>
      <c r="C2581" s="1" t="n">
        <v>45807</v>
      </c>
      <c r="D2581" t="inlineStr">
        <is>
          <t>VÄSTERBOTTENS LÄN</t>
        </is>
      </c>
      <c r="E2581" t="inlineStr">
        <is>
          <t>SKELLEFTEÅ</t>
        </is>
      </c>
      <c r="F2581" t="inlineStr">
        <is>
          <t>Holmen skog AB</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57926-2023</t>
        </is>
      </c>
      <c r="B2582" s="1" t="n">
        <v>45247</v>
      </c>
      <c r="C2582" s="1" t="n">
        <v>45807</v>
      </c>
      <c r="D2582" t="inlineStr">
        <is>
          <t>VÄSTERBOTTENS LÄN</t>
        </is>
      </c>
      <c r="E2582" t="inlineStr">
        <is>
          <t>SKELLEFTEÅ</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58117-2023</t>
        </is>
      </c>
      <c r="B2583" s="1" t="n">
        <v>45249</v>
      </c>
      <c r="C2583" s="1" t="n">
        <v>45807</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58194-2023</t>
        </is>
      </c>
      <c r="B2584" s="1" t="n">
        <v>45250</v>
      </c>
      <c r="C2584" s="1" t="n">
        <v>45807</v>
      </c>
      <c r="D2584" t="inlineStr">
        <is>
          <t>VÄSTERBOTTENS LÄN</t>
        </is>
      </c>
      <c r="E2584" t="inlineStr">
        <is>
          <t>SKELLEFTEÅ</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58940-2023</t>
        </is>
      </c>
      <c r="B2585" s="1" t="n">
        <v>45250</v>
      </c>
      <c r="C2585" s="1" t="n">
        <v>45807</v>
      </c>
      <c r="D2585" t="inlineStr">
        <is>
          <t>VÄSTERBOTTENS LÄN</t>
        </is>
      </c>
      <c r="E2585" t="inlineStr">
        <is>
          <t>SKELLEFTEÅ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58503-2023</t>
        </is>
      </c>
      <c r="B2586" s="1" t="n">
        <v>45251</v>
      </c>
      <c r="C2586" s="1" t="n">
        <v>45807</v>
      </c>
      <c r="D2586" t="inlineStr">
        <is>
          <t>VÄSTERBOTTENS LÄN</t>
        </is>
      </c>
      <c r="E2586" t="inlineStr">
        <is>
          <t>SKELLEFTEÅ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58517-2023</t>
        </is>
      </c>
      <c r="B2587" s="1" t="n">
        <v>45251</v>
      </c>
      <c r="C2587" s="1" t="n">
        <v>45807</v>
      </c>
      <c r="D2587" t="inlineStr">
        <is>
          <t>VÄSTERBOTTENS LÄN</t>
        </is>
      </c>
      <c r="E2587" t="inlineStr">
        <is>
          <t>SKELLEFTEÅ</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58525-2023</t>
        </is>
      </c>
      <c r="B2588" s="1" t="n">
        <v>45251</v>
      </c>
      <c r="C2588" s="1" t="n">
        <v>45807</v>
      </c>
      <c r="D2588" t="inlineStr">
        <is>
          <t>VÄSTERBOTTENS LÄN</t>
        </is>
      </c>
      <c r="E2588" t="inlineStr">
        <is>
          <t>SKELLEFTEÅ</t>
        </is>
      </c>
      <c r="F2588" t="inlineStr">
        <is>
          <t>Holmen skog AB</t>
        </is>
      </c>
      <c r="G2588" t="n">
        <v>19.1</v>
      </c>
      <c r="H2588" t="n">
        <v>0</v>
      </c>
      <c r="I2588" t="n">
        <v>0</v>
      </c>
      <c r="J2588" t="n">
        <v>0</v>
      </c>
      <c r="K2588" t="n">
        <v>0</v>
      </c>
      <c r="L2588" t="n">
        <v>0</v>
      </c>
      <c r="M2588" t="n">
        <v>0</v>
      </c>
      <c r="N2588" t="n">
        <v>0</v>
      </c>
      <c r="O2588" t="n">
        <v>0</v>
      </c>
      <c r="P2588" t="n">
        <v>0</v>
      </c>
      <c r="Q2588" t="n">
        <v>0</v>
      </c>
      <c r="R2588" s="2" t="inlineStr"/>
    </row>
    <row r="2589" ht="15" customHeight="1">
      <c r="A2589" t="inlineStr">
        <is>
          <t>A 58546-2023</t>
        </is>
      </c>
      <c r="B2589" s="1" t="n">
        <v>45251</v>
      </c>
      <c r="C2589" s="1" t="n">
        <v>45807</v>
      </c>
      <c r="D2589" t="inlineStr">
        <is>
          <t>VÄSTERBOTTENS LÄN</t>
        </is>
      </c>
      <c r="E2589" t="inlineStr">
        <is>
          <t>SKELLEFTEÅ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58560-2023</t>
        </is>
      </c>
      <c r="B2590" s="1" t="n">
        <v>45251</v>
      </c>
      <c r="C2590" s="1" t="n">
        <v>45807</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58566-2023</t>
        </is>
      </c>
      <c r="B2591" s="1" t="n">
        <v>45251</v>
      </c>
      <c r="C2591" s="1" t="n">
        <v>45807</v>
      </c>
      <c r="D2591" t="inlineStr">
        <is>
          <t>VÄSTERBOTTENS LÄN</t>
        </is>
      </c>
      <c r="E2591" t="inlineStr">
        <is>
          <t>SKELLEFTEÅ</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58555-2023</t>
        </is>
      </c>
      <c r="B2592" s="1" t="n">
        <v>45251</v>
      </c>
      <c r="C2592" s="1" t="n">
        <v>45807</v>
      </c>
      <c r="D2592" t="inlineStr">
        <is>
          <t>VÄSTERBOTTENS LÄN</t>
        </is>
      </c>
      <c r="E2592" t="inlineStr">
        <is>
          <t>SKELLEFTEÅ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58575-2023</t>
        </is>
      </c>
      <c r="B2593" s="1" t="n">
        <v>45251</v>
      </c>
      <c r="C2593" s="1" t="n">
        <v>45807</v>
      </c>
      <c r="D2593" t="inlineStr">
        <is>
          <t>VÄSTERBOTTENS LÄN</t>
        </is>
      </c>
      <c r="E2593" t="inlineStr">
        <is>
          <t>SKELLEFTEÅ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58750-2023</t>
        </is>
      </c>
      <c r="B2594" s="1" t="n">
        <v>45251</v>
      </c>
      <c r="C2594" s="1" t="n">
        <v>45807</v>
      </c>
      <c r="D2594" t="inlineStr">
        <is>
          <t>VÄSTERBOTTENS LÄN</t>
        </is>
      </c>
      <c r="E2594" t="inlineStr">
        <is>
          <t>SKELLEFTEÅ</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58754-2023</t>
        </is>
      </c>
      <c r="B2595" s="1" t="n">
        <v>45251</v>
      </c>
      <c r="C2595" s="1" t="n">
        <v>45807</v>
      </c>
      <c r="D2595" t="inlineStr">
        <is>
          <t>VÄSTERBOTTENS LÄN</t>
        </is>
      </c>
      <c r="E2595" t="inlineStr">
        <is>
          <t>SKELLEFTEÅ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58752-2023</t>
        </is>
      </c>
      <c r="B2596" s="1" t="n">
        <v>45251</v>
      </c>
      <c r="C2596" s="1" t="n">
        <v>45807</v>
      </c>
      <c r="D2596" t="inlineStr">
        <is>
          <t>VÄSTERBOTTENS LÄN</t>
        </is>
      </c>
      <c r="E2596" t="inlineStr">
        <is>
          <t>SKELLEFTEÅ</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58672-2023</t>
        </is>
      </c>
      <c r="B2597" s="1" t="n">
        <v>45251</v>
      </c>
      <c r="C2597" s="1" t="n">
        <v>45807</v>
      </c>
      <c r="D2597" t="inlineStr">
        <is>
          <t>VÄSTERBOTTENS LÄN</t>
        </is>
      </c>
      <c r="E2597" t="inlineStr">
        <is>
          <t>SKELLEFTEÅ</t>
        </is>
      </c>
      <c r="F2597" t="inlineStr">
        <is>
          <t>Holmen skog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58751-2023</t>
        </is>
      </c>
      <c r="B2598" s="1" t="n">
        <v>45251</v>
      </c>
      <c r="C2598" s="1" t="n">
        <v>45807</v>
      </c>
      <c r="D2598" t="inlineStr">
        <is>
          <t>VÄSTERBOTTENS LÄN</t>
        </is>
      </c>
      <c r="E2598" t="inlineStr">
        <is>
          <t>SKELLEFTEÅ</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58755-2023</t>
        </is>
      </c>
      <c r="B2599" s="1" t="n">
        <v>45251</v>
      </c>
      <c r="C2599" s="1" t="n">
        <v>45807</v>
      </c>
      <c r="D2599" t="inlineStr">
        <is>
          <t>VÄSTERBOTTENS LÄN</t>
        </is>
      </c>
      <c r="E2599" t="inlineStr">
        <is>
          <t>SKELLEFTEÅ</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59127-2023</t>
        </is>
      </c>
      <c r="B2600" s="1" t="n">
        <v>45251</v>
      </c>
      <c r="C2600" s="1" t="n">
        <v>45807</v>
      </c>
      <c r="D2600" t="inlineStr">
        <is>
          <t>VÄSTERBOTTENS LÄN</t>
        </is>
      </c>
      <c r="E2600" t="inlineStr">
        <is>
          <t>SKELLEFTEÅ</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59165-2023</t>
        </is>
      </c>
      <c r="B2601" s="1" t="n">
        <v>45251</v>
      </c>
      <c r="C2601" s="1" t="n">
        <v>45807</v>
      </c>
      <c r="D2601" t="inlineStr">
        <is>
          <t>VÄSTERBOTTENS LÄN</t>
        </is>
      </c>
      <c r="E2601" t="inlineStr">
        <is>
          <t>SKELLEFTEÅ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58838-2023</t>
        </is>
      </c>
      <c r="B2602" s="1" t="n">
        <v>45252</v>
      </c>
      <c r="C2602" s="1" t="n">
        <v>45807</v>
      </c>
      <c r="D2602" t="inlineStr">
        <is>
          <t>VÄSTERBOTTENS LÄN</t>
        </is>
      </c>
      <c r="E2602" t="inlineStr">
        <is>
          <t>SKELLEFTEÅ</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59242-2023</t>
        </is>
      </c>
      <c r="B2603" s="1" t="n">
        <v>45252</v>
      </c>
      <c r="C2603" s="1" t="n">
        <v>45807</v>
      </c>
      <c r="D2603" t="inlineStr">
        <is>
          <t>VÄSTERBOTTENS LÄN</t>
        </is>
      </c>
      <c r="E2603" t="inlineStr">
        <is>
          <t>SKELLEFTEÅ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59245-2023</t>
        </is>
      </c>
      <c r="B2604" s="1" t="n">
        <v>45252</v>
      </c>
      <c r="C2604" s="1" t="n">
        <v>45807</v>
      </c>
      <c r="D2604" t="inlineStr">
        <is>
          <t>VÄSTERBOTTENS LÄN</t>
        </is>
      </c>
      <c r="E2604" t="inlineStr">
        <is>
          <t>SKELLEFTEÅ</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59404-2023</t>
        </is>
      </c>
      <c r="B2605" s="1" t="n">
        <v>45253</v>
      </c>
      <c r="C2605" s="1" t="n">
        <v>45807</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59648-2023</t>
        </is>
      </c>
      <c r="B2606" s="1" t="n">
        <v>45253</v>
      </c>
      <c r="C2606" s="1" t="n">
        <v>45807</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59406-2023</t>
        </is>
      </c>
      <c r="B2607" s="1" t="n">
        <v>45253</v>
      </c>
      <c r="C2607" s="1" t="n">
        <v>45807</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59405-2023</t>
        </is>
      </c>
      <c r="B2608" s="1" t="n">
        <v>45253</v>
      </c>
      <c r="C2608" s="1" t="n">
        <v>45807</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59647-2023</t>
        </is>
      </c>
      <c r="B2609" s="1" t="n">
        <v>45253</v>
      </c>
      <c r="C2609" s="1" t="n">
        <v>45807</v>
      </c>
      <c r="D2609" t="inlineStr">
        <is>
          <t>VÄSTERBOTTENS LÄN</t>
        </is>
      </c>
      <c r="E2609" t="inlineStr">
        <is>
          <t>SKELLEFTEÅ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59653-2023</t>
        </is>
      </c>
      <c r="B2610" s="1" t="n">
        <v>45254</v>
      </c>
      <c r="C2610" s="1" t="n">
        <v>45807</v>
      </c>
      <c r="D2610" t="inlineStr">
        <is>
          <t>VÄSTERBOTTENS LÄN</t>
        </is>
      </c>
      <c r="E2610" t="inlineStr">
        <is>
          <t>SKELLEFTEÅ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59945-2023</t>
        </is>
      </c>
      <c r="B2611" s="1" t="n">
        <v>45254</v>
      </c>
      <c r="C2611" s="1" t="n">
        <v>45807</v>
      </c>
      <c r="D2611" t="inlineStr">
        <is>
          <t>VÄSTERBOTTENS LÄN</t>
        </is>
      </c>
      <c r="E2611" t="inlineStr">
        <is>
          <t>SKELLEFTEÅ</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59793-2023</t>
        </is>
      </c>
      <c r="B2612" s="1" t="n">
        <v>45257</v>
      </c>
      <c r="C2612" s="1" t="n">
        <v>45807</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59791-2023</t>
        </is>
      </c>
      <c r="B2613" s="1" t="n">
        <v>45257</v>
      </c>
      <c r="C2613" s="1" t="n">
        <v>45807</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59919-2023</t>
        </is>
      </c>
      <c r="B2614" s="1" t="n">
        <v>45257</v>
      </c>
      <c r="C2614" s="1" t="n">
        <v>45807</v>
      </c>
      <c r="D2614" t="inlineStr">
        <is>
          <t>VÄSTERBOTTENS LÄN</t>
        </is>
      </c>
      <c r="E2614" t="inlineStr">
        <is>
          <t>SKELLEFTEÅ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59907-2023</t>
        </is>
      </c>
      <c r="B2615" s="1" t="n">
        <v>45257</v>
      </c>
      <c r="C2615" s="1" t="n">
        <v>45807</v>
      </c>
      <c r="D2615" t="inlineStr">
        <is>
          <t>VÄSTERBOTTENS LÄN</t>
        </is>
      </c>
      <c r="E2615" t="inlineStr">
        <is>
          <t>SKELLEFTEÅ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59788-2023</t>
        </is>
      </c>
      <c r="B2616" s="1" t="n">
        <v>45257</v>
      </c>
      <c r="C2616" s="1" t="n">
        <v>45807</v>
      </c>
      <c r="D2616" t="inlineStr">
        <is>
          <t>VÄSTERBOTTENS LÄN</t>
        </is>
      </c>
      <c r="E2616" t="inlineStr">
        <is>
          <t>SKELLEFTEÅ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60109-2023</t>
        </is>
      </c>
      <c r="B2617" s="1" t="n">
        <v>45257</v>
      </c>
      <c r="C2617" s="1" t="n">
        <v>45807</v>
      </c>
      <c r="D2617" t="inlineStr">
        <is>
          <t>VÄSTERBOTTENS LÄN</t>
        </is>
      </c>
      <c r="E2617" t="inlineStr">
        <is>
          <t>SKELLEFTEÅ</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59798-2023</t>
        </is>
      </c>
      <c r="B2618" s="1" t="n">
        <v>45257</v>
      </c>
      <c r="C2618" s="1" t="n">
        <v>45807</v>
      </c>
      <c r="D2618" t="inlineStr">
        <is>
          <t>VÄSTERBOTTENS LÄN</t>
        </is>
      </c>
      <c r="E2618" t="inlineStr">
        <is>
          <t>SKELLEFTEÅ</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60130-2023</t>
        </is>
      </c>
      <c r="B2619" s="1" t="n">
        <v>45257</v>
      </c>
      <c r="C2619" s="1" t="n">
        <v>45807</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60305-2023</t>
        </is>
      </c>
      <c r="B2620" s="1" t="n">
        <v>45258</v>
      </c>
      <c r="C2620" s="1" t="n">
        <v>45807</v>
      </c>
      <c r="D2620" t="inlineStr">
        <is>
          <t>VÄSTERBOTTENS LÄN</t>
        </is>
      </c>
      <c r="E2620" t="inlineStr">
        <is>
          <t>SKELLEFTEÅ</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60451-2023</t>
        </is>
      </c>
      <c r="B2621" s="1" t="n">
        <v>45258</v>
      </c>
      <c r="C2621" s="1" t="n">
        <v>45807</v>
      </c>
      <c r="D2621" t="inlineStr">
        <is>
          <t>VÄSTERBOTTENS LÄN</t>
        </is>
      </c>
      <c r="E2621" t="inlineStr">
        <is>
          <t>SKELLEFTEÅ</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60479-2023</t>
        </is>
      </c>
      <c r="B2622" s="1" t="n">
        <v>45258</v>
      </c>
      <c r="C2622" s="1" t="n">
        <v>45807</v>
      </c>
      <c r="D2622" t="inlineStr">
        <is>
          <t>VÄSTERBOTTENS LÄN</t>
        </is>
      </c>
      <c r="E2622" t="inlineStr">
        <is>
          <t>SKELLEFTEÅ</t>
        </is>
      </c>
      <c r="G2622" t="n">
        <v>21.5</v>
      </c>
      <c r="H2622" t="n">
        <v>0</v>
      </c>
      <c r="I2622" t="n">
        <v>0</v>
      </c>
      <c r="J2622" t="n">
        <v>0</v>
      </c>
      <c r="K2622" t="n">
        <v>0</v>
      </c>
      <c r="L2622" t="n">
        <v>0</v>
      </c>
      <c r="M2622" t="n">
        <v>0</v>
      </c>
      <c r="N2622" t="n">
        <v>0</v>
      </c>
      <c r="O2622" t="n">
        <v>0</v>
      </c>
      <c r="P2622" t="n">
        <v>0</v>
      </c>
      <c r="Q2622" t="n">
        <v>0</v>
      </c>
      <c r="R2622" s="2" t="inlineStr"/>
    </row>
    <row r="2623" ht="15" customHeight="1">
      <c r="A2623" t="inlineStr">
        <is>
          <t>A 60412-2023</t>
        </is>
      </c>
      <c r="B2623" s="1" t="n">
        <v>45258</v>
      </c>
      <c r="C2623" s="1" t="n">
        <v>45807</v>
      </c>
      <c r="D2623" t="inlineStr">
        <is>
          <t>VÄSTERBOTTENS LÄN</t>
        </is>
      </c>
      <c r="E2623" t="inlineStr">
        <is>
          <t>SKELLEFTEÅ</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60339-2023</t>
        </is>
      </c>
      <c r="B2624" s="1" t="n">
        <v>45259</v>
      </c>
      <c r="C2624" s="1" t="n">
        <v>45807</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60569-2023</t>
        </is>
      </c>
      <c r="B2625" s="1" t="n">
        <v>45259</v>
      </c>
      <c r="C2625" s="1" t="n">
        <v>45807</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61064-2023</t>
        </is>
      </c>
      <c r="B2626" s="1" t="n">
        <v>45259</v>
      </c>
      <c r="C2626" s="1" t="n">
        <v>45807</v>
      </c>
      <c r="D2626" t="inlineStr">
        <is>
          <t>VÄSTERBOTTENS LÄN</t>
        </is>
      </c>
      <c r="E2626" t="inlineStr">
        <is>
          <t>SKELLEFTEÅ</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61069-2023</t>
        </is>
      </c>
      <c r="B2627" s="1" t="n">
        <v>45259</v>
      </c>
      <c r="C2627" s="1" t="n">
        <v>45807</v>
      </c>
      <c r="D2627" t="inlineStr">
        <is>
          <t>VÄSTERBOTTENS LÄN</t>
        </is>
      </c>
      <c r="E2627" t="inlineStr">
        <is>
          <t>SKELLEFTEÅ</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61049-2023</t>
        </is>
      </c>
      <c r="B2628" s="1" t="n">
        <v>45259</v>
      </c>
      <c r="C2628" s="1" t="n">
        <v>45807</v>
      </c>
      <c r="D2628" t="inlineStr">
        <is>
          <t>VÄSTERBOTTENS LÄN</t>
        </is>
      </c>
      <c r="E2628" t="inlineStr">
        <is>
          <t>SKELLEFTEÅ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60614-2023</t>
        </is>
      </c>
      <c r="B2629" s="1" t="n">
        <v>45260</v>
      </c>
      <c r="C2629" s="1" t="n">
        <v>45807</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60612-2023</t>
        </is>
      </c>
      <c r="B2630" s="1" t="n">
        <v>45260</v>
      </c>
      <c r="C2630" s="1" t="n">
        <v>45807</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60785-2023</t>
        </is>
      </c>
      <c r="B2631" s="1" t="n">
        <v>45260</v>
      </c>
      <c r="C2631" s="1" t="n">
        <v>45807</v>
      </c>
      <c r="D2631" t="inlineStr">
        <is>
          <t>VÄSTERBOTTENS LÄN</t>
        </is>
      </c>
      <c r="E2631" t="inlineStr">
        <is>
          <t>SKELLEFTEÅ</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60601-2023</t>
        </is>
      </c>
      <c r="B2632" s="1" t="n">
        <v>45260</v>
      </c>
      <c r="C2632" s="1" t="n">
        <v>45807</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61089-2023</t>
        </is>
      </c>
      <c r="B2633" s="1" t="n">
        <v>45260</v>
      </c>
      <c r="C2633" s="1" t="n">
        <v>45807</v>
      </c>
      <c r="D2633" t="inlineStr">
        <is>
          <t>VÄSTERBOTTENS LÄN</t>
        </is>
      </c>
      <c r="E2633" t="inlineStr">
        <is>
          <t>SKELLEFTEÅ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61239-2023</t>
        </is>
      </c>
      <c r="B2634" s="1" t="n">
        <v>45260</v>
      </c>
      <c r="C2634" s="1" t="n">
        <v>45807</v>
      </c>
      <c r="D2634" t="inlineStr">
        <is>
          <t>VÄSTERBOTTENS LÄN</t>
        </is>
      </c>
      <c r="E2634" t="inlineStr">
        <is>
          <t>SKELLEFTEÅ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61087-2023</t>
        </is>
      </c>
      <c r="B2635" s="1" t="n">
        <v>45260</v>
      </c>
      <c r="C2635" s="1" t="n">
        <v>45807</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60896-2023</t>
        </is>
      </c>
      <c r="B2636" s="1" t="n">
        <v>45261</v>
      </c>
      <c r="C2636" s="1" t="n">
        <v>45807</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61033-2023</t>
        </is>
      </c>
      <c r="B2637" s="1" t="n">
        <v>45261</v>
      </c>
      <c r="C2637" s="1" t="n">
        <v>45807</v>
      </c>
      <c r="D2637" t="inlineStr">
        <is>
          <t>VÄSTERBOTTENS LÄN</t>
        </is>
      </c>
      <c r="E2637" t="inlineStr">
        <is>
          <t>SKELLEFTEÅ</t>
        </is>
      </c>
      <c r="F2637" t="inlineStr">
        <is>
          <t>Sveaskog</t>
        </is>
      </c>
      <c r="G2637" t="n">
        <v>16.4</v>
      </c>
      <c r="H2637" t="n">
        <v>0</v>
      </c>
      <c r="I2637" t="n">
        <v>0</v>
      </c>
      <c r="J2637" t="n">
        <v>0</v>
      </c>
      <c r="K2637" t="n">
        <v>0</v>
      </c>
      <c r="L2637" t="n">
        <v>0</v>
      </c>
      <c r="M2637" t="n">
        <v>0</v>
      </c>
      <c r="N2637" t="n">
        <v>0</v>
      </c>
      <c r="O2637" t="n">
        <v>0</v>
      </c>
      <c r="P2637" t="n">
        <v>0</v>
      </c>
      <c r="Q2637" t="n">
        <v>0</v>
      </c>
      <c r="R2637" s="2" t="inlineStr"/>
    </row>
    <row r="2638" ht="15" customHeight="1">
      <c r="A2638" t="inlineStr">
        <is>
          <t>A 60898-2023</t>
        </is>
      </c>
      <c r="B2638" s="1" t="n">
        <v>45261</v>
      </c>
      <c r="C2638" s="1" t="n">
        <v>45807</v>
      </c>
      <c r="D2638" t="inlineStr">
        <is>
          <t>VÄSTERBOTTENS LÄN</t>
        </is>
      </c>
      <c r="E2638" t="inlineStr">
        <is>
          <t>SKELLEFTEÅ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61130-2023</t>
        </is>
      </c>
      <c r="B2639" s="1" t="n">
        <v>45261</v>
      </c>
      <c r="C2639" s="1" t="n">
        <v>45807</v>
      </c>
      <c r="D2639" t="inlineStr">
        <is>
          <t>VÄSTERBOTTENS LÄN</t>
        </is>
      </c>
      <c r="E2639" t="inlineStr">
        <is>
          <t>SKELLEFTEÅ</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61147-2023</t>
        </is>
      </c>
      <c r="B2640" s="1" t="n">
        <v>45262</v>
      </c>
      <c r="C2640" s="1" t="n">
        <v>45807</v>
      </c>
      <c r="D2640" t="inlineStr">
        <is>
          <t>VÄSTERBOTTENS LÄN</t>
        </is>
      </c>
      <c r="E2640" t="inlineStr">
        <is>
          <t>SKELLEFTEÅ</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61145-2023</t>
        </is>
      </c>
      <c r="B2641" s="1" t="n">
        <v>45262</v>
      </c>
      <c r="C2641" s="1" t="n">
        <v>45807</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61146-2023</t>
        </is>
      </c>
      <c r="B2642" s="1" t="n">
        <v>45262</v>
      </c>
      <c r="C2642" s="1" t="n">
        <v>45807</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61292-2023</t>
        </is>
      </c>
      <c r="B2643" s="1" t="n">
        <v>45264</v>
      </c>
      <c r="C2643" s="1" t="n">
        <v>45807</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61186-2023</t>
        </is>
      </c>
      <c r="B2644" s="1" t="n">
        <v>45264</v>
      </c>
      <c r="C2644" s="1" t="n">
        <v>45807</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61242-2023</t>
        </is>
      </c>
      <c r="B2645" s="1" t="n">
        <v>45264</v>
      </c>
      <c r="C2645" s="1" t="n">
        <v>45807</v>
      </c>
      <c r="D2645" t="inlineStr">
        <is>
          <t>VÄSTERBOTTENS LÄN</t>
        </is>
      </c>
      <c r="E2645" t="inlineStr">
        <is>
          <t>SKELLEFTEÅ</t>
        </is>
      </c>
      <c r="F2645" t="inlineStr">
        <is>
          <t>Holmen skog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61188-2023</t>
        </is>
      </c>
      <c r="B2646" s="1" t="n">
        <v>45264</v>
      </c>
      <c r="C2646" s="1" t="n">
        <v>45807</v>
      </c>
      <c r="D2646" t="inlineStr">
        <is>
          <t>VÄSTERBOTTENS LÄN</t>
        </is>
      </c>
      <c r="E2646" t="inlineStr">
        <is>
          <t>SKELLEFTEÅ</t>
        </is>
      </c>
      <c r="F2646" t="inlineStr">
        <is>
          <t>Sveaskog</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61457-2023</t>
        </is>
      </c>
      <c r="B2647" s="1" t="n">
        <v>45264</v>
      </c>
      <c r="C2647" s="1" t="n">
        <v>45807</v>
      </c>
      <c r="D2647" t="inlineStr">
        <is>
          <t>VÄSTERBOTTENS LÄN</t>
        </is>
      </c>
      <c r="E2647" t="inlineStr">
        <is>
          <t>SKELLEFTEÅ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61733-2023</t>
        </is>
      </c>
      <c r="B2648" s="1" t="n">
        <v>45264</v>
      </c>
      <c r="C2648" s="1" t="n">
        <v>45807</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61730-2023</t>
        </is>
      </c>
      <c r="B2649" s="1" t="n">
        <v>45264</v>
      </c>
      <c r="C2649" s="1" t="n">
        <v>45807</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61723-2023</t>
        </is>
      </c>
      <c r="B2650" s="1" t="n">
        <v>45264</v>
      </c>
      <c r="C2650" s="1" t="n">
        <v>45807</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61808-2023</t>
        </is>
      </c>
      <c r="B2651" s="1" t="n">
        <v>45264</v>
      </c>
      <c r="C2651" s="1" t="n">
        <v>45807</v>
      </c>
      <c r="D2651" t="inlineStr">
        <is>
          <t>VÄSTERBOTTENS LÄN</t>
        </is>
      </c>
      <c r="E2651" t="inlineStr">
        <is>
          <t>SKELLEFTEÅ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61928-2023</t>
        </is>
      </c>
      <c r="B2652" s="1" t="n">
        <v>45265</v>
      </c>
      <c r="C2652" s="1" t="n">
        <v>45807</v>
      </c>
      <c r="D2652" t="inlineStr">
        <is>
          <t>VÄSTERBOTTENS LÄN</t>
        </is>
      </c>
      <c r="E2652" t="inlineStr">
        <is>
          <t>SKELLEFTEÅ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61927-2023</t>
        </is>
      </c>
      <c r="B2653" s="1" t="n">
        <v>45265</v>
      </c>
      <c r="C2653" s="1" t="n">
        <v>45807</v>
      </c>
      <c r="D2653" t="inlineStr">
        <is>
          <t>VÄSTERBOTTENS LÄN</t>
        </is>
      </c>
      <c r="E2653" t="inlineStr">
        <is>
          <t>SKELLEFTEÅ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62300-2023</t>
        </is>
      </c>
      <c r="B2654" s="1" t="n">
        <v>45266</v>
      </c>
      <c r="C2654" s="1" t="n">
        <v>45807</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62141-2023</t>
        </is>
      </c>
      <c r="B2655" s="1" t="n">
        <v>45267</v>
      </c>
      <c r="C2655" s="1" t="n">
        <v>45807</v>
      </c>
      <c r="D2655" t="inlineStr">
        <is>
          <t>VÄSTERBOTTENS LÄN</t>
        </is>
      </c>
      <c r="E2655" t="inlineStr">
        <is>
          <t>SKELLEFTEÅ</t>
        </is>
      </c>
      <c r="G2655" t="n">
        <v>12.7</v>
      </c>
      <c r="H2655" t="n">
        <v>0</v>
      </c>
      <c r="I2655" t="n">
        <v>0</v>
      </c>
      <c r="J2655" t="n">
        <v>0</v>
      </c>
      <c r="K2655" t="n">
        <v>0</v>
      </c>
      <c r="L2655" t="n">
        <v>0</v>
      </c>
      <c r="M2655" t="n">
        <v>0</v>
      </c>
      <c r="N2655" t="n">
        <v>0</v>
      </c>
      <c r="O2655" t="n">
        <v>0</v>
      </c>
      <c r="P2655" t="n">
        <v>0</v>
      </c>
      <c r="Q2655" t="n">
        <v>0</v>
      </c>
      <c r="R2655" s="2" t="inlineStr"/>
    </row>
    <row r="2656" ht="15" customHeight="1">
      <c r="A2656" t="inlineStr">
        <is>
          <t>A 62345-2023</t>
        </is>
      </c>
      <c r="B2656" s="1" t="n">
        <v>45267</v>
      </c>
      <c r="C2656" s="1" t="n">
        <v>45807</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62336-2023</t>
        </is>
      </c>
      <c r="B2657" s="1" t="n">
        <v>45267</v>
      </c>
      <c r="C2657" s="1" t="n">
        <v>45807</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62344-2023</t>
        </is>
      </c>
      <c r="B2658" s="1" t="n">
        <v>45267</v>
      </c>
      <c r="C2658" s="1" t="n">
        <v>45807</v>
      </c>
      <c r="D2658" t="inlineStr">
        <is>
          <t>VÄSTERBOTTENS LÄN</t>
        </is>
      </c>
      <c r="E2658" t="inlineStr">
        <is>
          <t>SKELLEFTEÅ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62347-2023</t>
        </is>
      </c>
      <c r="B2659" s="1" t="n">
        <v>45267</v>
      </c>
      <c r="C2659" s="1" t="n">
        <v>45807</v>
      </c>
      <c r="D2659" t="inlineStr">
        <is>
          <t>VÄSTERBOTTENS LÄN</t>
        </is>
      </c>
      <c r="E2659" t="inlineStr">
        <is>
          <t>SKELLEFTEÅ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62599-2023</t>
        </is>
      </c>
      <c r="B2660" s="1" t="n">
        <v>45267</v>
      </c>
      <c r="C2660" s="1" t="n">
        <v>45807</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62601-2023</t>
        </is>
      </c>
      <c r="B2661" s="1" t="n">
        <v>45267</v>
      </c>
      <c r="C2661" s="1" t="n">
        <v>45807</v>
      </c>
      <c r="D2661" t="inlineStr">
        <is>
          <t>VÄSTERBOTTENS LÄN</t>
        </is>
      </c>
      <c r="E2661" t="inlineStr">
        <is>
          <t>SKELLEFTEÅ</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62547-2023</t>
        </is>
      </c>
      <c r="B2662" s="1" t="n">
        <v>45268</v>
      </c>
      <c r="C2662" s="1" t="n">
        <v>45807</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62504-2023</t>
        </is>
      </c>
      <c r="B2663" s="1" t="n">
        <v>45268</v>
      </c>
      <c r="C2663" s="1" t="n">
        <v>45807</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62708-2023</t>
        </is>
      </c>
      <c r="B2664" s="1" t="n">
        <v>45271</v>
      </c>
      <c r="C2664" s="1" t="n">
        <v>45807</v>
      </c>
      <c r="D2664" t="inlineStr">
        <is>
          <t>VÄSTERBOTTENS LÄN</t>
        </is>
      </c>
      <c r="E2664" t="inlineStr">
        <is>
          <t>SKELLEFTEÅ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62885-2023</t>
        </is>
      </c>
      <c r="B2665" s="1" t="n">
        <v>45271</v>
      </c>
      <c r="C2665" s="1" t="n">
        <v>45807</v>
      </c>
      <c r="D2665" t="inlineStr">
        <is>
          <t>VÄSTERBOTTENS LÄN</t>
        </is>
      </c>
      <c r="E2665" t="inlineStr">
        <is>
          <t>SKELLEFTEÅ</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63010-2023</t>
        </is>
      </c>
      <c r="B2666" s="1" t="n">
        <v>45272</v>
      </c>
      <c r="C2666" s="1" t="n">
        <v>45807</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62961-2023</t>
        </is>
      </c>
      <c r="B2667" s="1" t="n">
        <v>45272</v>
      </c>
      <c r="C2667" s="1" t="n">
        <v>45807</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63525-2023</t>
        </is>
      </c>
      <c r="B2668" s="1" t="n">
        <v>45274</v>
      </c>
      <c r="C2668" s="1" t="n">
        <v>45807</v>
      </c>
      <c r="D2668" t="inlineStr">
        <is>
          <t>VÄSTERBOTTENS LÄN</t>
        </is>
      </c>
      <c r="E2668" t="inlineStr">
        <is>
          <t>SKELLEFTEÅ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63704-2023</t>
        </is>
      </c>
      <c r="B2669" s="1" t="n">
        <v>45275</v>
      </c>
      <c r="C2669" s="1" t="n">
        <v>45807</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63757-2023</t>
        </is>
      </c>
      <c r="B2670" s="1" t="n">
        <v>45278</v>
      </c>
      <c r="C2670" s="1" t="n">
        <v>45807</v>
      </c>
      <c r="D2670" t="inlineStr">
        <is>
          <t>VÄSTERBOTTENS LÄN</t>
        </is>
      </c>
      <c r="E2670" t="inlineStr">
        <is>
          <t>SKELLEFTEÅ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63759-2023</t>
        </is>
      </c>
      <c r="B2671" s="1" t="n">
        <v>45278</v>
      </c>
      <c r="C2671" s="1" t="n">
        <v>45807</v>
      </c>
      <c r="D2671" t="inlineStr">
        <is>
          <t>VÄSTERBOTTENS LÄN</t>
        </is>
      </c>
      <c r="E2671" t="inlineStr">
        <is>
          <t>SKELLEFTEÅ</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63935-2023</t>
        </is>
      </c>
      <c r="B2672" s="1" t="n">
        <v>45278</v>
      </c>
      <c r="C2672" s="1" t="n">
        <v>45807</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64009-2023</t>
        </is>
      </c>
      <c r="B2673" s="1" t="n">
        <v>45278</v>
      </c>
      <c r="C2673" s="1" t="n">
        <v>45807</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64006-2023</t>
        </is>
      </c>
      <c r="B2674" s="1" t="n">
        <v>45278</v>
      </c>
      <c r="C2674" s="1" t="n">
        <v>45807</v>
      </c>
      <c r="D2674" t="inlineStr">
        <is>
          <t>VÄSTERBOTTENS LÄN</t>
        </is>
      </c>
      <c r="E2674" t="inlineStr">
        <is>
          <t>SKELLEFTEÅ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64008-2023</t>
        </is>
      </c>
      <c r="B2675" s="1" t="n">
        <v>45278</v>
      </c>
      <c r="C2675" s="1" t="n">
        <v>45807</v>
      </c>
      <c r="D2675" t="inlineStr">
        <is>
          <t>VÄSTERBOTTENS LÄN</t>
        </is>
      </c>
      <c r="E2675" t="inlineStr">
        <is>
          <t>SKELLEFTEÅ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64258-2023</t>
        </is>
      </c>
      <c r="B2676" s="1" t="n">
        <v>45279</v>
      </c>
      <c r="C2676" s="1" t="n">
        <v>45807</v>
      </c>
      <c r="D2676" t="inlineStr">
        <is>
          <t>VÄSTERBOTTENS LÄN</t>
        </is>
      </c>
      <c r="E2676" t="inlineStr">
        <is>
          <t>SKELLEFTEÅ</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64257-2023</t>
        </is>
      </c>
      <c r="B2677" s="1" t="n">
        <v>45279</v>
      </c>
      <c r="C2677" s="1" t="n">
        <v>45807</v>
      </c>
      <c r="D2677" t="inlineStr">
        <is>
          <t>VÄSTERBOTTENS LÄN</t>
        </is>
      </c>
      <c r="E2677" t="inlineStr">
        <is>
          <t>SKELLEFTEÅ</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64183-2023</t>
        </is>
      </c>
      <c r="B2678" s="1" t="n">
        <v>45279</v>
      </c>
      <c r="C2678" s="1" t="n">
        <v>45807</v>
      </c>
      <c r="D2678" t="inlineStr">
        <is>
          <t>VÄSTERBOTTENS LÄN</t>
        </is>
      </c>
      <c r="E2678" t="inlineStr">
        <is>
          <t>SKELLEFTEÅ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1815-2024</t>
        </is>
      </c>
      <c r="B2679" s="1" t="n">
        <v>45279</v>
      </c>
      <c r="C2679" s="1" t="n">
        <v>45807</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64323-2023</t>
        </is>
      </c>
      <c r="B2680" s="1" t="n">
        <v>45280</v>
      </c>
      <c r="C2680" s="1" t="n">
        <v>45807</v>
      </c>
      <c r="D2680" t="inlineStr">
        <is>
          <t>VÄSTERBOTTENS LÄN</t>
        </is>
      </c>
      <c r="E2680" t="inlineStr">
        <is>
          <t>SKELLEFTEÅ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64340-2023</t>
        </is>
      </c>
      <c r="B2681" s="1" t="n">
        <v>45280</v>
      </c>
      <c r="C2681" s="1" t="n">
        <v>45807</v>
      </c>
      <c r="D2681" t="inlineStr">
        <is>
          <t>VÄSTERBOTTENS LÄN</t>
        </is>
      </c>
      <c r="E2681" t="inlineStr">
        <is>
          <t>SKELLEFTEÅ</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64370-2023</t>
        </is>
      </c>
      <c r="B2682" s="1" t="n">
        <v>45280</v>
      </c>
      <c r="C2682" s="1" t="n">
        <v>45807</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64598-2023</t>
        </is>
      </c>
      <c r="B2683" s="1" t="n">
        <v>45281</v>
      </c>
      <c r="C2683" s="1" t="n">
        <v>45807</v>
      </c>
      <c r="D2683" t="inlineStr">
        <is>
          <t>VÄSTERBOTTENS LÄN</t>
        </is>
      </c>
      <c r="E2683" t="inlineStr">
        <is>
          <t>SKELLEFTEÅ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64682-2023</t>
        </is>
      </c>
      <c r="B2684" s="1" t="n">
        <v>45281</v>
      </c>
      <c r="C2684" s="1" t="n">
        <v>45807</v>
      </c>
      <c r="D2684" t="inlineStr">
        <is>
          <t>VÄSTERBOTTENS LÄN</t>
        </is>
      </c>
      <c r="E2684" t="inlineStr">
        <is>
          <t>SKELLEFTEÅ</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64720-2023</t>
        </is>
      </c>
      <c r="B2685" s="1" t="n">
        <v>45281</v>
      </c>
      <c r="C2685" s="1" t="n">
        <v>45807</v>
      </c>
      <c r="D2685" t="inlineStr">
        <is>
          <t>VÄSTERBOTTENS LÄN</t>
        </is>
      </c>
      <c r="E2685" t="inlineStr">
        <is>
          <t>SKELLEFTEÅ</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64716-2023</t>
        </is>
      </c>
      <c r="B2686" s="1" t="n">
        <v>45281</v>
      </c>
      <c r="C2686" s="1" t="n">
        <v>45807</v>
      </c>
      <c r="D2686" t="inlineStr">
        <is>
          <t>VÄSTERBOTTENS LÄN</t>
        </is>
      </c>
      <c r="E2686" t="inlineStr">
        <is>
          <t>SKELLEFTEÅ</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64723-2023</t>
        </is>
      </c>
      <c r="B2687" s="1" t="n">
        <v>45281</v>
      </c>
      <c r="C2687" s="1" t="n">
        <v>45807</v>
      </c>
      <c r="D2687" t="inlineStr">
        <is>
          <t>VÄSTERBOTTENS LÄN</t>
        </is>
      </c>
      <c r="E2687" t="inlineStr">
        <is>
          <t>SKELLEFTEÅ</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64726-2023</t>
        </is>
      </c>
      <c r="B2688" s="1" t="n">
        <v>45281</v>
      </c>
      <c r="C2688" s="1" t="n">
        <v>45807</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64750-2023</t>
        </is>
      </c>
      <c r="B2689" s="1" t="n">
        <v>45281</v>
      </c>
      <c r="C2689" s="1" t="n">
        <v>45807</v>
      </c>
      <c r="D2689" t="inlineStr">
        <is>
          <t>VÄSTERBOTTENS LÄN</t>
        </is>
      </c>
      <c r="E2689" t="inlineStr">
        <is>
          <t>SKELLEFTEÅ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64920-2023</t>
        </is>
      </c>
      <c r="B2690" s="1" t="n">
        <v>45282</v>
      </c>
      <c r="C2690" s="1" t="n">
        <v>45807</v>
      </c>
      <c r="D2690" t="inlineStr">
        <is>
          <t>VÄSTERBOTTENS LÄN</t>
        </is>
      </c>
      <c r="E2690" t="inlineStr">
        <is>
          <t>SKELLEFTEÅ</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64942-2023</t>
        </is>
      </c>
      <c r="B2691" s="1" t="n">
        <v>45282</v>
      </c>
      <c r="C2691" s="1" t="n">
        <v>45807</v>
      </c>
      <c r="D2691" t="inlineStr">
        <is>
          <t>VÄSTERBOTTENS LÄN</t>
        </is>
      </c>
      <c r="E2691" t="inlineStr">
        <is>
          <t>SKELLEFTEÅ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65010-2023</t>
        </is>
      </c>
      <c r="B2692" s="1" t="n">
        <v>45282</v>
      </c>
      <c r="C2692" s="1" t="n">
        <v>45807</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64941-2023</t>
        </is>
      </c>
      <c r="B2693" s="1" t="n">
        <v>45282</v>
      </c>
      <c r="C2693" s="1" t="n">
        <v>45807</v>
      </c>
      <c r="D2693" t="inlineStr">
        <is>
          <t>VÄSTERBOTTENS LÄN</t>
        </is>
      </c>
      <c r="E2693" t="inlineStr">
        <is>
          <t>SKELLEFTEÅ</t>
        </is>
      </c>
      <c r="G2693" t="n">
        <v>12.9</v>
      </c>
      <c r="H2693" t="n">
        <v>0</v>
      </c>
      <c r="I2693" t="n">
        <v>0</v>
      </c>
      <c r="J2693" t="n">
        <v>0</v>
      </c>
      <c r="K2693" t="n">
        <v>0</v>
      </c>
      <c r="L2693" t="n">
        <v>0</v>
      </c>
      <c r="M2693" t="n">
        <v>0</v>
      </c>
      <c r="N2693" t="n">
        <v>0</v>
      </c>
      <c r="O2693" t="n">
        <v>0</v>
      </c>
      <c r="P2693" t="n">
        <v>0</v>
      </c>
      <c r="Q2693" t="n">
        <v>0</v>
      </c>
      <c r="R2693" s="2" t="inlineStr"/>
    </row>
    <row r="2694" ht="15" customHeight="1">
      <c r="A2694" t="inlineStr">
        <is>
          <t>A 65009-2023</t>
        </is>
      </c>
      <c r="B2694" s="1" t="n">
        <v>45287</v>
      </c>
      <c r="C2694" s="1" t="n">
        <v>45807</v>
      </c>
      <c r="D2694" t="inlineStr">
        <is>
          <t>VÄSTERBOTTENS LÄN</t>
        </is>
      </c>
      <c r="E2694" t="inlineStr">
        <is>
          <t>SKELLEFTEÅ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65011-2023</t>
        </is>
      </c>
      <c r="B2695" s="1" t="n">
        <v>45287</v>
      </c>
      <c r="C2695" s="1" t="n">
        <v>45807</v>
      </c>
      <c r="D2695" t="inlineStr">
        <is>
          <t>VÄSTERBOTTENS LÄN</t>
        </is>
      </c>
      <c r="E2695" t="inlineStr">
        <is>
          <t>SKELLEFTEÅ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65128-2023</t>
        </is>
      </c>
      <c r="B2696" s="1" t="n">
        <v>45288</v>
      </c>
      <c r="C2696" s="1" t="n">
        <v>45807</v>
      </c>
      <c r="D2696" t="inlineStr">
        <is>
          <t>VÄSTERBOTTENS LÄN</t>
        </is>
      </c>
      <c r="E2696" t="inlineStr">
        <is>
          <t>SKELLEFTEÅ</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65165-2023</t>
        </is>
      </c>
      <c r="B2697" s="1" t="n">
        <v>45288</v>
      </c>
      <c r="C2697" s="1" t="n">
        <v>45807</v>
      </c>
      <c r="D2697" t="inlineStr">
        <is>
          <t>VÄSTERBOTTENS LÄN</t>
        </is>
      </c>
      <c r="E2697" t="inlineStr">
        <is>
          <t>SKELLEFTEÅ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65178-2023</t>
        </is>
      </c>
      <c r="B2698" s="1" t="n">
        <v>45288</v>
      </c>
      <c r="C2698" s="1" t="n">
        <v>45807</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65191-2023</t>
        </is>
      </c>
      <c r="B2699" s="1" t="n">
        <v>45288</v>
      </c>
      <c r="C2699" s="1" t="n">
        <v>45807</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65206-2023</t>
        </is>
      </c>
      <c r="B2700" s="1" t="n">
        <v>45289</v>
      </c>
      <c r="C2700" s="1" t="n">
        <v>45807</v>
      </c>
      <c r="D2700" t="inlineStr">
        <is>
          <t>VÄSTERBOTTENS LÄN</t>
        </is>
      </c>
      <c r="E2700" t="inlineStr">
        <is>
          <t>SKELLEFTEÅ</t>
        </is>
      </c>
      <c r="G2700" t="n">
        <v>19.2</v>
      </c>
      <c r="H2700" t="n">
        <v>0</v>
      </c>
      <c r="I2700" t="n">
        <v>0</v>
      </c>
      <c r="J2700" t="n">
        <v>0</v>
      </c>
      <c r="K2700" t="n">
        <v>0</v>
      </c>
      <c r="L2700" t="n">
        <v>0</v>
      </c>
      <c r="M2700" t="n">
        <v>0</v>
      </c>
      <c r="N2700" t="n">
        <v>0</v>
      </c>
      <c r="O2700" t="n">
        <v>0</v>
      </c>
      <c r="P2700" t="n">
        <v>0</v>
      </c>
      <c r="Q2700" t="n">
        <v>0</v>
      </c>
      <c r="R2700" s="2" t="inlineStr"/>
    </row>
    <row r="2701" ht="15" customHeight="1">
      <c r="A2701" t="inlineStr">
        <is>
          <t>A 65243-2023</t>
        </is>
      </c>
      <c r="B2701" s="1" t="n">
        <v>45289</v>
      </c>
      <c r="C2701" s="1" t="n">
        <v>45807</v>
      </c>
      <c r="D2701" t="inlineStr">
        <is>
          <t>VÄSTERBOTTENS LÄN</t>
        </is>
      </c>
      <c r="E2701" t="inlineStr">
        <is>
          <t>SKELLEFTEÅ</t>
        </is>
      </c>
      <c r="G2701" t="n">
        <v>22.2</v>
      </c>
      <c r="H2701" t="n">
        <v>0</v>
      </c>
      <c r="I2701" t="n">
        <v>0</v>
      </c>
      <c r="J2701" t="n">
        <v>0</v>
      </c>
      <c r="K2701" t="n">
        <v>0</v>
      </c>
      <c r="L2701" t="n">
        <v>0</v>
      </c>
      <c r="M2701" t="n">
        <v>0</v>
      </c>
      <c r="N2701" t="n">
        <v>0</v>
      </c>
      <c r="O2701" t="n">
        <v>0</v>
      </c>
      <c r="P2701" t="n">
        <v>0</v>
      </c>
      <c r="Q2701" t="n">
        <v>0</v>
      </c>
      <c r="R2701" s="2" t="inlineStr"/>
    </row>
    <row r="2702" ht="15" customHeight="1">
      <c r="A2702" t="inlineStr">
        <is>
          <t>A 27-2024</t>
        </is>
      </c>
      <c r="B2702" s="1" t="n">
        <v>45293</v>
      </c>
      <c r="C2702" s="1" t="n">
        <v>45807</v>
      </c>
      <c r="D2702" t="inlineStr">
        <is>
          <t>VÄSTERBOTTENS LÄN</t>
        </is>
      </c>
      <c r="E2702" t="inlineStr">
        <is>
          <t>SKELLEFTEÅ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207-2024</t>
        </is>
      </c>
      <c r="B2703" s="1" t="n">
        <v>45293</v>
      </c>
      <c r="C2703" s="1" t="n">
        <v>45807</v>
      </c>
      <c r="D2703" t="inlineStr">
        <is>
          <t>VÄSTERBOTTENS LÄN</t>
        </is>
      </c>
      <c r="E2703" t="inlineStr">
        <is>
          <t>SKELLEFTEÅ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381-2024</t>
        </is>
      </c>
      <c r="B2704" s="1" t="n">
        <v>45296</v>
      </c>
      <c r="C2704" s="1" t="n">
        <v>45807</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418-2024</t>
        </is>
      </c>
      <c r="B2705" s="1" t="n">
        <v>45296</v>
      </c>
      <c r="C2705" s="1" t="n">
        <v>45807</v>
      </c>
      <c r="D2705" t="inlineStr">
        <is>
          <t>VÄSTERBOTTENS LÄN</t>
        </is>
      </c>
      <c r="E2705" t="inlineStr">
        <is>
          <t>SKELLEFTEÅ</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671-2024</t>
        </is>
      </c>
      <c r="B2706" s="1" t="n">
        <v>45299</v>
      </c>
      <c r="C2706" s="1" t="n">
        <v>45807</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668-2024</t>
        </is>
      </c>
      <c r="B2707" s="1" t="n">
        <v>45300</v>
      </c>
      <c r="C2707" s="1" t="n">
        <v>45807</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1114-2024</t>
        </is>
      </c>
      <c r="B2708" s="1" t="n">
        <v>45302</v>
      </c>
      <c r="C2708" s="1" t="n">
        <v>45807</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1255-2024</t>
        </is>
      </c>
      <c r="B2709" s="1" t="n">
        <v>45302</v>
      </c>
      <c r="C2709" s="1" t="n">
        <v>45807</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1250-2024</t>
        </is>
      </c>
      <c r="B2710" s="1" t="n">
        <v>45302</v>
      </c>
      <c r="C2710" s="1" t="n">
        <v>45807</v>
      </c>
      <c r="D2710" t="inlineStr">
        <is>
          <t>VÄSTERBOTTENS LÄN</t>
        </is>
      </c>
      <c r="E2710" t="inlineStr">
        <is>
          <t>SKELLEFTEÅ</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1257-2024</t>
        </is>
      </c>
      <c r="B2711" s="1" t="n">
        <v>45302</v>
      </c>
      <c r="C2711" s="1" t="n">
        <v>45807</v>
      </c>
      <c r="D2711" t="inlineStr">
        <is>
          <t>VÄSTERBOTTENS LÄN</t>
        </is>
      </c>
      <c r="E2711" t="inlineStr">
        <is>
          <t>SKELLEFTEÅ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1256-2024</t>
        </is>
      </c>
      <c r="B2712" s="1" t="n">
        <v>45302</v>
      </c>
      <c r="C2712" s="1" t="n">
        <v>45807</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1280-2024</t>
        </is>
      </c>
      <c r="B2713" s="1" t="n">
        <v>45303</v>
      </c>
      <c r="C2713" s="1" t="n">
        <v>45807</v>
      </c>
      <c r="D2713" t="inlineStr">
        <is>
          <t>VÄSTERBOTTENS LÄN</t>
        </is>
      </c>
      <c r="E2713" t="inlineStr">
        <is>
          <t>SKELLEFTEÅ</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1419-2024</t>
        </is>
      </c>
      <c r="B2714" s="1" t="n">
        <v>45303</v>
      </c>
      <c r="C2714" s="1" t="n">
        <v>45807</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1507-2024</t>
        </is>
      </c>
      <c r="B2715" s="1" t="n">
        <v>45306</v>
      </c>
      <c r="C2715" s="1" t="n">
        <v>45807</v>
      </c>
      <c r="D2715" t="inlineStr">
        <is>
          <t>VÄSTERBOTTENS LÄN</t>
        </is>
      </c>
      <c r="E2715" t="inlineStr">
        <is>
          <t>SKELLEFTEÅ</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1498-2024</t>
        </is>
      </c>
      <c r="B2716" s="1" t="n">
        <v>45306</v>
      </c>
      <c r="C2716" s="1" t="n">
        <v>45807</v>
      </c>
      <c r="D2716" t="inlineStr">
        <is>
          <t>VÄSTERBOTTENS LÄN</t>
        </is>
      </c>
      <c r="E2716" t="inlineStr">
        <is>
          <t>SKELLEFTEÅ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1564-2024</t>
        </is>
      </c>
      <c r="B2717" s="1" t="n">
        <v>45306</v>
      </c>
      <c r="C2717" s="1" t="n">
        <v>45807</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1829-2024</t>
        </is>
      </c>
      <c r="B2718" s="1" t="n">
        <v>45307</v>
      </c>
      <c r="C2718" s="1" t="n">
        <v>45807</v>
      </c>
      <c r="D2718" t="inlineStr">
        <is>
          <t>VÄSTERBOTTENS LÄN</t>
        </is>
      </c>
      <c r="E2718" t="inlineStr">
        <is>
          <t>SKELLEFTEÅ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1827-2024</t>
        </is>
      </c>
      <c r="B2719" s="1" t="n">
        <v>45307</v>
      </c>
      <c r="C2719" s="1" t="n">
        <v>45807</v>
      </c>
      <c r="D2719" t="inlineStr">
        <is>
          <t>VÄSTERBOTTENS LÄN</t>
        </is>
      </c>
      <c r="E2719" t="inlineStr">
        <is>
          <t>SKELLEFTEÅ</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1809-2024</t>
        </is>
      </c>
      <c r="B2720" s="1" t="n">
        <v>45307</v>
      </c>
      <c r="C2720" s="1" t="n">
        <v>45807</v>
      </c>
      <c r="D2720" t="inlineStr">
        <is>
          <t>VÄSTERBOTTENS LÄN</t>
        </is>
      </c>
      <c r="E2720" t="inlineStr">
        <is>
          <t>SKELLEFTEÅ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1826-2024</t>
        </is>
      </c>
      <c r="B2721" s="1" t="n">
        <v>45307</v>
      </c>
      <c r="C2721" s="1" t="n">
        <v>45807</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2050-2024</t>
        </is>
      </c>
      <c r="B2722" s="1" t="n">
        <v>45308</v>
      </c>
      <c r="C2722" s="1" t="n">
        <v>45807</v>
      </c>
      <c r="D2722" t="inlineStr">
        <is>
          <t>VÄSTERBOTTENS LÄN</t>
        </is>
      </c>
      <c r="E2722" t="inlineStr">
        <is>
          <t>SKELLEFTEÅ</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2058-2024</t>
        </is>
      </c>
      <c r="B2723" s="1" t="n">
        <v>45308</v>
      </c>
      <c r="C2723" s="1" t="n">
        <v>45807</v>
      </c>
      <c r="D2723" t="inlineStr">
        <is>
          <t>VÄSTERBOTTENS LÄN</t>
        </is>
      </c>
      <c r="E2723" t="inlineStr">
        <is>
          <t>SKELLEFTEÅ</t>
        </is>
      </c>
      <c r="G2723" t="n">
        <v>29.4</v>
      </c>
      <c r="H2723" t="n">
        <v>0</v>
      </c>
      <c r="I2723" t="n">
        <v>0</v>
      </c>
      <c r="J2723" t="n">
        <v>0</v>
      </c>
      <c r="K2723" t="n">
        <v>0</v>
      </c>
      <c r="L2723" t="n">
        <v>0</v>
      </c>
      <c r="M2723" t="n">
        <v>0</v>
      </c>
      <c r="N2723" t="n">
        <v>0</v>
      </c>
      <c r="O2723" t="n">
        <v>0</v>
      </c>
      <c r="P2723" t="n">
        <v>0</v>
      </c>
      <c r="Q2723" t="n">
        <v>0</v>
      </c>
      <c r="R2723" s="2" t="inlineStr"/>
    </row>
    <row r="2724" ht="15" customHeight="1">
      <c r="A2724" t="inlineStr">
        <is>
          <t>A 2043-2024</t>
        </is>
      </c>
      <c r="B2724" s="1" t="n">
        <v>45308</v>
      </c>
      <c r="C2724" s="1" t="n">
        <v>45807</v>
      </c>
      <c r="D2724" t="inlineStr">
        <is>
          <t>VÄSTERBOTTENS LÄN</t>
        </is>
      </c>
      <c r="E2724" t="inlineStr">
        <is>
          <t>SKELLEFTEÅ</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2051-2024</t>
        </is>
      </c>
      <c r="B2725" s="1" t="n">
        <v>45308</v>
      </c>
      <c r="C2725" s="1" t="n">
        <v>45807</v>
      </c>
      <c r="D2725" t="inlineStr">
        <is>
          <t>VÄSTERBOTTENS LÄN</t>
        </is>
      </c>
      <c r="E2725" t="inlineStr">
        <is>
          <t>SKELLEFTEÅ</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2055-2024</t>
        </is>
      </c>
      <c r="B2726" s="1" t="n">
        <v>45308</v>
      </c>
      <c r="C2726" s="1" t="n">
        <v>45807</v>
      </c>
      <c r="D2726" t="inlineStr">
        <is>
          <t>VÄSTERBOTTENS LÄN</t>
        </is>
      </c>
      <c r="E2726" t="inlineStr">
        <is>
          <t>SKELLEFTEÅ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2059-2024</t>
        </is>
      </c>
      <c r="B2727" s="1" t="n">
        <v>45308</v>
      </c>
      <c r="C2727" s="1" t="n">
        <v>45807</v>
      </c>
      <c r="D2727" t="inlineStr">
        <is>
          <t>VÄSTERBOTTENS LÄN</t>
        </is>
      </c>
      <c r="E2727" t="inlineStr">
        <is>
          <t>SKELLEFTEÅ</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2045-2024</t>
        </is>
      </c>
      <c r="B2728" s="1" t="n">
        <v>45308</v>
      </c>
      <c r="C2728" s="1" t="n">
        <v>45807</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2052-2024</t>
        </is>
      </c>
      <c r="B2729" s="1" t="n">
        <v>45308</v>
      </c>
      <c r="C2729" s="1" t="n">
        <v>45807</v>
      </c>
      <c r="D2729" t="inlineStr">
        <is>
          <t>VÄSTERBOTTENS LÄN</t>
        </is>
      </c>
      <c r="E2729" t="inlineStr">
        <is>
          <t>SKELLEFTEÅ</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2170-2024</t>
        </is>
      </c>
      <c r="B2730" s="1" t="n">
        <v>45309</v>
      </c>
      <c r="C2730" s="1" t="n">
        <v>45807</v>
      </c>
      <c r="D2730" t="inlineStr">
        <is>
          <t>VÄSTERBOTTENS LÄN</t>
        </is>
      </c>
      <c r="E2730" t="inlineStr">
        <is>
          <t>SKELLEFTEÅ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2090-2024</t>
        </is>
      </c>
      <c r="B2731" s="1" t="n">
        <v>45309</v>
      </c>
      <c r="C2731" s="1" t="n">
        <v>45807</v>
      </c>
      <c r="D2731" t="inlineStr">
        <is>
          <t>VÄSTERBOTTENS LÄN</t>
        </is>
      </c>
      <c r="E2731" t="inlineStr">
        <is>
          <t>SKELLEFTEÅ</t>
        </is>
      </c>
      <c r="F2731" t="inlineStr">
        <is>
          <t>Sveaskog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2417-2024</t>
        </is>
      </c>
      <c r="B2732" s="1" t="n">
        <v>45310</v>
      </c>
      <c r="C2732" s="1" t="n">
        <v>45807</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2579-2024</t>
        </is>
      </c>
      <c r="B2733" s="1" t="n">
        <v>45313</v>
      </c>
      <c r="C2733" s="1" t="n">
        <v>45807</v>
      </c>
      <c r="D2733" t="inlineStr">
        <is>
          <t>VÄSTERBOTTENS LÄN</t>
        </is>
      </c>
      <c r="E2733" t="inlineStr">
        <is>
          <t>SKELLEFTEÅ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2526-2024</t>
        </is>
      </c>
      <c r="B2734" s="1" t="n">
        <v>45313</v>
      </c>
      <c r="C2734" s="1" t="n">
        <v>45807</v>
      </c>
      <c r="D2734" t="inlineStr">
        <is>
          <t>VÄSTERBOTTENS LÄN</t>
        </is>
      </c>
      <c r="E2734" t="inlineStr">
        <is>
          <t>SKELLEFTEÅ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2562-2024</t>
        </is>
      </c>
      <c r="B2735" s="1" t="n">
        <v>45313</v>
      </c>
      <c r="C2735" s="1" t="n">
        <v>45807</v>
      </c>
      <c r="D2735" t="inlineStr">
        <is>
          <t>VÄSTERBOTTENS LÄN</t>
        </is>
      </c>
      <c r="E2735" t="inlineStr">
        <is>
          <t>SKELLEFTEÅ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2572-2024</t>
        </is>
      </c>
      <c r="B2736" s="1" t="n">
        <v>45313</v>
      </c>
      <c r="C2736" s="1" t="n">
        <v>45807</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2641-2024</t>
        </is>
      </c>
      <c r="B2737" s="1" t="n">
        <v>45314</v>
      </c>
      <c r="C2737" s="1" t="n">
        <v>45807</v>
      </c>
      <c r="D2737" t="inlineStr">
        <is>
          <t>VÄSTERBOTTENS LÄN</t>
        </is>
      </c>
      <c r="E2737" t="inlineStr">
        <is>
          <t>SKELLEFTEÅ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2773-2024</t>
        </is>
      </c>
      <c r="B2738" s="1" t="n">
        <v>45314</v>
      </c>
      <c r="C2738" s="1" t="n">
        <v>45807</v>
      </c>
      <c r="D2738" t="inlineStr">
        <is>
          <t>VÄSTERBOTTENS LÄN</t>
        </is>
      </c>
      <c r="E2738" t="inlineStr">
        <is>
          <t>SKELLEFTEÅ</t>
        </is>
      </c>
      <c r="G2738" t="n">
        <v>11.5</v>
      </c>
      <c r="H2738" t="n">
        <v>0</v>
      </c>
      <c r="I2738" t="n">
        <v>0</v>
      </c>
      <c r="J2738" t="n">
        <v>0</v>
      </c>
      <c r="K2738" t="n">
        <v>0</v>
      </c>
      <c r="L2738" t="n">
        <v>0</v>
      </c>
      <c r="M2738" t="n">
        <v>0</v>
      </c>
      <c r="N2738" t="n">
        <v>0</v>
      </c>
      <c r="O2738" t="n">
        <v>0</v>
      </c>
      <c r="P2738" t="n">
        <v>0</v>
      </c>
      <c r="Q2738" t="n">
        <v>0</v>
      </c>
      <c r="R2738" s="2" t="inlineStr"/>
    </row>
    <row r="2739" ht="15" customHeight="1">
      <c r="A2739" t="inlineStr">
        <is>
          <t>A 2811-2024</t>
        </is>
      </c>
      <c r="B2739" s="1" t="n">
        <v>45314</v>
      </c>
      <c r="C2739" s="1" t="n">
        <v>45807</v>
      </c>
      <c r="D2739" t="inlineStr">
        <is>
          <t>VÄSTERBOTTENS LÄN</t>
        </is>
      </c>
      <c r="E2739" t="inlineStr">
        <is>
          <t>SKELLEFTEÅ</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2840-2024</t>
        </is>
      </c>
      <c r="B2740" s="1" t="n">
        <v>45315</v>
      </c>
      <c r="C2740" s="1" t="n">
        <v>45807</v>
      </c>
      <c r="D2740" t="inlineStr">
        <is>
          <t>VÄSTERBOTTENS LÄN</t>
        </is>
      </c>
      <c r="E2740" t="inlineStr">
        <is>
          <t>SKELLEFTEÅ</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2848-2024</t>
        </is>
      </c>
      <c r="B2741" s="1" t="n">
        <v>45315</v>
      </c>
      <c r="C2741" s="1" t="n">
        <v>45807</v>
      </c>
      <c r="D2741" t="inlineStr">
        <is>
          <t>VÄSTERBOTTENS LÄN</t>
        </is>
      </c>
      <c r="E2741" t="inlineStr">
        <is>
          <t>SKELLEFTEÅ</t>
        </is>
      </c>
      <c r="F2741" t="inlineStr">
        <is>
          <t>Sveaskog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2845-2024</t>
        </is>
      </c>
      <c r="B2742" s="1" t="n">
        <v>45315</v>
      </c>
      <c r="C2742" s="1" t="n">
        <v>45807</v>
      </c>
      <c r="D2742" t="inlineStr">
        <is>
          <t>VÄSTERBOTTENS LÄN</t>
        </is>
      </c>
      <c r="E2742" t="inlineStr">
        <is>
          <t>SKELLEFTEÅ</t>
        </is>
      </c>
      <c r="F2742" t="inlineStr">
        <is>
          <t>Sveaskog</t>
        </is>
      </c>
      <c r="G2742" t="n">
        <v>15.7</v>
      </c>
      <c r="H2742" t="n">
        <v>0</v>
      </c>
      <c r="I2742" t="n">
        <v>0</v>
      </c>
      <c r="J2742" t="n">
        <v>0</v>
      </c>
      <c r="K2742" t="n">
        <v>0</v>
      </c>
      <c r="L2742" t="n">
        <v>0</v>
      </c>
      <c r="M2742" t="n">
        <v>0</v>
      </c>
      <c r="N2742" t="n">
        <v>0</v>
      </c>
      <c r="O2742" t="n">
        <v>0</v>
      </c>
      <c r="P2742" t="n">
        <v>0</v>
      </c>
      <c r="Q2742" t="n">
        <v>0</v>
      </c>
      <c r="R2742" s="2" t="inlineStr"/>
    </row>
    <row r="2743" ht="15" customHeight="1">
      <c r="A2743" t="inlineStr">
        <is>
          <t>A 2955-2024</t>
        </is>
      </c>
      <c r="B2743" s="1" t="n">
        <v>45315</v>
      </c>
      <c r="C2743" s="1" t="n">
        <v>45807</v>
      </c>
      <c r="D2743" t="inlineStr">
        <is>
          <t>VÄSTERBOTTENS LÄN</t>
        </is>
      </c>
      <c r="E2743" t="inlineStr">
        <is>
          <t>SKELLEFTEÅ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2987-2024</t>
        </is>
      </c>
      <c r="B2744" s="1" t="n">
        <v>45315</v>
      </c>
      <c r="C2744" s="1" t="n">
        <v>45807</v>
      </c>
      <c r="D2744" t="inlineStr">
        <is>
          <t>VÄSTERBOTTENS LÄN</t>
        </is>
      </c>
      <c r="E2744" t="inlineStr">
        <is>
          <t>SKELLEFTEÅ</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2976-2024</t>
        </is>
      </c>
      <c r="B2745" s="1" t="n">
        <v>45315</v>
      </c>
      <c r="C2745" s="1" t="n">
        <v>45807</v>
      </c>
      <c r="D2745" t="inlineStr">
        <is>
          <t>VÄSTERBOTTENS LÄN</t>
        </is>
      </c>
      <c r="E2745" t="inlineStr">
        <is>
          <t>SKELLEFTEÅ</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3045-2024</t>
        </is>
      </c>
      <c r="B2746" s="1" t="n">
        <v>45316</v>
      </c>
      <c r="C2746" s="1" t="n">
        <v>45807</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3143-2024</t>
        </is>
      </c>
      <c r="B2747" s="1" t="n">
        <v>45316</v>
      </c>
      <c r="C2747" s="1" t="n">
        <v>45807</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3142-2024</t>
        </is>
      </c>
      <c r="B2748" s="1" t="n">
        <v>45316</v>
      </c>
      <c r="C2748" s="1" t="n">
        <v>45807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3141-2024</t>
        </is>
      </c>
      <c r="B2749" s="1" t="n">
        <v>45316</v>
      </c>
      <c r="C2749" s="1" t="n">
        <v>45807</v>
      </c>
      <c r="D2749" t="inlineStr">
        <is>
          <t>VÄSTERBOTTENS LÄN</t>
        </is>
      </c>
      <c r="E2749" t="inlineStr">
        <is>
          <t>SKELLEFTEÅ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3358-2024</t>
        </is>
      </c>
      <c r="B2750" s="1" t="n">
        <v>45317</v>
      </c>
      <c r="C2750" s="1" t="n">
        <v>45807</v>
      </c>
      <c r="D2750" t="inlineStr">
        <is>
          <t>VÄSTERBOTTENS LÄN</t>
        </is>
      </c>
      <c r="E2750" t="inlineStr">
        <is>
          <t>SKELLEFTEÅ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3445-2024</t>
        </is>
      </c>
      <c r="B2751" s="1" t="n">
        <v>45320</v>
      </c>
      <c r="C2751" s="1" t="n">
        <v>45807</v>
      </c>
      <c r="D2751" t="inlineStr">
        <is>
          <t>VÄSTERBOTTENS LÄN</t>
        </is>
      </c>
      <c r="E2751" t="inlineStr">
        <is>
          <t>SKELLEFTEÅ</t>
        </is>
      </c>
      <c r="G2751" t="n">
        <v>19.1</v>
      </c>
      <c r="H2751" t="n">
        <v>0</v>
      </c>
      <c r="I2751" t="n">
        <v>0</v>
      </c>
      <c r="J2751" t="n">
        <v>0</v>
      </c>
      <c r="K2751" t="n">
        <v>0</v>
      </c>
      <c r="L2751" t="n">
        <v>0</v>
      </c>
      <c r="M2751" t="n">
        <v>0</v>
      </c>
      <c r="N2751" t="n">
        <v>0</v>
      </c>
      <c r="O2751" t="n">
        <v>0</v>
      </c>
      <c r="P2751" t="n">
        <v>0</v>
      </c>
      <c r="Q2751" t="n">
        <v>0</v>
      </c>
      <c r="R2751" s="2" t="inlineStr"/>
    </row>
    <row r="2752" ht="15" customHeight="1">
      <c r="A2752" t="inlineStr">
        <is>
          <t>A 3451-2024</t>
        </is>
      </c>
      <c r="B2752" s="1" t="n">
        <v>45320</v>
      </c>
      <c r="C2752" s="1" t="n">
        <v>45807</v>
      </c>
      <c r="D2752" t="inlineStr">
        <is>
          <t>VÄSTERBOTTENS LÄN</t>
        </is>
      </c>
      <c r="E2752" t="inlineStr">
        <is>
          <t>SKELLEFTEÅ</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3465-2024</t>
        </is>
      </c>
      <c r="B2753" s="1" t="n">
        <v>45320</v>
      </c>
      <c r="C2753" s="1" t="n">
        <v>45807</v>
      </c>
      <c r="D2753" t="inlineStr">
        <is>
          <t>VÄSTERBOTTENS LÄN</t>
        </is>
      </c>
      <c r="E2753" t="inlineStr">
        <is>
          <t>SKELLEFTEÅ</t>
        </is>
      </c>
      <c r="G2753" t="n">
        <v>17.4</v>
      </c>
      <c r="H2753" t="n">
        <v>0</v>
      </c>
      <c r="I2753" t="n">
        <v>0</v>
      </c>
      <c r="J2753" t="n">
        <v>0</v>
      </c>
      <c r="K2753" t="n">
        <v>0</v>
      </c>
      <c r="L2753" t="n">
        <v>0</v>
      </c>
      <c r="M2753" t="n">
        <v>0</v>
      </c>
      <c r="N2753" t="n">
        <v>0</v>
      </c>
      <c r="O2753" t="n">
        <v>0</v>
      </c>
      <c r="P2753" t="n">
        <v>0</v>
      </c>
      <c r="Q2753" t="n">
        <v>0</v>
      </c>
      <c r="R2753" s="2" t="inlineStr"/>
    </row>
    <row r="2754" ht="15" customHeight="1">
      <c r="A2754" t="inlineStr">
        <is>
          <t>A 3571-2024</t>
        </is>
      </c>
      <c r="B2754" s="1" t="n">
        <v>45320</v>
      </c>
      <c r="C2754" s="1" t="n">
        <v>45807</v>
      </c>
      <c r="D2754" t="inlineStr">
        <is>
          <t>VÄSTERBOTTENS LÄN</t>
        </is>
      </c>
      <c r="E2754" t="inlineStr">
        <is>
          <t>SKELLEFTEÅ</t>
        </is>
      </c>
      <c r="F2754" t="inlineStr">
        <is>
          <t>Holmen skog AB</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3453-2024</t>
        </is>
      </c>
      <c r="B2755" s="1" t="n">
        <v>45320</v>
      </c>
      <c r="C2755" s="1" t="n">
        <v>45807</v>
      </c>
      <c r="D2755" t="inlineStr">
        <is>
          <t>VÄSTERBOTTENS LÄN</t>
        </is>
      </c>
      <c r="E2755" t="inlineStr">
        <is>
          <t>SKELLEFTEÅ</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3458-2024</t>
        </is>
      </c>
      <c r="B2756" s="1" t="n">
        <v>45320</v>
      </c>
      <c r="C2756" s="1" t="n">
        <v>45807</v>
      </c>
      <c r="D2756" t="inlineStr">
        <is>
          <t>VÄSTERBOTTENS LÄN</t>
        </is>
      </c>
      <c r="E2756" t="inlineStr">
        <is>
          <t>SKELLEFTEÅ</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3611-2024</t>
        </is>
      </c>
      <c r="B2757" s="1" t="n">
        <v>45320</v>
      </c>
      <c r="C2757" s="1" t="n">
        <v>45807</v>
      </c>
      <c r="D2757" t="inlineStr">
        <is>
          <t>VÄSTERBOTTENS LÄN</t>
        </is>
      </c>
      <c r="E2757" t="inlineStr">
        <is>
          <t>SKELLEFTEÅ</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3947-2024</t>
        </is>
      </c>
      <c r="B2758" s="1" t="n">
        <v>45322</v>
      </c>
      <c r="C2758" s="1" t="n">
        <v>45807</v>
      </c>
      <c r="D2758" t="inlineStr">
        <is>
          <t>VÄSTERBOTTENS LÄN</t>
        </is>
      </c>
      <c r="E2758" t="inlineStr">
        <is>
          <t>SKELLEFTEÅ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3983-2024</t>
        </is>
      </c>
      <c r="B2759" s="1" t="n">
        <v>45322</v>
      </c>
      <c r="C2759" s="1" t="n">
        <v>45807</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3962-2024</t>
        </is>
      </c>
      <c r="B2760" s="1" t="n">
        <v>45322</v>
      </c>
      <c r="C2760" s="1" t="n">
        <v>45807</v>
      </c>
      <c r="D2760" t="inlineStr">
        <is>
          <t>VÄSTERBOTTENS LÄN</t>
        </is>
      </c>
      <c r="E2760" t="inlineStr">
        <is>
          <t>SKELLEFTEÅ</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4022-2024</t>
        </is>
      </c>
      <c r="B2761" s="1" t="n">
        <v>45323</v>
      </c>
      <c r="C2761" s="1" t="n">
        <v>45807</v>
      </c>
      <c r="D2761" t="inlineStr">
        <is>
          <t>VÄSTERBOTTENS LÄN</t>
        </is>
      </c>
      <c r="E2761" t="inlineStr">
        <is>
          <t>SKELLEFTEÅ</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4034-2024</t>
        </is>
      </c>
      <c r="B2762" s="1" t="n">
        <v>45323</v>
      </c>
      <c r="C2762" s="1" t="n">
        <v>45807</v>
      </c>
      <c r="D2762" t="inlineStr">
        <is>
          <t>VÄSTERBOTTENS LÄN</t>
        </is>
      </c>
      <c r="E2762" t="inlineStr">
        <is>
          <t>SKELLEFTEÅ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4106-2024</t>
        </is>
      </c>
      <c r="B2763" s="1" t="n">
        <v>45323</v>
      </c>
      <c r="C2763" s="1" t="n">
        <v>45807</v>
      </c>
      <c r="D2763" t="inlineStr">
        <is>
          <t>VÄSTERBOTTENS LÄN</t>
        </is>
      </c>
      <c r="E2763" t="inlineStr">
        <is>
          <t>SKELLEFTEÅ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4118-2024</t>
        </is>
      </c>
      <c r="B2764" s="1" t="n">
        <v>45323</v>
      </c>
      <c r="C2764" s="1" t="n">
        <v>45807</v>
      </c>
      <c r="D2764" t="inlineStr">
        <is>
          <t>VÄSTERBOTTENS LÄN</t>
        </is>
      </c>
      <c r="E2764" t="inlineStr">
        <is>
          <t>SKELLEFTEÅ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4138-2024</t>
        </is>
      </c>
      <c r="B2765" s="1" t="n">
        <v>45323</v>
      </c>
      <c r="C2765" s="1" t="n">
        <v>45807</v>
      </c>
      <c r="D2765" t="inlineStr">
        <is>
          <t>VÄSTERBOTTENS LÄN</t>
        </is>
      </c>
      <c r="E2765" t="inlineStr">
        <is>
          <t>SKELLEFTEÅ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4008-2024</t>
        </is>
      </c>
      <c r="B2766" s="1" t="n">
        <v>45323</v>
      </c>
      <c r="C2766" s="1" t="n">
        <v>45807</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4032-2024</t>
        </is>
      </c>
      <c r="B2767" s="1" t="n">
        <v>45323</v>
      </c>
      <c r="C2767" s="1" t="n">
        <v>45807</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4019-2024</t>
        </is>
      </c>
      <c r="B2768" s="1" t="n">
        <v>45323</v>
      </c>
      <c r="C2768" s="1" t="n">
        <v>45807</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4084-2024</t>
        </is>
      </c>
      <c r="B2769" s="1" t="n">
        <v>45323</v>
      </c>
      <c r="C2769" s="1" t="n">
        <v>45807</v>
      </c>
      <c r="D2769" t="inlineStr">
        <is>
          <t>VÄSTERBOTTENS LÄN</t>
        </is>
      </c>
      <c r="E2769" t="inlineStr">
        <is>
          <t>SKELLEFTEÅ</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4124-2024</t>
        </is>
      </c>
      <c r="B2770" s="1" t="n">
        <v>45323</v>
      </c>
      <c r="C2770" s="1" t="n">
        <v>45807</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4292-2024</t>
        </is>
      </c>
      <c r="B2771" s="1" t="n">
        <v>45324</v>
      </c>
      <c r="C2771" s="1" t="n">
        <v>45807</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4617-2024</t>
        </is>
      </c>
      <c r="B2772" s="1" t="n">
        <v>45327</v>
      </c>
      <c r="C2772" s="1" t="n">
        <v>45807</v>
      </c>
      <c r="D2772" t="inlineStr">
        <is>
          <t>VÄSTERBOTTENS LÄN</t>
        </is>
      </c>
      <c r="E2772" t="inlineStr">
        <is>
          <t>SKELLEFTEÅ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4656-2024</t>
        </is>
      </c>
      <c r="B2773" s="1" t="n">
        <v>45327</v>
      </c>
      <c r="C2773" s="1" t="n">
        <v>45807</v>
      </c>
      <c r="D2773" t="inlineStr">
        <is>
          <t>VÄSTERBOTTENS LÄN</t>
        </is>
      </c>
      <c r="E2773" t="inlineStr">
        <is>
          <t>SKELLEFTEÅ</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4777-2024</t>
        </is>
      </c>
      <c r="B2774" s="1" t="n">
        <v>45328</v>
      </c>
      <c r="C2774" s="1" t="n">
        <v>45807</v>
      </c>
      <c r="D2774" t="inlineStr">
        <is>
          <t>VÄSTERBOTTENS LÄN</t>
        </is>
      </c>
      <c r="E2774" t="inlineStr">
        <is>
          <t>SKELLEFTEÅ</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4900-2024</t>
        </is>
      </c>
      <c r="B2775" s="1" t="n">
        <v>45329</v>
      </c>
      <c r="C2775" s="1" t="n">
        <v>45807</v>
      </c>
      <c r="D2775" t="inlineStr">
        <is>
          <t>VÄSTERBOTTENS LÄN</t>
        </is>
      </c>
      <c r="E2775" t="inlineStr">
        <is>
          <t>SKELLEFTEÅ</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5220-2024</t>
        </is>
      </c>
      <c r="B2776" s="1" t="n">
        <v>45330</v>
      </c>
      <c r="C2776" s="1" t="n">
        <v>45807</v>
      </c>
      <c r="D2776" t="inlineStr">
        <is>
          <t>VÄSTERBOTTENS LÄN</t>
        </is>
      </c>
      <c r="E2776" t="inlineStr">
        <is>
          <t>SKELLEFTEÅ</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5236-2024</t>
        </is>
      </c>
      <c r="B2777" s="1" t="n">
        <v>45330</v>
      </c>
      <c r="C2777" s="1" t="n">
        <v>45807</v>
      </c>
      <c r="D2777" t="inlineStr">
        <is>
          <t>VÄSTERBOTTENS LÄN</t>
        </is>
      </c>
      <c r="E2777" t="inlineStr">
        <is>
          <t>SKELLEFTEÅ</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5252-2024</t>
        </is>
      </c>
      <c r="B2778" s="1" t="n">
        <v>45330</v>
      </c>
      <c r="C2778" s="1" t="n">
        <v>45807</v>
      </c>
      <c r="D2778" t="inlineStr">
        <is>
          <t>VÄSTERBOTTENS LÄN</t>
        </is>
      </c>
      <c r="E2778" t="inlineStr">
        <is>
          <t>SKELLEFTEÅ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5239-2024</t>
        </is>
      </c>
      <c r="B2779" s="1" t="n">
        <v>45330</v>
      </c>
      <c r="C2779" s="1" t="n">
        <v>45807</v>
      </c>
      <c r="D2779" t="inlineStr">
        <is>
          <t>VÄSTERBOTTENS LÄN</t>
        </is>
      </c>
      <c r="E2779" t="inlineStr">
        <is>
          <t>SKELLEFTEÅ</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5237-2024</t>
        </is>
      </c>
      <c r="B2780" s="1" t="n">
        <v>45330</v>
      </c>
      <c r="C2780" s="1" t="n">
        <v>45807</v>
      </c>
      <c r="D2780" t="inlineStr">
        <is>
          <t>VÄSTERBOTTENS LÄN</t>
        </is>
      </c>
      <c r="E2780" t="inlineStr">
        <is>
          <t>SKELLEFTEÅ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5603-2024</t>
        </is>
      </c>
      <c r="B2781" s="1" t="n">
        <v>45334</v>
      </c>
      <c r="C2781" s="1" t="n">
        <v>45807</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5636-2024</t>
        </is>
      </c>
      <c r="B2782" s="1" t="n">
        <v>45334</v>
      </c>
      <c r="C2782" s="1" t="n">
        <v>45807</v>
      </c>
      <c r="D2782" t="inlineStr">
        <is>
          <t>VÄSTERBOTTENS LÄN</t>
        </is>
      </c>
      <c r="E2782" t="inlineStr">
        <is>
          <t>SKELLEFTEÅ</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5660-2024</t>
        </is>
      </c>
      <c r="B2783" s="1" t="n">
        <v>45334</v>
      </c>
      <c r="C2783" s="1" t="n">
        <v>45807</v>
      </c>
      <c r="D2783" t="inlineStr">
        <is>
          <t>VÄSTERBOTTENS LÄN</t>
        </is>
      </c>
      <c r="E2783" t="inlineStr">
        <is>
          <t>SKELLEFTEÅ</t>
        </is>
      </c>
      <c r="G2783" t="n">
        <v>14.1</v>
      </c>
      <c r="H2783" t="n">
        <v>0</v>
      </c>
      <c r="I2783" t="n">
        <v>0</v>
      </c>
      <c r="J2783" t="n">
        <v>0</v>
      </c>
      <c r="K2783" t="n">
        <v>0</v>
      </c>
      <c r="L2783" t="n">
        <v>0</v>
      </c>
      <c r="M2783" t="n">
        <v>0</v>
      </c>
      <c r="N2783" t="n">
        <v>0</v>
      </c>
      <c r="O2783" t="n">
        <v>0</v>
      </c>
      <c r="P2783" t="n">
        <v>0</v>
      </c>
      <c r="Q2783" t="n">
        <v>0</v>
      </c>
      <c r="R2783" s="2" t="inlineStr"/>
    </row>
    <row r="2784" ht="15" customHeight="1">
      <c r="A2784" t="inlineStr">
        <is>
          <t>A 5639-2024</t>
        </is>
      </c>
      <c r="B2784" s="1" t="n">
        <v>45334</v>
      </c>
      <c r="C2784" s="1" t="n">
        <v>45807</v>
      </c>
      <c r="D2784" t="inlineStr">
        <is>
          <t>VÄSTERBOTTENS LÄN</t>
        </is>
      </c>
      <c r="E2784" t="inlineStr">
        <is>
          <t>SKELLEFTEÅ</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5596-2024</t>
        </is>
      </c>
      <c r="B2785" s="1" t="n">
        <v>45334</v>
      </c>
      <c r="C2785" s="1" t="n">
        <v>45807</v>
      </c>
      <c r="D2785" t="inlineStr">
        <is>
          <t>VÄSTERBOTTENS LÄN</t>
        </is>
      </c>
      <c r="E2785" t="inlineStr">
        <is>
          <t>SKELLEFTEÅ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6018-2024</t>
        </is>
      </c>
      <c r="B2786" s="1" t="n">
        <v>45336</v>
      </c>
      <c r="C2786" s="1" t="n">
        <v>45807</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6078-2024</t>
        </is>
      </c>
      <c r="B2787" s="1" t="n">
        <v>45336</v>
      </c>
      <c r="C2787" s="1" t="n">
        <v>45807</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6244-2024</t>
        </is>
      </c>
      <c r="B2788" s="1" t="n">
        <v>45337</v>
      </c>
      <c r="C2788" s="1" t="n">
        <v>45807</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6398-2024</t>
        </is>
      </c>
      <c r="B2789" s="1" t="n">
        <v>45338</v>
      </c>
      <c r="C2789" s="1" t="n">
        <v>45807</v>
      </c>
      <c r="D2789" t="inlineStr">
        <is>
          <t>VÄSTERBOTTENS LÄN</t>
        </is>
      </c>
      <c r="E2789" t="inlineStr">
        <is>
          <t>SKELLEFTEÅ</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6420-2024</t>
        </is>
      </c>
      <c r="B2790" s="1" t="n">
        <v>45338</v>
      </c>
      <c r="C2790" s="1" t="n">
        <v>45807</v>
      </c>
      <c r="D2790" t="inlineStr">
        <is>
          <t>VÄSTERBOTTENS LÄN</t>
        </is>
      </c>
      <c r="E2790" t="inlineStr">
        <is>
          <t>SKELLEFTEÅ</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6428-2024</t>
        </is>
      </c>
      <c r="B2791" s="1" t="n">
        <v>45338</v>
      </c>
      <c r="C2791" s="1" t="n">
        <v>45807</v>
      </c>
      <c r="D2791" t="inlineStr">
        <is>
          <t>VÄSTERBOTTENS LÄN</t>
        </is>
      </c>
      <c r="E2791" t="inlineStr">
        <is>
          <t>SKELLEFTEÅ</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6422-2024</t>
        </is>
      </c>
      <c r="B2792" s="1" t="n">
        <v>45338</v>
      </c>
      <c r="C2792" s="1" t="n">
        <v>45807</v>
      </c>
      <c r="D2792" t="inlineStr">
        <is>
          <t>VÄSTERBOTTENS LÄN</t>
        </is>
      </c>
      <c r="E2792" t="inlineStr">
        <is>
          <t>SKELLEFTEÅ</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6448-2024</t>
        </is>
      </c>
      <c r="B2793" s="1" t="n">
        <v>45338</v>
      </c>
      <c r="C2793" s="1" t="n">
        <v>45807</v>
      </c>
      <c r="D2793" t="inlineStr">
        <is>
          <t>VÄSTERBOTTENS LÄN</t>
        </is>
      </c>
      <c r="E2793" t="inlineStr">
        <is>
          <t>SKELLEFTEÅ</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6435-2024</t>
        </is>
      </c>
      <c r="B2794" s="1" t="n">
        <v>45338</v>
      </c>
      <c r="C2794" s="1" t="n">
        <v>45807</v>
      </c>
      <c r="D2794" t="inlineStr">
        <is>
          <t>VÄSTERBOTTENS LÄN</t>
        </is>
      </c>
      <c r="E2794" t="inlineStr">
        <is>
          <t>SKELLEFTEÅ</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6710-2024</t>
        </is>
      </c>
      <c r="B2795" s="1" t="n">
        <v>45341</v>
      </c>
      <c r="C2795" s="1" t="n">
        <v>45807</v>
      </c>
      <c r="D2795" t="inlineStr">
        <is>
          <t>VÄSTERBOTTENS LÄN</t>
        </is>
      </c>
      <c r="E2795" t="inlineStr">
        <is>
          <t>SKELLEFTEÅ</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6723-2024</t>
        </is>
      </c>
      <c r="B2796" s="1" t="n">
        <v>45342</v>
      </c>
      <c r="C2796" s="1" t="n">
        <v>45807</v>
      </c>
      <c r="D2796" t="inlineStr">
        <is>
          <t>VÄSTERBOTTENS LÄN</t>
        </is>
      </c>
      <c r="E2796" t="inlineStr">
        <is>
          <t>SKELLEFTEÅ</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6720-2024</t>
        </is>
      </c>
      <c r="B2797" s="1" t="n">
        <v>45342</v>
      </c>
      <c r="C2797" s="1" t="n">
        <v>45807</v>
      </c>
      <c r="D2797" t="inlineStr">
        <is>
          <t>VÄSTERBOTTENS LÄN</t>
        </is>
      </c>
      <c r="E2797" t="inlineStr">
        <is>
          <t>SKELLEFTEÅ</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6704-2024</t>
        </is>
      </c>
      <c r="B2798" s="1" t="n">
        <v>45342</v>
      </c>
      <c r="C2798" s="1" t="n">
        <v>45807</v>
      </c>
      <c r="D2798" t="inlineStr">
        <is>
          <t>VÄSTERBOTTENS LÄN</t>
        </is>
      </c>
      <c r="E2798" t="inlineStr">
        <is>
          <t>SKELLEFTEÅ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6931-2024</t>
        </is>
      </c>
      <c r="B2799" s="1" t="n">
        <v>45343</v>
      </c>
      <c r="C2799" s="1" t="n">
        <v>45807</v>
      </c>
      <c r="D2799" t="inlineStr">
        <is>
          <t>VÄSTERBOTTENS LÄN</t>
        </is>
      </c>
      <c r="E2799" t="inlineStr">
        <is>
          <t>SKELLEFTEÅ</t>
        </is>
      </c>
      <c r="F2799" t="inlineStr">
        <is>
          <t>Holmen skog AB</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7225-2024</t>
        </is>
      </c>
      <c r="B2800" s="1" t="n">
        <v>45344</v>
      </c>
      <c r="C2800" s="1" t="n">
        <v>45807</v>
      </c>
      <c r="D2800" t="inlineStr">
        <is>
          <t>VÄSTERBOTTENS LÄN</t>
        </is>
      </c>
      <c r="E2800" t="inlineStr">
        <is>
          <t>SKELLEFTEÅ</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7255-2024</t>
        </is>
      </c>
      <c r="B2801" s="1" t="n">
        <v>45344</v>
      </c>
      <c r="C2801" s="1" t="n">
        <v>45807</v>
      </c>
      <c r="D2801" t="inlineStr">
        <is>
          <t>VÄSTERBOTTENS LÄN</t>
        </is>
      </c>
      <c r="E2801" t="inlineStr">
        <is>
          <t>SKELLEFTEÅ</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7256-2024</t>
        </is>
      </c>
      <c r="B2802" s="1" t="n">
        <v>45344</v>
      </c>
      <c r="C2802" s="1" t="n">
        <v>45807</v>
      </c>
      <c r="D2802" t="inlineStr">
        <is>
          <t>VÄSTERBOTTENS LÄN</t>
        </is>
      </c>
      <c r="E2802" t="inlineStr">
        <is>
          <t>SKELLEFTEÅ</t>
        </is>
      </c>
      <c r="G2802" t="n">
        <v>10.2</v>
      </c>
      <c r="H2802" t="n">
        <v>0</v>
      </c>
      <c r="I2802" t="n">
        <v>0</v>
      </c>
      <c r="J2802" t="n">
        <v>0</v>
      </c>
      <c r="K2802" t="n">
        <v>0</v>
      </c>
      <c r="L2802" t="n">
        <v>0</v>
      </c>
      <c r="M2802" t="n">
        <v>0</v>
      </c>
      <c r="N2802" t="n">
        <v>0</v>
      </c>
      <c r="O2802" t="n">
        <v>0</v>
      </c>
      <c r="P2802" t="n">
        <v>0</v>
      </c>
      <c r="Q2802" t="n">
        <v>0</v>
      </c>
      <c r="R2802" s="2" t="inlineStr"/>
    </row>
    <row r="2803" ht="15" customHeight="1">
      <c r="A2803" t="inlineStr">
        <is>
          <t>A 7668-2024</t>
        </is>
      </c>
      <c r="B2803" s="1" t="n">
        <v>45348</v>
      </c>
      <c r="C2803" s="1" t="n">
        <v>45807</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7742-2024</t>
        </is>
      </c>
      <c r="B2804" s="1" t="n">
        <v>45348</v>
      </c>
      <c r="C2804" s="1" t="n">
        <v>45807</v>
      </c>
      <c r="D2804" t="inlineStr">
        <is>
          <t>VÄSTERBOTTENS LÄN</t>
        </is>
      </c>
      <c r="E2804" t="inlineStr">
        <is>
          <t>SKELLEFTEÅ</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7767-2024</t>
        </is>
      </c>
      <c r="B2805" s="1" t="n">
        <v>45348</v>
      </c>
      <c r="C2805" s="1" t="n">
        <v>45807</v>
      </c>
      <c r="D2805" t="inlineStr">
        <is>
          <t>VÄSTERBOTTENS LÄN</t>
        </is>
      </c>
      <c r="E2805" t="inlineStr">
        <is>
          <t>SKELLEFTEÅ</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7766-2024</t>
        </is>
      </c>
      <c r="B2806" s="1" t="n">
        <v>45348</v>
      </c>
      <c r="C2806" s="1" t="n">
        <v>45807</v>
      </c>
      <c r="D2806" t="inlineStr">
        <is>
          <t>VÄSTERBOTTENS LÄN</t>
        </is>
      </c>
      <c r="E2806" t="inlineStr">
        <is>
          <t>SKELLEFTEÅ</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7745-2024</t>
        </is>
      </c>
      <c r="B2807" s="1" t="n">
        <v>45348</v>
      </c>
      <c r="C2807" s="1" t="n">
        <v>45807</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7800-2024</t>
        </is>
      </c>
      <c r="B2808" s="1" t="n">
        <v>45348</v>
      </c>
      <c r="C2808" s="1" t="n">
        <v>45807</v>
      </c>
      <c r="D2808" t="inlineStr">
        <is>
          <t>VÄSTERBOTTENS LÄN</t>
        </is>
      </c>
      <c r="E2808" t="inlineStr">
        <is>
          <t>SKELLEFTEÅ</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7832-2024</t>
        </is>
      </c>
      <c r="B2809" s="1" t="n">
        <v>45349</v>
      </c>
      <c r="C2809" s="1" t="n">
        <v>45807</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7872-2024</t>
        </is>
      </c>
      <c r="B2810" s="1" t="n">
        <v>45349</v>
      </c>
      <c r="C2810" s="1" t="n">
        <v>45807</v>
      </c>
      <c r="D2810" t="inlineStr">
        <is>
          <t>VÄSTERBOTTENS LÄN</t>
        </is>
      </c>
      <c r="E2810" t="inlineStr">
        <is>
          <t>SKELLEFTEÅ</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7831-2024</t>
        </is>
      </c>
      <c r="B2811" s="1" t="n">
        <v>45349</v>
      </c>
      <c r="C2811" s="1" t="n">
        <v>45807</v>
      </c>
      <c r="D2811" t="inlineStr">
        <is>
          <t>VÄSTERBOTTENS LÄN</t>
        </is>
      </c>
      <c r="E2811" t="inlineStr">
        <is>
          <t>SKELLEFTEÅ</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7884-2024</t>
        </is>
      </c>
      <c r="B2812" s="1" t="n">
        <v>45349</v>
      </c>
      <c r="C2812" s="1" t="n">
        <v>45807</v>
      </c>
      <c r="D2812" t="inlineStr">
        <is>
          <t>VÄSTERBOTTENS LÄN</t>
        </is>
      </c>
      <c r="E2812" t="inlineStr">
        <is>
          <t>SKELLEFTEÅ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7943-2024</t>
        </is>
      </c>
      <c r="B2813" s="1" t="n">
        <v>45350</v>
      </c>
      <c r="C2813" s="1" t="n">
        <v>45807</v>
      </c>
      <c r="D2813" t="inlineStr">
        <is>
          <t>VÄSTERBOTTENS LÄN</t>
        </is>
      </c>
      <c r="E2813" t="inlineStr">
        <is>
          <t>SKELLEFTEÅ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8532-2024</t>
        </is>
      </c>
      <c r="B2814" s="1" t="n">
        <v>45351</v>
      </c>
      <c r="C2814" s="1" t="n">
        <v>45807</v>
      </c>
      <c r="D2814" t="inlineStr">
        <is>
          <t>VÄSTERBOTTENS LÄN</t>
        </is>
      </c>
      <c r="E2814" t="inlineStr">
        <is>
          <t>SKELLEFTEÅ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8341-2024</t>
        </is>
      </c>
      <c r="B2815" s="1" t="n">
        <v>45351</v>
      </c>
      <c r="C2815" s="1" t="n">
        <v>45807</v>
      </c>
      <c r="D2815" t="inlineStr">
        <is>
          <t>VÄSTERBOTTENS LÄN</t>
        </is>
      </c>
      <c r="E2815" t="inlineStr">
        <is>
          <t>SKELLEFTEÅ</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8569-2024</t>
        </is>
      </c>
      <c r="B2816" s="1" t="n">
        <v>45351</v>
      </c>
      <c r="C2816" s="1" t="n">
        <v>45807</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8566-2024</t>
        </is>
      </c>
      <c r="B2817" s="1" t="n">
        <v>45355</v>
      </c>
      <c r="C2817" s="1" t="n">
        <v>45807</v>
      </c>
      <c r="D2817" t="inlineStr">
        <is>
          <t>VÄSTERBOTTENS LÄN</t>
        </is>
      </c>
      <c r="E2817" t="inlineStr">
        <is>
          <t>SKELLEFTEÅ</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8920-2024</t>
        </is>
      </c>
      <c r="B2818" s="1" t="n">
        <v>45357</v>
      </c>
      <c r="C2818" s="1" t="n">
        <v>45807</v>
      </c>
      <c r="D2818" t="inlineStr">
        <is>
          <t>VÄSTERBOTTENS LÄN</t>
        </is>
      </c>
      <c r="E2818" t="inlineStr">
        <is>
          <t>SKELLEFTEÅ</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8927-2024</t>
        </is>
      </c>
      <c r="B2819" s="1" t="n">
        <v>45357</v>
      </c>
      <c r="C2819" s="1" t="n">
        <v>45807</v>
      </c>
      <c r="D2819" t="inlineStr">
        <is>
          <t>VÄSTERBOTTENS LÄN</t>
        </is>
      </c>
      <c r="E2819" t="inlineStr">
        <is>
          <t>SKELLEFTEÅ</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8924-2024</t>
        </is>
      </c>
      <c r="B2820" s="1" t="n">
        <v>45357</v>
      </c>
      <c r="C2820" s="1" t="n">
        <v>45807</v>
      </c>
      <c r="D2820" t="inlineStr">
        <is>
          <t>VÄSTERBOTTENS LÄN</t>
        </is>
      </c>
      <c r="E2820" t="inlineStr">
        <is>
          <t>SKELLEFTEÅ</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8928-2024</t>
        </is>
      </c>
      <c r="B2821" s="1" t="n">
        <v>45357</v>
      </c>
      <c r="C2821" s="1" t="n">
        <v>45807</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8932-2024</t>
        </is>
      </c>
      <c r="B2822" s="1" t="n">
        <v>45357</v>
      </c>
      <c r="C2822" s="1" t="n">
        <v>45807</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8919-2024</t>
        </is>
      </c>
      <c r="B2823" s="1" t="n">
        <v>45357</v>
      </c>
      <c r="C2823" s="1" t="n">
        <v>45807</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9233-2024</t>
        </is>
      </c>
      <c r="B2824" s="1" t="n">
        <v>45358</v>
      </c>
      <c r="C2824" s="1" t="n">
        <v>45807</v>
      </c>
      <c r="D2824" t="inlineStr">
        <is>
          <t>VÄSTERBOTTENS LÄN</t>
        </is>
      </c>
      <c r="E2824" t="inlineStr">
        <is>
          <t>SKELLEFTEÅ</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9228-2024</t>
        </is>
      </c>
      <c r="B2825" s="1" t="n">
        <v>45358</v>
      </c>
      <c r="C2825" s="1" t="n">
        <v>45807</v>
      </c>
      <c r="D2825" t="inlineStr">
        <is>
          <t>VÄSTERBOTTENS LÄN</t>
        </is>
      </c>
      <c r="E2825" t="inlineStr">
        <is>
          <t>SKELLEFTEÅ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9207-2024</t>
        </is>
      </c>
      <c r="B2826" s="1" t="n">
        <v>45358</v>
      </c>
      <c r="C2826" s="1" t="n">
        <v>45807</v>
      </c>
      <c r="D2826" t="inlineStr">
        <is>
          <t>VÄSTERBOTTENS LÄN</t>
        </is>
      </c>
      <c r="E2826" t="inlineStr">
        <is>
          <t>SKELLEFTEÅ</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9466-2024</t>
        </is>
      </c>
      <c r="B2827" s="1" t="n">
        <v>45359</v>
      </c>
      <c r="C2827" s="1" t="n">
        <v>45807</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9364-2024</t>
        </is>
      </c>
      <c r="B2828" s="1" t="n">
        <v>45359</v>
      </c>
      <c r="C2828" s="1" t="n">
        <v>45807</v>
      </c>
      <c r="D2828" t="inlineStr">
        <is>
          <t>VÄSTERBOTTENS LÄN</t>
        </is>
      </c>
      <c r="E2828" t="inlineStr">
        <is>
          <t>SKELLEFTEÅ</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9425-2024</t>
        </is>
      </c>
      <c r="B2829" s="1" t="n">
        <v>45359</v>
      </c>
      <c r="C2829" s="1" t="n">
        <v>45807</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9465-2024</t>
        </is>
      </c>
      <c r="B2830" s="1" t="n">
        <v>45359</v>
      </c>
      <c r="C2830" s="1" t="n">
        <v>45807</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9470-2024</t>
        </is>
      </c>
      <c r="B2831" s="1" t="n">
        <v>45359</v>
      </c>
      <c r="C2831" s="1" t="n">
        <v>45807</v>
      </c>
      <c r="D2831" t="inlineStr">
        <is>
          <t>VÄSTERBOTTENS LÄN</t>
        </is>
      </c>
      <c r="E2831" t="inlineStr">
        <is>
          <t>SKELLEFTEÅ</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9717-2024</t>
        </is>
      </c>
      <c r="B2832" s="1" t="n">
        <v>45362</v>
      </c>
      <c r="C2832" s="1" t="n">
        <v>45807</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9711-2024</t>
        </is>
      </c>
      <c r="B2833" s="1" t="n">
        <v>45362</v>
      </c>
      <c r="C2833" s="1" t="n">
        <v>45807</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9807-2024</t>
        </is>
      </c>
      <c r="B2834" s="1" t="n">
        <v>45362</v>
      </c>
      <c r="C2834" s="1" t="n">
        <v>45807</v>
      </c>
      <c r="D2834" t="inlineStr">
        <is>
          <t>VÄSTERBOTTENS LÄN</t>
        </is>
      </c>
      <c r="E2834" t="inlineStr">
        <is>
          <t>SKELLEFTEÅ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9897-2024</t>
        </is>
      </c>
      <c r="B2835" s="1" t="n">
        <v>45363</v>
      </c>
      <c r="C2835" s="1" t="n">
        <v>45807</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9983-2024</t>
        </is>
      </c>
      <c r="B2836" s="1" t="n">
        <v>45363</v>
      </c>
      <c r="C2836" s="1" t="n">
        <v>45807</v>
      </c>
      <c r="D2836" t="inlineStr">
        <is>
          <t>VÄSTERBOTTENS LÄN</t>
        </is>
      </c>
      <c r="E2836" t="inlineStr">
        <is>
          <t>SKELLEFTEÅ</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10340-2024</t>
        </is>
      </c>
      <c r="B2837" s="1" t="n">
        <v>45365</v>
      </c>
      <c r="C2837" s="1" t="n">
        <v>45807</v>
      </c>
      <c r="D2837" t="inlineStr">
        <is>
          <t>VÄSTERBOTTENS LÄN</t>
        </is>
      </c>
      <c r="E2837" t="inlineStr">
        <is>
          <t>SKELLEFTEÅ</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10250-2024</t>
        </is>
      </c>
      <c r="B2838" s="1" t="n">
        <v>45365</v>
      </c>
      <c r="C2838" s="1" t="n">
        <v>45807</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10343-2024</t>
        </is>
      </c>
      <c r="B2839" s="1" t="n">
        <v>45365</v>
      </c>
      <c r="C2839" s="1" t="n">
        <v>45807</v>
      </c>
      <c r="D2839" t="inlineStr">
        <is>
          <t>VÄSTERBOTTENS LÄN</t>
        </is>
      </c>
      <c r="E2839" t="inlineStr">
        <is>
          <t>SKELLEFTEÅ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10604-2024</t>
        </is>
      </c>
      <c r="B2840" s="1" t="n">
        <v>45366</v>
      </c>
      <c r="C2840" s="1" t="n">
        <v>45807</v>
      </c>
      <c r="D2840" t="inlineStr">
        <is>
          <t>VÄSTERBOTTENS LÄN</t>
        </is>
      </c>
      <c r="E2840" t="inlineStr">
        <is>
          <t>SKELLEFTEÅ</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10655-2024</t>
        </is>
      </c>
      <c r="B2841" s="1" t="n">
        <v>45368</v>
      </c>
      <c r="C2841" s="1" t="n">
        <v>45807</v>
      </c>
      <c r="D2841" t="inlineStr">
        <is>
          <t>VÄSTERBOTTENS LÄN</t>
        </is>
      </c>
      <c r="E2841" t="inlineStr">
        <is>
          <t>SKELLEFTEÅ</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10719-2024</t>
        </is>
      </c>
      <c r="B2842" s="1" t="n">
        <v>45369</v>
      </c>
      <c r="C2842" s="1" t="n">
        <v>45807</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10825-2024</t>
        </is>
      </c>
      <c r="B2843" s="1" t="n">
        <v>45369</v>
      </c>
      <c r="C2843" s="1" t="n">
        <v>45807</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10693-2024</t>
        </is>
      </c>
      <c r="B2844" s="1" t="n">
        <v>45369</v>
      </c>
      <c r="C2844" s="1" t="n">
        <v>45807</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10659-2024</t>
        </is>
      </c>
      <c r="B2845" s="1" t="n">
        <v>45369</v>
      </c>
      <c r="C2845" s="1" t="n">
        <v>45807</v>
      </c>
      <c r="D2845" t="inlineStr">
        <is>
          <t>VÄSTERBOTTENS LÄN</t>
        </is>
      </c>
      <c r="E2845" t="inlineStr">
        <is>
          <t>SKELLEFTEÅ</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10879-2024</t>
        </is>
      </c>
      <c r="B2846" s="1" t="n">
        <v>45370</v>
      </c>
      <c r="C2846" s="1" t="n">
        <v>45807</v>
      </c>
      <c r="D2846" t="inlineStr">
        <is>
          <t>VÄSTERBOTTENS LÄN</t>
        </is>
      </c>
      <c r="E2846" t="inlineStr">
        <is>
          <t>SKELLEFTEÅ</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10883-2024</t>
        </is>
      </c>
      <c r="B2847" s="1" t="n">
        <v>45370</v>
      </c>
      <c r="C2847" s="1" t="n">
        <v>45807</v>
      </c>
      <c r="D2847" t="inlineStr">
        <is>
          <t>VÄSTERBOTTENS LÄN</t>
        </is>
      </c>
      <c r="E2847" t="inlineStr">
        <is>
          <t>SKELLEFTEÅ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10893-2024</t>
        </is>
      </c>
      <c r="B2848" s="1" t="n">
        <v>45370</v>
      </c>
      <c r="C2848" s="1" t="n">
        <v>45807</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10886-2024</t>
        </is>
      </c>
      <c r="B2849" s="1" t="n">
        <v>45370</v>
      </c>
      <c r="C2849" s="1" t="n">
        <v>45807</v>
      </c>
      <c r="D2849" t="inlineStr">
        <is>
          <t>VÄSTERBOTTENS LÄN</t>
        </is>
      </c>
      <c r="E2849" t="inlineStr">
        <is>
          <t>SKELLEFTEÅ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10892-2024</t>
        </is>
      </c>
      <c r="B2850" s="1" t="n">
        <v>45370</v>
      </c>
      <c r="C2850" s="1" t="n">
        <v>45807</v>
      </c>
      <c r="D2850" t="inlineStr">
        <is>
          <t>VÄSTERBOTTENS LÄN</t>
        </is>
      </c>
      <c r="E2850" t="inlineStr">
        <is>
          <t>SKELLEFTEÅ</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10900-2024</t>
        </is>
      </c>
      <c r="B2851" s="1" t="n">
        <v>45370</v>
      </c>
      <c r="C2851" s="1" t="n">
        <v>45807</v>
      </c>
      <c r="D2851" t="inlineStr">
        <is>
          <t>VÄSTERBOTTENS LÄN</t>
        </is>
      </c>
      <c r="E2851" t="inlineStr">
        <is>
          <t>SKELLEFTEÅ</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11027-2024</t>
        </is>
      </c>
      <c r="B2852" s="1" t="n">
        <v>45370</v>
      </c>
      <c r="C2852" s="1" t="n">
        <v>45807</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11025-2024</t>
        </is>
      </c>
      <c r="B2853" s="1" t="n">
        <v>45370</v>
      </c>
      <c r="C2853" s="1" t="n">
        <v>45807</v>
      </c>
      <c r="D2853" t="inlineStr">
        <is>
          <t>VÄSTERBOTTENS LÄN</t>
        </is>
      </c>
      <c r="E2853" t="inlineStr">
        <is>
          <t>SKELLEFTEÅ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11082-2024</t>
        </is>
      </c>
      <c r="B2854" s="1" t="n">
        <v>45370</v>
      </c>
      <c r="C2854" s="1" t="n">
        <v>45807</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11078-2024</t>
        </is>
      </c>
      <c r="B2855" s="1" t="n">
        <v>45370</v>
      </c>
      <c r="C2855" s="1" t="n">
        <v>45807</v>
      </c>
      <c r="D2855" t="inlineStr">
        <is>
          <t>VÄSTERBOTTENS LÄN</t>
        </is>
      </c>
      <c r="E2855" t="inlineStr">
        <is>
          <t>SKELLEFTEÅ</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10911-2024</t>
        </is>
      </c>
      <c r="B2856" s="1" t="n">
        <v>45370</v>
      </c>
      <c r="C2856" s="1" t="n">
        <v>45807</v>
      </c>
      <c r="D2856" t="inlineStr">
        <is>
          <t>VÄSTERBOTTENS LÄN</t>
        </is>
      </c>
      <c r="E2856" t="inlineStr">
        <is>
          <t>SKELLEFTEÅ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11079-2024</t>
        </is>
      </c>
      <c r="B2857" s="1" t="n">
        <v>45370</v>
      </c>
      <c r="C2857" s="1" t="n">
        <v>45807</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11081-2024</t>
        </is>
      </c>
      <c r="B2858" s="1" t="n">
        <v>45370</v>
      </c>
      <c r="C2858" s="1" t="n">
        <v>45807</v>
      </c>
      <c r="D2858" t="inlineStr">
        <is>
          <t>VÄSTERBOTTENS LÄN</t>
        </is>
      </c>
      <c r="E2858" t="inlineStr">
        <is>
          <t>SKELLEFTEÅ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11076-2024</t>
        </is>
      </c>
      <c r="B2859" s="1" t="n">
        <v>45370</v>
      </c>
      <c r="C2859" s="1" t="n">
        <v>45807</v>
      </c>
      <c r="D2859" t="inlineStr">
        <is>
          <t>VÄSTERBOTTENS LÄN</t>
        </is>
      </c>
      <c r="E2859" t="inlineStr">
        <is>
          <t>SKELLEFTEÅ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11077-2024</t>
        </is>
      </c>
      <c r="B2860" s="1" t="n">
        <v>45370</v>
      </c>
      <c r="C2860" s="1" t="n">
        <v>45807</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11130-2024</t>
        </is>
      </c>
      <c r="B2861" s="1" t="n">
        <v>45371</v>
      </c>
      <c r="C2861" s="1" t="n">
        <v>45807</v>
      </c>
      <c r="D2861" t="inlineStr">
        <is>
          <t>VÄSTERBOTTENS LÄN</t>
        </is>
      </c>
      <c r="E2861" t="inlineStr">
        <is>
          <t>SKELLEFTEÅ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11313-2024</t>
        </is>
      </c>
      <c r="B2862" s="1" t="n">
        <v>45371</v>
      </c>
      <c r="C2862" s="1" t="n">
        <v>45807</v>
      </c>
      <c r="D2862" t="inlineStr">
        <is>
          <t>VÄSTERBOTTENS LÄN</t>
        </is>
      </c>
      <c r="E2862" t="inlineStr">
        <is>
          <t>SKELLEFTEÅ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11490-2024</t>
        </is>
      </c>
      <c r="B2863" s="1" t="n">
        <v>45372</v>
      </c>
      <c r="C2863" s="1" t="n">
        <v>45807</v>
      </c>
      <c r="D2863" t="inlineStr">
        <is>
          <t>VÄSTERBOTTENS LÄN</t>
        </is>
      </c>
      <c r="E2863" t="inlineStr">
        <is>
          <t>SKELLEFTEÅ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11527-2024</t>
        </is>
      </c>
      <c r="B2864" s="1" t="n">
        <v>45372</v>
      </c>
      <c r="C2864" s="1" t="n">
        <v>45807</v>
      </c>
      <c r="D2864" t="inlineStr">
        <is>
          <t>VÄSTERBOTTENS LÄN</t>
        </is>
      </c>
      <c r="E2864" t="inlineStr">
        <is>
          <t>SKELLEFTEÅ</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11528-2024</t>
        </is>
      </c>
      <c r="B2865" s="1" t="n">
        <v>45372</v>
      </c>
      <c r="C2865" s="1" t="n">
        <v>45807</v>
      </c>
      <c r="D2865" t="inlineStr">
        <is>
          <t>VÄSTERBOTTENS LÄN</t>
        </is>
      </c>
      <c r="E2865" t="inlineStr">
        <is>
          <t>SKELLEFTEÅ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11526-2024</t>
        </is>
      </c>
      <c r="B2866" s="1" t="n">
        <v>45372</v>
      </c>
      <c r="C2866" s="1" t="n">
        <v>45807</v>
      </c>
      <c r="D2866" t="inlineStr">
        <is>
          <t>VÄSTERBOTTENS LÄN</t>
        </is>
      </c>
      <c r="E2866" t="inlineStr">
        <is>
          <t>SKELLEFTEÅ</t>
        </is>
      </c>
      <c r="G2866" t="n">
        <v>21.4</v>
      </c>
      <c r="H2866" t="n">
        <v>0</v>
      </c>
      <c r="I2866" t="n">
        <v>0</v>
      </c>
      <c r="J2866" t="n">
        <v>0</v>
      </c>
      <c r="K2866" t="n">
        <v>0</v>
      </c>
      <c r="L2866" t="n">
        <v>0</v>
      </c>
      <c r="M2866" t="n">
        <v>0</v>
      </c>
      <c r="N2866" t="n">
        <v>0</v>
      </c>
      <c r="O2866" t="n">
        <v>0</v>
      </c>
      <c r="P2866" t="n">
        <v>0</v>
      </c>
      <c r="Q2866" t="n">
        <v>0</v>
      </c>
      <c r="R2866" s="2" t="inlineStr"/>
    </row>
    <row r="2867" ht="15" customHeight="1">
      <c r="A2867" t="inlineStr">
        <is>
          <t>A 11525-2024</t>
        </is>
      </c>
      <c r="B2867" s="1" t="n">
        <v>45372</v>
      </c>
      <c r="C2867" s="1" t="n">
        <v>45807</v>
      </c>
      <c r="D2867" t="inlineStr">
        <is>
          <t>VÄSTERBOTTENS LÄN</t>
        </is>
      </c>
      <c r="E2867" t="inlineStr">
        <is>
          <t>SKELLEFTEÅ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11529-2024</t>
        </is>
      </c>
      <c r="B2868" s="1" t="n">
        <v>45372</v>
      </c>
      <c r="C2868" s="1" t="n">
        <v>45807</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11875-2024</t>
        </is>
      </c>
      <c r="B2869" s="1" t="n">
        <v>45376</v>
      </c>
      <c r="C2869" s="1" t="n">
        <v>45807</v>
      </c>
      <c r="D2869" t="inlineStr">
        <is>
          <t>VÄSTERBOTTENS LÄN</t>
        </is>
      </c>
      <c r="E2869" t="inlineStr">
        <is>
          <t>SKELLEFTEÅ</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12073-2024</t>
        </is>
      </c>
      <c r="B2870" s="1" t="n">
        <v>45376</v>
      </c>
      <c r="C2870" s="1" t="n">
        <v>45807</v>
      </c>
      <c r="D2870" t="inlineStr">
        <is>
          <t>VÄSTERBOTTENS LÄN</t>
        </is>
      </c>
      <c r="E2870" t="inlineStr">
        <is>
          <t>SKELLEFTEÅ</t>
        </is>
      </c>
      <c r="G2870" t="n">
        <v>41.5</v>
      </c>
      <c r="H2870" t="n">
        <v>0</v>
      </c>
      <c r="I2870" t="n">
        <v>0</v>
      </c>
      <c r="J2870" t="n">
        <v>0</v>
      </c>
      <c r="K2870" t="n">
        <v>0</v>
      </c>
      <c r="L2870" t="n">
        <v>0</v>
      </c>
      <c r="M2870" t="n">
        <v>0</v>
      </c>
      <c r="N2870" t="n">
        <v>0</v>
      </c>
      <c r="O2870" t="n">
        <v>0</v>
      </c>
      <c r="P2870" t="n">
        <v>0</v>
      </c>
      <c r="Q2870" t="n">
        <v>0</v>
      </c>
      <c r="R2870" s="2" t="inlineStr"/>
    </row>
    <row r="2871" ht="15" customHeight="1">
      <c r="A2871" t="inlineStr">
        <is>
          <t>A 12112-2024</t>
        </is>
      </c>
      <c r="B2871" s="1" t="n">
        <v>45376</v>
      </c>
      <c r="C2871" s="1" t="n">
        <v>45807</v>
      </c>
      <c r="D2871" t="inlineStr">
        <is>
          <t>VÄSTERBOTTENS LÄN</t>
        </is>
      </c>
      <c r="E2871" t="inlineStr">
        <is>
          <t>SKELLEFTEÅ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12007-2024</t>
        </is>
      </c>
      <c r="B2872" s="1" t="n">
        <v>45377</v>
      </c>
      <c r="C2872" s="1" t="n">
        <v>45807</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12045-2024</t>
        </is>
      </c>
      <c r="B2873" s="1" t="n">
        <v>45377</v>
      </c>
      <c r="C2873" s="1" t="n">
        <v>45807</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12004-2024</t>
        </is>
      </c>
      <c r="B2874" s="1" t="n">
        <v>45377</v>
      </c>
      <c r="C2874" s="1" t="n">
        <v>45807</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12537-2024</t>
        </is>
      </c>
      <c r="B2875" s="1" t="n">
        <v>45379</v>
      </c>
      <c r="C2875" s="1" t="n">
        <v>45807</v>
      </c>
      <c r="D2875" t="inlineStr">
        <is>
          <t>VÄSTERBOTTENS LÄN</t>
        </is>
      </c>
      <c r="E2875" t="inlineStr">
        <is>
          <t>SKELLEFTEÅ</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12515-2024</t>
        </is>
      </c>
      <c r="B2876" s="1" t="n">
        <v>45379</v>
      </c>
      <c r="C2876" s="1" t="n">
        <v>45807</v>
      </c>
      <c r="D2876" t="inlineStr">
        <is>
          <t>VÄSTERBOTTENS LÄN</t>
        </is>
      </c>
      <c r="E2876" t="inlineStr">
        <is>
          <t>SKELLEFTEÅ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12763-2024</t>
        </is>
      </c>
      <c r="B2877" s="1" t="n">
        <v>45384</v>
      </c>
      <c r="C2877" s="1" t="n">
        <v>45807</v>
      </c>
      <c r="D2877" t="inlineStr">
        <is>
          <t>VÄSTERBOTTENS LÄN</t>
        </is>
      </c>
      <c r="E2877" t="inlineStr">
        <is>
          <t>SKELLEFTEÅ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12771-2024</t>
        </is>
      </c>
      <c r="B2878" s="1" t="n">
        <v>45384</v>
      </c>
      <c r="C2878" s="1" t="n">
        <v>45807</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12804-2024</t>
        </is>
      </c>
      <c r="B2879" s="1" t="n">
        <v>45384</v>
      </c>
      <c r="C2879" s="1" t="n">
        <v>45807</v>
      </c>
      <c r="D2879" t="inlineStr">
        <is>
          <t>VÄSTERBOTTENS LÄN</t>
        </is>
      </c>
      <c r="E2879" t="inlineStr">
        <is>
          <t>SKELLEFTEÅ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12798-2024</t>
        </is>
      </c>
      <c r="B2880" s="1" t="n">
        <v>45384</v>
      </c>
      <c r="C2880" s="1" t="n">
        <v>45807</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12759-2024</t>
        </is>
      </c>
      <c r="B2881" s="1" t="n">
        <v>45384</v>
      </c>
      <c r="C2881" s="1" t="n">
        <v>45807</v>
      </c>
      <c r="D2881" t="inlineStr">
        <is>
          <t>VÄSTERBOTTENS LÄN</t>
        </is>
      </c>
      <c r="E2881" t="inlineStr">
        <is>
          <t>SKELLEFTEÅ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12772-2024</t>
        </is>
      </c>
      <c r="B2882" s="1" t="n">
        <v>45384</v>
      </c>
      <c r="C2882" s="1" t="n">
        <v>45807</v>
      </c>
      <c r="D2882" t="inlineStr">
        <is>
          <t>VÄSTERBOTTENS LÄN</t>
        </is>
      </c>
      <c r="E2882" t="inlineStr">
        <is>
          <t>SKELLEFTEÅ</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12801-2024</t>
        </is>
      </c>
      <c r="B2883" s="1" t="n">
        <v>45384</v>
      </c>
      <c r="C2883" s="1" t="n">
        <v>45807</v>
      </c>
      <c r="D2883" t="inlineStr">
        <is>
          <t>VÄSTERBOTTENS LÄN</t>
        </is>
      </c>
      <c r="E2883" t="inlineStr">
        <is>
          <t>SKELLEFTEÅ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13270-2024</t>
        </is>
      </c>
      <c r="B2884" s="1" t="n">
        <v>45386</v>
      </c>
      <c r="C2884" s="1" t="n">
        <v>45807</v>
      </c>
      <c r="D2884" t="inlineStr">
        <is>
          <t>VÄSTERBOTTENS LÄN</t>
        </is>
      </c>
      <c r="E2884" t="inlineStr">
        <is>
          <t>SKELLEFTEÅ</t>
        </is>
      </c>
      <c r="G2884" t="n">
        <v>12.2</v>
      </c>
      <c r="H2884" t="n">
        <v>0</v>
      </c>
      <c r="I2884" t="n">
        <v>0</v>
      </c>
      <c r="J2884" t="n">
        <v>0</v>
      </c>
      <c r="K2884" t="n">
        <v>0</v>
      </c>
      <c r="L2884" t="n">
        <v>0</v>
      </c>
      <c r="M2884" t="n">
        <v>0</v>
      </c>
      <c r="N2884" t="n">
        <v>0</v>
      </c>
      <c r="O2884" t="n">
        <v>0</v>
      </c>
      <c r="P2884" t="n">
        <v>0</v>
      </c>
      <c r="Q2884" t="n">
        <v>0</v>
      </c>
      <c r="R2884" s="2" t="inlineStr"/>
    </row>
    <row r="2885" ht="15" customHeight="1">
      <c r="A2885" t="inlineStr">
        <is>
          <t>A 13267-2024</t>
        </is>
      </c>
      <c r="B2885" s="1" t="n">
        <v>45386</v>
      </c>
      <c r="C2885" s="1" t="n">
        <v>45807</v>
      </c>
      <c r="D2885" t="inlineStr">
        <is>
          <t>VÄSTERBOTTENS LÄN</t>
        </is>
      </c>
      <c r="E2885" t="inlineStr">
        <is>
          <t>SKELLEFTEÅ</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13257-2024</t>
        </is>
      </c>
      <c r="B2886" s="1" t="n">
        <v>45386</v>
      </c>
      <c r="C2886" s="1" t="n">
        <v>45807</v>
      </c>
      <c r="D2886" t="inlineStr">
        <is>
          <t>VÄSTERBOTTENS LÄN</t>
        </is>
      </c>
      <c r="E2886" t="inlineStr">
        <is>
          <t>SKELLEFTEÅ</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13298-2024</t>
        </is>
      </c>
      <c r="B2887" s="1" t="n">
        <v>45386</v>
      </c>
      <c r="C2887" s="1" t="n">
        <v>45807</v>
      </c>
      <c r="D2887" t="inlineStr">
        <is>
          <t>VÄSTERBOTTENS LÄN</t>
        </is>
      </c>
      <c r="E2887" t="inlineStr">
        <is>
          <t>SKELLEFTEÅ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13330-2024</t>
        </is>
      </c>
      <c r="B2888" s="1" t="n">
        <v>45386</v>
      </c>
      <c r="C2888" s="1" t="n">
        <v>45807</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13920-2024</t>
        </is>
      </c>
      <c r="B2889" s="1" t="n">
        <v>45391</v>
      </c>
      <c r="C2889" s="1" t="n">
        <v>45807</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14227-2024</t>
        </is>
      </c>
      <c r="B2890" s="1" t="n">
        <v>45393</v>
      </c>
      <c r="C2890" s="1" t="n">
        <v>45807</v>
      </c>
      <c r="D2890" t="inlineStr">
        <is>
          <t>VÄSTERBOTTENS LÄN</t>
        </is>
      </c>
      <c r="E2890" t="inlineStr">
        <is>
          <t>SKELLEFTEÅ</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14232-2024</t>
        </is>
      </c>
      <c r="B2891" s="1" t="n">
        <v>45393</v>
      </c>
      <c r="C2891" s="1" t="n">
        <v>45807</v>
      </c>
      <c r="D2891" t="inlineStr">
        <is>
          <t>VÄSTERBOTTENS LÄN</t>
        </is>
      </c>
      <c r="E2891" t="inlineStr">
        <is>
          <t>SKELLEFTEÅ</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14342-2024</t>
        </is>
      </c>
      <c r="B2892" s="1" t="n">
        <v>45393</v>
      </c>
      <c r="C2892" s="1" t="n">
        <v>45807</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14653-2024</t>
        </is>
      </c>
      <c r="B2893" s="1" t="n">
        <v>45397</v>
      </c>
      <c r="C2893" s="1" t="n">
        <v>45807</v>
      </c>
      <c r="D2893" t="inlineStr">
        <is>
          <t>VÄSTERBOTTENS LÄN</t>
        </is>
      </c>
      <c r="E2893" t="inlineStr">
        <is>
          <t>SKELLEFTEÅ</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14663-2024</t>
        </is>
      </c>
      <c r="B2894" s="1" t="n">
        <v>45397</v>
      </c>
      <c r="C2894" s="1" t="n">
        <v>45807</v>
      </c>
      <c r="D2894" t="inlineStr">
        <is>
          <t>VÄSTERBOTTENS LÄN</t>
        </is>
      </c>
      <c r="E2894" t="inlineStr">
        <is>
          <t>SKELLEFTEÅ</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14650-2024</t>
        </is>
      </c>
      <c r="B2895" s="1" t="n">
        <v>45397</v>
      </c>
      <c r="C2895" s="1" t="n">
        <v>45807</v>
      </c>
      <c r="D2895" t="inlineStr">
        <is>
          <t>VÄSTERBOTTENS LÄN</t>
        </is>
      </c>
      <c r="E2895" t="inlineStr">
        <is>
          <t>SKELLEFTEÅ</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14962-2024</t>
        </is>
      </c>
      <c r="B2896" s="1" t="n">
        <v>45399</v>
      </c>
      <c r="C2896" s="1" t="n">
        <v>45807</v>
      </c>
      <c r="D2896" t="inlineStr">
        <is>
          <t>VÄSTERBOTTENS LÄN</t>
        </is>
      </c>
      <c r="E2896" t="inlineStr">
        <is>
          <t>SKELLEFTEÅ</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14963-2024</t>
        </is>
      </c>
      <c r="B2897" s="1" t="n">
        <v>45398</v>
      </c>
      <c r="C2897" s="1" t="n">
        <v>45807</v>
      </c>
      <c r="D2897" t="inlineStr">
        <is>
          <t>VÄSTERBOTTENS LÄN</t>
        </is>
      </c>
      <c r="E2897" t="inlineStr">
        <is>
          <t>SKELLEFTEÅ</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15137-2024</t>
        </is>
      </c>
      <c r="B2898" s="1" t="n">
        <v>45399</v>
      </c>
      <c r="C2898" s="1" t="n">
        <v>45807</v>
      </c>
      <c r="D2898" t="inlineStr">
        <is>
          <t>VÄSTERBOTTENS LÄN</t>
        </is>
      </c>
      <c r="E2898" t="inlineStr">
        <is>
          <t>SKELLEFTEÅ</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15136-2024</t>
        </is>
      </c>
      <c r="B2899" s="1" t="n">
        <v>45399</v>
      </c>
      <c r="C2899" s="1" t="n">
        <v>45807</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15424-2024</t>
        </is>
      </c>
      <c r="B2900" s="1" t="n">
        <v>45400</v>
      </c>
      <c r="C2900" s="1" t="n">
        <v>45807</v>
      </c>
      <c r="D2900" t="inlineStr">
        <is>
          <t>VÄSTERBOTTENS LÄN</t>
        </is>
      </c>
      <c r="E2900" t="inlineStr">
        <is>
          <t>SKELLEFTEÅ</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15467-2024</t>
        </is>
      </c>
      <c r="B2901" s="1" t="n">
        <v>45400</v>
      </c>
      <c r="C2901" s="1" t="n">
        <v>45807</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15473-2024</t>
        </is>
      </c>
      <c r="B2902" s="1" t="n">
        <v>45400</v>
      </c>
      <c r="C2902" s="1" t="n">
        <v>45807</v>
      </c>
      <c r="D2902" t="inlineStr">
        <is>
          <t>VÄSTERBOTTENS LÄN</t>
        </is>
      </c>
      <c r="E2902" t="inlineStr">
        <is>
          <t>SKELLEFTEÅ</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15460-2024</t>
        </is>
      </c>
      <c r="B2903" s="1" t="n">
        <v>45400</v>
      </c>
      <c r="C2903" s="1" t="n">
        <v>45807</v>
      </c>
      <c r="D2903" t="inlineStr">
        <is>
          <t>VÄSTERBOTTENS LÄN</t>
        </is>
      </c>
      <c r="E2903" t="inlineStr">
        <is>
          <t>SKELLEFTEÅ</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15625-2024</t>
        </is>
      </c>
      <c r="B2904" s="1" t="n">
        <v>45402</v>
      </c>
      <c r="C2904" s="1" t="n">
        <v>45807</v>
      </c>
      <c r="D2904" t="inlineStr">
        <is>
          <t>VÄSTERBOTTENS LÄN</t>
        </is>
      </c>
      <c r="E2904" t="inlineStr">
        <is>
          <t>SKELLEFTEÅ</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15728-2024</t>
        </is>
      </c>
      <c r="B2905" s="1" t="n">
        <v>45404</v>
      </c>
      <c r="C2905" s="1" t="n">
        <v>45807</v>
      </c>
      <c r="D2905" t="inlineStr">
        <is>
          <t>VÄSTERBOTTENS LÄN</t>
        </is>
      </c>
      <c r="E2905" t="inlineStr">
        <is>
          <t>SKELLEFTEÅ</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15801-2024</t>
        </is>
      </c>
      <c r="B2906" s="1" t="n">
        <v>45404</v>
      </c>
      <c r="C2906" s="1" t="n">
        <v>45807</v>
      </c>
      <c r="D2906" t="inlineStr">
        <is>
          <t>VÄSTERBOTTENS LÄN</t>
        </is>
      </c>
      <c r="E2906" t="inlineStr">
        <is>
          <t>SKELLEFTEÅ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15846-2024</t>
        </is>
      </c>
      <c r="B2907" s="1" t="n">
        <v>45404</v>
      </c>
      <c r="C2907" s="1" t="n">
        <v>45807</v>
      </c>
      <c r="D2907" t="inlineStr">
        <is>
          <t>VÄSTERBOTTENS LÄN</t>
        </is>
      </c>
      <c r="E2907" t="inlineStr">
        <is>
          <t>SKELLEFTEÅ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15848-2024</t>
        </is>
      </c>
      <c r="B2908" s="1" t="n">
        <v>45404</v>
      </c>
      <c r="C2908" s="1" t="n">
        <v>45807</v>
      </c>
      <c r="D2908" t="inlineStr">
        <is>
          <t>VÄSTERBOTTENS LÄN</t>
        </is>
      </c>
      <c r="E2908" t="inlineStr">
        <is>
          <t>SKELLEFTEÅ</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15856-2024</t>
        </is>
      </c>
      <c r="B2909" s="1" t="n">
        <v>45404</v>
      </c>
      <c r="C2909" s="1" t="n">
        <v>45807</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15855-2024</t>
        </is>
      </c>
      <c r="B2910" s="1" t="n">
        <v>45405</v>
      </c>
      <c r="C2910" s="1" t="n">
        <v>45807</v>
      </c>
      <c r="D2910" t="inlineStr">
        <is>
          <t>VÄSTERBOTTENS LÄN</t>
        </is>
      </c>
      <c r="E2910" t="inlineStr">
        <is>
          <t>SKELLEFTEÅ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15927-2024</t>
        </is>
      </c>
      <c r="B2911" s="1" t="n">
        <v>45405</v>
      </c>
      <c r="C2911" s="1" t="n">
        <v>45807</v>
      </c>
      <c r="D2911" t="inlineStr">
        <is>
          <t>VÄSTERBOTTENS LÄN</t>
        </is>
      </c>
      <c r="E2911" t="inlineStr">
        <is>
          <t>SKELLEFTEÅ</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16037-2024</t>
        </is>
      </c>
      <c r="B2912" s="1" t="n">
        <v>45405</v>
      </c>
      <c r="C2912" s="1" t="n">
        <v>45807</v>
      </c>
      <c r="D2912" t="inlineStr">
        <is>
          <t>VÄSTERBOTTENS LÄN</t>
        </is>
      </c>
      <c r="E2912" t="inlineStr">
        <is>
          <t>SKELLEFTEÅ</t>
        </is>
      </c>
      <c r="F2912" t="inlineStr">
        <is>
          <t>Holmen skog AB</t>
        </is>
      </c>
      <c r="G2912" t="n">
        <v>11.7</v>
      </c>
      <c r="H2912" t="n">
        <v>0</v>
      </c>
      <c r="I2912" t="n">
        <v>0</v>
      </c>
      <c r="J2912" t="n">
        <v>0</v>
      </c>
      <c r="K2912" t="n">
        <v>0</v>
      </c>
      <c r="L2912" t="n">
        <v>0</v>
      </c>
      <c r="M2912" t="n">
        <v>0</v>
      </c>
      <c r="N2912" t="n">
        <v>0</v>
      </c>
      <c r="O2912" t="n">
        <v>0</v>
      </c>
      <c r="P2912" t="n">
        <v>0</v>
      </c>
      <c r="Q2912" t="n">
        <v>0</v>
      </c>
      <c r="R2912" s="2" t="inlineStr"/>
    </row>
    <row r="2913" ht="15" customHeight="1">
      <c r="A2913" t="inlineStr">
        <is>
          <t>A 16096-2024</t>
        </is>
      </c>
      <c r="B2913" s="1" t="n">
        <v>45406</v>
      </c>
      <c r="C2913" s="1" t="n">
        <v>45807</v>
      </c>
      <c r="D2913" t="inlineStr">
        <is>
          <t>VÄSTERBOTTENS LÄN</t>
        </is>
      </c>
      <c r="E2913" t="inlineStr">
        <is>
          <t>SKELLEFTEÅ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16501-2024</t>
        </is>
      </c>
      <c r="B2914" s="1" t="n">
        <v>45408</v>
      </c>
      <c r="C2914" s="1" t="n">
        <v>45807</v>
      </c>
      <c r="D2914" t="inlineStr">
        <is>
          <t>VÄSTERBOTTENS LÄN</t>
        </is>
      </c>
      <c r="E2914" t="inlineStr">
        <is>
          <t>SKELLEFTEÅ</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16519-2024</t>
        </is>
      </c>
      <c r="B2915" s="1" t="n">
        <v>45408</v>
      </c>
      <c r="C2915" s="1" t="n">
        <v>45807</v>
      </c>
      <c r="D2915" t="inlineStr">
        <is>
          <t>VÄSTERBOTTENS LÄN</t>
        </is>
      </c>
      <c r="E2915" t="inlineStr">
        <is>
          <t>SKELLEFTEÅ</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16711-2024</t>
        </is>
      </c>
      <c r="B2916" s="1" t="n">
        <v>45409</v>
      </c>
      <c r="C2916" s="1" t="n">
        <v>45807</v>
      </c>
      <c r="D2916" t="inlineStr">
        <is>
          <t>VÄSTERBOTTENS LÄN</t>
        </is>
      </c>
      <c r="E2916" t="inlineStr">
        <is>
          <t>SKELLEFTEÅ</t>
        </is>
      </c>
      <c r="F2916" t="inlineStr">
        <is>
          <t>SCA</t>
        </is>
      </c>
      <c r="G2916" t="n">
        <v>30.4</v>
      </c>
      <c r="H2916" t="n">
        <v>0</v>
      </c>
      <c r="I2916" t="n">
        <v>0</v>
      </c>
      <c r="J2916" t="n">
        <v>0</v>
      </c>
      <c r="K2916" t="n">
        <v>0</v>
      </c>
      <c r="L2916" t="n">
        <v>0</v>
      </c>
      <c r="M2916" t="n">
        <v>0</v>
      </c>
      <c r="N2916" t="n">
        <v>0</v>
      </c>
      <c r="O2916" t="n">
        <v>0</v>
      </c>
      <c r="P2916" t="n">
        <v>0</v>
      </c>
      <c r="Q2916" t="n">
        <v>0</v>
      </c>
      <c r="R2916" s="2" t="inlineStr"/>
      <c r="U2916">
        <f>HYPERLINK("https://klasma.github.io/Logging_2482/knärot/A 16711-2024 karta knärot.png", "A 16711-2024")</f>
        <v/>
      </c>
      <c r="V2916">
        <f>HYPERLINK("https://klasma.github.io/Logging_2482/klagomål/A 16711-2024 FSC-klagomål.docx", "A 16711-2024")</f>
        <v/>
      </c>
      <c r="W2916">
        <f>HYPERLINK("https://klasma.github.io/Logging_2482/klagomålsmail/A 16711-2024 FSC-klagomål mail.docx", "A 16711-2024")</f>
        <v/>
      </c>
      <c r="X2916">
        <f>HYPERLINK("https://klasma.github.io/Logging_2482/tillsyn/A 16711-2024 tillsynsbegäran.docx", "A 16711-2024")</f>
        <v/>
      </c>
      <c r="Y2916">
        <f>HYPERLINK("https://klasma.github.io/Logging_2482/tillsynsmail/A 16711-2024 tillsynsbegäran mail.docx", "A 16711-2024")</f>
        <v/>
      </c>
    </row>
    <row r="2917" ht="15" customHeight="1">
      <c r="A2917" t="inlineStr">
        <is>
          <t>A 16959-2024</t>
        </is>
      </c>
      <c r="B2917" s="1" t="n">
        <v>45411</v>
      </c>
      <c r="C2917" s="1" t="n">
        <v>45807</v>
      </c>
      <c r="D2917" t="inlineStr">
        <is>
          <t>VÄSTERBOTTENS LÄN</t>
        </is>
      </c>
      <c r="E2917" t="inlineStr">
        <is>
          <t>SKELLEFTEÅ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17005-2024</t>
        </is>
      </c>
      <c r="B2918" s="1" t="n">
        <v>45411</v>
      </c>
      <c r="C2918" s="1" t="n">
        <v>45807</v>
      </c>
      <c r="D2918" t="inlineStr">
        <is>
          <t>VÄSTERBOTTENS LÄN</t>
        </is>
      </c>
      <c r="E2918" t="inlineStr">
        <is>
          <t>SKELLEFTEÅ</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16977-2024</t>
        </is>
      </c>
      <c r="B2919" s="1" t="n">
        <v>45412</v>
      </c>
      <c r="C2919" s="1" t="n">
        <v>45807</v>
      </c>
      <c r="D2919" t="inlineStr">
        <is>
          <t>VÄSTERBOTTENS LÄN</t>
        </is>
      </c>
      <c r="E2919" t="inlineStr">
        <is>
          <t>SKELLEFTEÅ</t>
        </is>
      </c>
      <c r="F2919" t="inlineStr">
        <is>
          <t>SCA</t>
        </is>
      </c>
      <c r="G2919" t="n">
        <v>16.8</v>
      </c>
      <c r="H2919" t="n">
        <v>0</v>
      </c>
      <c r="I2919" t="n">
        <v>0</v>
      </c>
      <c r="J2919" t="n">
        <v>0</v>
      </c>
      <c r="K2919" t="n">
        <v>0</v>
      </c>
      <c r="L2919" t="n">
        <v>0</v>
      </c>
      <c r="M2919" t="n">
        <v>0</v>
      </c>
      <c r="N2919" t="n">
        <v>0</v>
      </c>
      <c r="O2919" t="n">
        <v>0</v>
      </c>
      <c r="P2919" t="n">
        <v>0</v>
      </c>
      <c r="Q2919" t="n">
        <v>0</v>
      </c>
      <c r="R2919" s="2" t="inlineStr"/>
    </row>
    <row r="2920" ht="15" customHeight="1">
      <c r="A2920" t="inlineStr">
        <is>
          <t>A 17509-2024</t>
        </is>
      </c>
      <c r="B2920" s="1" t="n">
        <v>45415</v>
      </c>
      <c r="C2920" s="1" t="n">
        <v>45807</v>
      </c>
      <c r="D2920" t="inlineStr">
        <is>
          <t>VÄSTERBOTTENS LÄN</t>
        </is>
      </c>
      <c r="E2920" t="inlineStr">
        <is>
          <t>SKELLEFTEÅ</t>
        </is>
      </c>
      <c r="G2920" t="n">
        <v>9.9</v>
      </c>
      <c r="H2920" t="n">
        <v>0</v>
      </c>
      <c r="I2920" t="n">
        <v>0</v>
      </c>
      <c r="J2920" t="n">
        <v>0</v>
      </c>
      <c r="K2920" t="n">
        <v>0</v>
      </c>
      <c r="L2920" t="n">
        <v>0</v>
      </c>
      <c r="M2920" t="n">
        <v>0</v>
      </c>
      <c r="N2920" t="n">
        <v>0</v>
      </c>
      <c r="O2920" t="n">
        <v>0</v>
      </c>
      <c r="P2920" t="n">
        <v>0</v>
      </c>
      <c r="Q2920" t="n">
        <v>0</v>
      </c>
      <c r="R2920" s="2" t="inlineStr"/>
    </row>
    <row r="2921" ht="15" customHeight="1">
      <c r="A2921" t="inlineStr">
        <is>
          <t>A 17542-2024</t>
        </is>
      </c>
      <c r="B2921" s="1" t="n">
        <v>45415</v>
      </c>
      <c r="C2921" s="1" t="n">
        <v>45807</v>
      </c>
      <c r="D2921" t="inlineStr">
        <is>
          <t>VÄSTERBOTTENS LÄN</t>
        </is>
      </c>
      <c r="E2921" t="inlineStr">
        <is>
          <t>SKELLEFTEÅ</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17550-2024</t>
        </is>
      </c>
      <c r="B2922" s="1" t="n">
        <v>45415</v>
      </c>
      <c r="C2922" s="1" t="n">
        <v>45807</v>
      </c>
      <c r="D2922" t="inlineStr">
        <is>
          <t>VÄSTERBOTTENS LÄN</t>
        </is>
      </c>
      <c r="E2922" t="inlineStr">
        <is>
          <t>SKELLEFTEÅ</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17506-2024</t>
        </is>
      </c>
      <c r="B2923" s="1" t="n">
        <v>45415</v>
      </c>
      <c r="C2923" s="1" t="n">
        <v>45807</v>
      </c>
      <c r="D2923" t="inlineStr">
        <is>
          <t>VÄSTERBOTTENS LÄN</t>
        </is>
      </c>
      <c r="E2923" t="inlineStr">
        <is>
          <t>SKELLEFTEÅ</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17568-2024</t>
        </is>
      </c>
      <c r="B2924" s="1" t="n">
        <v>45415</v>
      </c>
      <c r="C2924" s="1" t="n">
        <v>45807</v>
      </c>
      <c r="D2924" t="inlineStr">
        <is>
          <t>VÄSTERBOTTENS LÄN</t>
        </is>
      </c>
      <c r="E2924" t="inlineStr">
        <is>
          <t>SKELLEFTEÅ</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18595-2024</t>
        </is>
      </c>
      <c r="B2925" s="1" t="n">
        <v>45415</v>
      </c>
      <c r="C2925" s="1" t="n">
        <v>45807</v>
      </c>
      <c r="D2925" t="inlineStr">
        <is>
          <t>VÄSTERBOTTENS LÄN</t>
        </is>
      </c>
      <c r="E2925" t="inlineStr">
        <is>
          <t>SKELLEFTEÅ</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17751-2024</t>
        </is>
      </c>
      <c r="B2926" s="1" t="n">
        <v>45418</v>
      </c>
      <c r="C2926" s="1" t="n">
        <v>45807</v>
      </c>
      <c r="D2926" t="inlineStr">
        <is>
          <t>VÄSTERBOTTENS LÄN</t>
        </is>
      </c>
      <c r="E2926" t="inlineStr">
        <is>
          <t>SKELLEFTEÅ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17880-2024</t>
        </is>
      </c>
      <c r="B2927" s="1" t="n">
        <v>45419</v>
      </c>
      <c r="C2927" s="1" t="n">
        <v>45807</v>
      </c>
      <c r="D2927" t="inlineStr">
        <is>
          <t>VÄSTERBOTTENS LÄN</t>
        </is>
      </c>
      <c r="E2927" t="inlineStr">
        <is>
          <t>SKELLEFTEÅ</t>
        </is>
      </c>
      <c r="F2927" t="inlineStr">
        <is>
          <t>Kommuner</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17884-2024</t>
        </is>
      </c>
      <c r="B2928" s="1" t="n">
        <v>45419</v>
      </c>
      <c r="C2928" s="1" t="n">
        <v>45807</v>
      </c>
      <c r="D2928" t="inlineStr">
        <is>
          <t>VÄSTERBOTTENS LÄN</t>
        </is>
      </c>
      <c r="E2928" t="inlineStr">
        <is>
          <t>SKELLEFTEÅ</t>
        </is>
      </c>
      <c r="F2928" t="inlineStr">
        <is>
          <t>Kommuner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18367-2024</t>
        </is>
      </c>
      <c r="B2929" s="1" t="n">
        <v>45422</v>
      </c>
      <c r="C2929" s="1" t="n">
        <v>45807</v>
      </c>
      <c r="D2929" t="inlineStr">
        <is>
          <t>VÄSTERBOTTENS LÄN</t>
        </is>
      </c>
      <c r="E2929" t="inlineStr">
        <is>
          <t>SKELLEFTEÅ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18368-2024</t>
        </is>
      </c>
      <c r="B2930" s="1" t="n">
        <v>45422</v>
      </c>
      <c r="C2930" s="1" t="n">
        <v>45807</v>
      </c>
      <c r="D2930" t="inlineStr">
        <is>
          <t>VÄSTERBOTTENS LÄN</t>
        </is>
      </c>
      <c r="E2930" t="inlineStr">
        <is>
          <t>SKELLEFTEÅ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18578-2024</t>
        </is>
      </c>
      <c r="B2931" s="1" t="n">
        <v>45425</v>
      </c>
      <c r="C2931" s="1" t="n">
        <v>45807</v>
      </c>
      <c r="D2931" t="inlineStr">
        <is>
          <t>VÄSTERBOTTENS LÄN</t>
        </is>
      </c>
      <c r="E2931" t="inlineStr">
        <is>
          <t>SKELLEFTEÅ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18564-2024</t>
        </is>
      </c>
      <c r="B2932" s="1" t="n">
        <v>45425</v>
      </c>
      <c r="C2932" s="1" t="n">
        <v>45807</v>
      </c>
      <c r="D2932" t="inlineStr">
        <is>
          <t>VÄSTERBOTTENS LÄN</t>
        </is>
      </c>
      <c r="E2932" t="inlineStr">
        <is>
          <t>SKELLEFTEÅ</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18580-2024</t>
        </is>
      </c>
      <c r="B2933" s="1" t="n">
        <v>45425</v>
      </c>
      <c r="C2933" s="1" t="n">
        <v>45807</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18681-2024</t>
        </is>
      </c>
      <c r="B2934" s="1" t="n">
        <v>45426</v>
      </c>
      <c r="C2934" s="1" t="n">
        <v>45807</v>
      </c>
      <c r="D2934" t="inlineStr">
        <is>
          <t>VÄSTERBOTTENS LÄN</t>
        </is>
      </c>
      <c r="E2934" t="inlineStr">
        <is>
          <t>SKELLEFTEÅ</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18979-2024</t>
        </is>
      </c>
      <c r="B2935" s="1" t="n">
        <v>45427</v>
      </c>
      <c r="C2935" s="1" t="n">
        <v>45807</v>
      </c>
      <c r="D2935" t="inlineStr">
        <is>
          <t>VÄSTERBOTTENS LÄN</t>
        </is>
      </c>
      <c r="E2935" t="inlineStr">
        <is>
          <t>SKELLEFTEÅ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19405-2024</t>
        </is>
      </c>
      <c r="B2936" s="1" t="n">
        <v>45428</v>
      </c>
      <c r="C2936" s="1" t="n">
        <v>45807</v>
      </c>
      <c r="D2936" t="inlineStr">
        <is>
          <t>VÄSTERBOTTENS LÄN</t>
        </is>
      </c>
      <c r="E2936" t="inlineStr">
        <is>
          <t>SKELLEFTEÅ</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19582-2024</t>
        </is>
      </c>
      <c r="B2937" s="1" t="n">
        <v>45430</v>
      </c>
      <c r="C2937" s="1" t="n">
        <v>45807</v>
      </c>
      <c r="D2937" t="inlineStr">
        <is>
          <t>VÄSTERBOTTENS LÄN</t>
        </is>
      </c>
      <c r="E2937" t="inlineStr">
        <is>
          <t>SKELLEFTEÅ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19576-2024</t>
        </is>
      </c>
      <c r="B2938" s="1" t="n">
        <v>45430</v>
      </c>
      <c r="C2938" s="1" t="n">
        <v>45807</v>
      </c>
      <c r="D2938" t="inlineStr">
        <is>
          <t>VÄSTERBOTTENS LÄN</t>
        </is>
      </c>
      <c r="E2938" t="inlineStr">
        <is>
          <t>SKELLEFTEÅ</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19782-2024</t>
        </is>
      </c>
      <c r="B2939" s="1" t="n">
        <v>45432</v>
      </c>
      <c r="C2939" s="1" t="n">
        <v>45807</v>
      </c>
      <c r="D2939" t="inlineStr">
        <is>
          <t>VÄSTERBOTTENS LÄN</t>
        </is>
      </c>
      <c r="E2939" t="inlineStr">
        <is>
          <t>SKELLEFTEÅ</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19784-2024</t>
        </is>
      </c>
      <c r="B2940" s="1" t="n">
        <v>45432</v>
      </c>
      <c r="C2940" s="1" t="n">
        <v>45807</v>
      </c>
      <c r="D2940" t="inlineStr">
        <is>
          <t>VÄSTERBOTTENS LÄN</t>
        </is>
      </c>
      <c r="E2940" t="inlineStr">
        <is>
          <t>SKELLEFTEÅ</t>
        </is>
      </c>
      <c r="F2940" t="inlineStr">
        <is>
          <t>Sveaskog</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19801-2024</t>
        </is>
      </c>
      <c r="B2941" s="1" t="n">
        <v>45432</v>
      </c>
      <c r="C2941" s="1" t="n">
        <v>45807</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19808-2024</t>
        </is>
      </c>
      <c r="B2942" s="1" t="n">
        <v>45432</v>
      </c>
      <c r="C2942" s="1" t="n">
        <v>45807</v>
      </c>
      <c r="D2942" t="inlineStr">
        <is>
          <t>VÄSTERBOTTENS LÄN</t>
        </is>
      </c>
      <c r="E2942" t="inlineStr">
        <is>
          <t>SKELLEFTEÅ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19809-2024</t>
        </is>
      </c>
      <c r="B2943" s="1" t="n">
        <v>45432</v>
      </c>
      <c r="C2943" s="1" t="n">
        <v>45807</v>
      </c>
      <c r="D2943" t="inlineStr">
        <is>
          <t>VÄSTERBOTTENS LÄN</t>
        </is>
      </c>
      <c r="E2943" t="inlineStr">
        <is>
          <t>SKELLEFTEÅ</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19839-2024</t>
        </is>
      </c>
      <c r="B2944" s="1" t="n">
        <v>45433</v>
      </c>
      <c r="C2944" s="1" t="n">
        <v>45807</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19905-2024</t>
        </is>
      </c>
      <c r="B2945" s="1" t="n">
        <v>45433</v>
      </c>
      <c r="C2945" s="1" t="n">
        <v>45807</v>
      </c>
      <c r="D2945" t="inlineStr">
        <is>
          <t>VÄSTERBOTTENS LÄN</t>
        </is>
      </c>
      <c r="E2945" t="inlineStr">
        <is>
          <t>SKELLEFTEÅ</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19957-2024</t>
        </is>
      </c>
      <c r="B2946" s="1" t="n">
        <v>45433</v>
      </c>
      <c r="C2946" s="1" t="n">
        <v>45807</v>
      </c>
      <c r="D2946" t="inlineStr">
        <is>
          <t>VÄSTERBOTTENS LÄN</t>
        </is>
      </c>
      <c r="E2946" t="inlineStr">
        <is>
          <t>SKELLEFTEÅ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19975-2024</t>
        </is>
      </c>
      <c r="B2947" s="1" t="n">
        <v>45433</v>
      </c>
      <c r="C2947" s="1" t="n">
        <v>45807</v>
      </c>
      <c r="D2947" t="inlineStr">
        <is>
          <t>VÄSTERBOTTENS LÄN</t>
        </is>
      </c>
      <c r="E2947" t="inlineStr">
        <is>
          <t>SKELLEFTEÅ</t>
        </is>
      </c>
      <c r="F2947" t="inlineStr">
        <is>
          <t>Sveaskog</t>
        </is>
      </c>
      <c r="G2947" t="n">
        <v>8.800000000000001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20153-2024</t>
        </is>
      </c>
      <c r="B2948" s="1" t="n">
        <v>45434</v>
      </c>
      <c r="C2948" s="1" t="n">
        <v>45807</v>
      </c>
      <c r="D2948" t="inlineStr">
        <is>
          <t>VÄSTERBOTTENS LÄN</t>
        </is>
      </c>
      <c r="E2948" t="inlineStr">
        <is>
          <t>SKELLEFTEÅ</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20205-2024</t>
        </is>
      </c>
      <c r="B2949" s="1" t="n">
        <v>45434</v>
      </c>
      <c r="C2949" s="1" t="n">
        <v>45807</v>
      </c>
      <c r="D2949" t="inlineStr">
        <is>
          <t>VÄSTERBOTTENS LÄN</t>
        </is>
      </c>
      <c r="E2949" t="inlineStr">
        <is>
          <t>SKELLEFTEÅ</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20209-2024</t>
        </is>
      </c>
      <c r="B2950" s="1" t="n">
        <v>45434</v>
      </c>
      <c r="C2950" s="1" t="n">
        <v>45807</v>
      </c>
      <c r="D2950" t="inlineStr">
        <is>
          <t>VÄSTERBOTTENS LÄN</t>
        </is>
      </c>
      <c r="E2950" t="inlineStr">
        <is>
          <t>SKELLEFTEÅ</t>
        </is>
      </c>
      <c r="F2950" t="inlineStr">
        <is>
          <t>Holmen skog AB</t>
        </is>
      </c>
      <c r="G2950" t="n">
        <v>22.1</v>
      </c>
      <c r="H2950" t="n">
        <v>0</v>
      </c>
      <c r="I2950" t="n">
        <v>0</v>
      </c>
      <c r="J2950" t="n">
        <v>0</v>
      </c>
      <c r="K2950" t="n">
        <v>0</v>
      </c>
      <c r="L2950" t="n">
        <v>0</v>
      </c>
      <c r="M2950" t="n">
        <v>0</v>
      </c>
      <c r="N2950" t="n">
        <v>0</v>
      </c>
      <c r="O2950" t="n">
        <v>0</v>
      </c>
      <c r="P2950" t="n">
        <v>0</v>
      </c>
      <c r="Q2950" t="n">
        <v>0</v>
      </c>
      <c r="R2950" s="2" t="inlineStr"/>
    </row>
    <row r="2951" ht="15" customHeight="1">
      <c r="A2951" t="inlineStr">
        <is>
          <t>A 20320-2024</t>
        </is>
      </c>
      <c r="B2951" s="1" t="n">
        <v>45435</v>
      </c>
      <c r="C2951" s="1" t="n">
        <v>45807</v>
      </c>
      <c r="D2951" t="inlineStr">
        <is>
          <t>VÄSTERBOTTENS LÄN</t>
        </is>
      </c>
      <c r="E2951" t="inlineStr">
        <is>
          <t>SKELLEFTEÅ</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20454-2024</t>
        </is>
      </c>
      <c r="B2952" s="1" t="n">
        <v>45435</v>
      </c>
      <c r="C2952" s="1" t="n">
        <v>45807</v>
      </c>
      <c r="D2952" t="inlineStr">
        <is>
          <t>VÄSTERBOTTENS LÄN</t>
        </is>
      </c>
      <c r="E2952" t="inlineStr">
        <is>
          <t>SKELLEFTEÅ</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20498-2024</t>
        </is>
      </c>
      <c r="B2953" s="1" t="n">
        <v>45435</v>
      </c>
      <c r="C2953" s="1" t="n">
        <v>45807</v>
      </c>
      <c r="D2953" t="inlineStr">
        <is>
          <t>VÄSTERBOTTENS LÄN</t>
        </is>
      </c>
      <c r="E2953" t="inlineStr">
        <is>
          <t>SKELLEFTEÅ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20429-2024</t>
        </is>
      </c>
      <c r="B2954" s="1" t="n">
        <v>45435</v>
      </c>
      <c r="C2954" s="1" t="n">
        <v>45807</v>
      </c>
      <c r="D2954" t="inlineStr">
        <is>
          <t>VÄSTERBOTTENS LÄN</t>
        </is>
      </c>
      <c r="E2954" t="inlineStr">
        <is>
          <t>SKELLEFTEÅ</t>
        </is>
      </c>
      <c r="F2954" t="inlineStr">
        <is>
          <t>Holmen skog AB</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20497-2024</t>
        </is>
      </c>
      <c r="B2955" s="1" t="n">
        <v>45435</v>
      </c>
      <c r="C2955" s="1" t="n">
        <v>45807</v>
      </c>
      <c r="D2955" t="inlineStr">
        <is>
          <t>VÄSTERBOTTENS LÄN</t>
        </is>
      </c>
      <c r="E2955" t="inlineStr">
        <is>
          <t>SKELLEFTEÅ</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20448-2024</t>
        </is>
      </c>
      <c r="B2956" s="1" t="n">
        <v>45435</v>
      </c>
      <c r="C2956" s="1" t="n">
        <v>45807</v>
      </c>
      <c r="D2956" t="inlineStr">
        <is>
          <t>VÄSTERBOTTENS LÄN</t>
        </is>
      </c>
      <c r="E2956" t="inlineStr">
        <is>
          <t>SKELLEFTEÅ</t>
        </is>
      </c>
      <c r="F2956" t="inlineStr">
        <is>
          <t>Holmen skog AB</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20500-2024</t>
        </is>
      </c>
      <c r="B2957" s="1" t="n">
        <v>45436</v>
      </c>
      <c r="C2957" s="1" t="n">
        <v>45807</v>
      </c>
      <c r="D2957" t="inlineStr">
        <is>
          <t>VÄSTERBOTTENS LÄN</t>
        </is>
      </c>
      <c r="E2957" t="inlineStr">
        <is>
          <t>SKELLEFTEÅ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20479-2024</t>
        </is>
      </c>
      <c r="B2958" s="1" t="n">
        <v>45435</v>
      </c>
      <c r="C2958" s="1" t="n">
        <v>45807</v>
      </c>
      <c r="D2958" t="inlineStr">
        <is>
          <t>VÄSTERBOTTENS LÄN</t>
        </is>
      </c>
      <c r="E2958" t="inlineStr">
        <is>
          <t>SKELLEFTEÅ</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20499-2024</t>
        </is>
      </c>
      <c r="B2959" s="1" t="n">
        <v>45435</v>
      </c>
      <c r="C2959" s="1" t="n">
        <v>45807</v>
      </c>
      <c r="D2959" t="inlineStr">
        <is>
          <t>VÄSTERBOTTENS LÄN</t>
        </is>
      </c>
      <c r="E2959" t="inlineStr">
        <is>
          <t>SKELLEFTEÅ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20592-2024</t>
        </is>
      </c>
      <c r="B2960" s="1" t="n">
        <v>45436</v>
      </c>
      <c r="C2960" s="1" t="n">
        <v>45807</v>
      </c>
      <c r="D2960" t="inlineStr">
        <is>
          <t>VÄSTERBOTTENS LÄN</t>
        </is>
      </c>
      <c r="E2960" t="inlineStr">
        <is>
          <t>SKELLEFTEÅ</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20596-2024</t>
        </is>
      </c>
      <c r="B2961" s="1" t="n">
        <v>45436</v>
      </c>
      <c r="C2961" s="1" t="n">
        <v>45807</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20723-2024</t>
        </is>
      </c>
      <c r="B2962" s="1" t="n">
        <v>45436</v>
      </c>
      <c r="C2962" s="1" t="n">
        <v>45807</v>
      </c>
      <c r="D2962" t="inlineStr">
        <is>
          <t>VÄSTERBOTTENS LÄN</t>
        </is>
      </c>
      <c r="E2962" t="inlineStr">
        <is>
          <t>SKELLEFTEÅ</t>
        </is>
      </c>
      <c r="F2962" t="inlineStr">
        <is>
          <t>Holmen skog AB</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20637-2024</t>
        </is>
      </c>
      <c r="B2963" s="1" t="n">
        <v>45436</v>
      </c>
      <c r="C2963" s="1" t="n">
        <v>45807</v>
      </c>
      <c r="D2963" t="inlineStr">
        <is>
          <t>VÄSTERBOTTENS LÄN</t>
        </is>
      </c>
      <c r="E2963" t="inlineStr">
        <is>
          <t>SKELLEFTEÅ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20559-2024</t>
        </is>
      </c>
      <c r="B2964" s="1" t="n">
        <v>45436</v>
      </c>
      <c r="C2964" s="1" t="n">
        <v>45807</v>
      </c>
      <c r="D2964" t="inlineStr">
        <is>
          <t>VÄSTERBOTTENS LÄN</t>
        </is>
      </c>
      <c r="E2964" t="inlineStr">
        <is>
          <t>SKELLEFTEÅ</t>
        </is>
      </c>
      <c r="F2964" t="inlineStr">
        <is>
          <t>Sveaskog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20900-2024</t>
        </is>
      </c>
      <c r="B2965" s="1" t="n">
        <v>45439</v>
      </c>
      <c r="C2965" s="1" t="n">
        <v>45807</v>
      </c>
      <c r="D2965" t="inlineStr">
        <is>
          <t>VÄSTERBOTTENS LÄN</t>
        </is>
      </c>
      <c r="E2965" t="inlineStr">
        <is>
          <t>SKELLEFTEÅ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21078-2024</t>
        </is>
      </c>
      <c r="B2966" s="1" t="n">
        <v>45440</v>
      </c>
      <c r="C2966" s="1" t="n">
        <v>45807</v>
      </c>
      <c r="D2966" t="inlineStr">
        <is>
          <t>VÄSTERBOTTENS LÄN</t>
        </is>
      </c>
      <c r="E2966" t="inlineStr">
        <is>
          <t>SKELLEFTEÅ</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21057-2024</t>
        </is>
      </c>
      <c r="B2967" s="1" t="n">
        <v>45439</v>
      </c>
      <c r="C2967" s="1" t="n">
        <v>45807</v>
      </c>
      <c r="D2967" t="inlineStr">
        <is>
          <t>VÄSTERBOTTENS LÄN</t>
        </is>
      </c>
      <c r="E2967" t="inlineStr">
        <is>
          <t>SKELLEFTEÅ</t>
        </is>
      </c>
      <c r="F2967" t="inlineStr">
        <is>
          <t>Sveaskog</t>
        </is>
      </c>
      <c r="G2967" t="n">
        <v>18.8</v>
      </c>
      <c r="H2967" t="n">
        <v>0</v>
      </c>
      <c r="I2967" t="n">
        <v>0</v>
      </c>
      <c r="J2967" t="n">
        <v>0</v>
      </c>
      <c r="K2967" t="n">
        <v>0</v>
      </c>
      <c r="L2967" t="n">
        <v>0</v>
      </c>
      <c r="M2967" t="n">
        <v>0</v>
      </c>
      <c r="N2967" t="n">
        <v>0</v>
      </c>
      <c r="O2967" t="n">
        <v>0</v>
      </c>
      <c r="P2967" t="n">
        <v>0</v>
      </c>
      <c r="Q2967" t="n">
        <v>0</v>
      </c>
      <c r="R2967" s="2" t="inlineStr"/>
    </row>
    <row r="2968" ht="15" customHeight="1">
      <c r="A2968" t="inlineStr">
        <is>
          <t>A 21076-2024</t>
        </is>
      </c>
      <c r="B2968" s="1" t="n">
        <v>45440</v>
      </c>
      <c r="C2968" s="1" t="n">
        <v>45807</v>
      </c>
      <c r="D2968" t="inlineStr">
        <is>
          <t>VÄSTERBOTTENS LÄN</t>
        </is>
      </c>
      <c r="E2968" t="inlineStr">
        <is>
          <t>SKELLEFTEÅ</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20924-2024</t>
        </is>
      </c>
      <c r="B2969" s="1" t="n">
        <v>45439</v>
      </c>
      <c r="C2969" s="1" t="n">
        <v>45807</v>
      </c>
      <c r="D2969" t="inlineStr">
        <is>
          <t>VÄSTERBOTTENS LÄN</t>
        </is>
      </c>
      <c r="E2969" t="inlineStr">
        <is>
          <t>SKELLEFTEÅ</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21077-2024</t>
        </is>
      </c>
      <c r="B2970" s="1" t="n">
        <v>45440</v>
      </c>
      <c r="C2970" s="1" t="n">
        <v>45807</v>
      </c>
      <c r="D2970" t="inlineStr">
        <is>
          <t>VÄSTERBOTTENS LÄN</t>
        </is>
      </c>
      <c r="E2970" t="inlineStr">
        <is>
          <t>SKELLEFTEÅ</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21152-2024</t>
        </is>
      </c>
      <c r="B2971" s="1" t="n">
        <v>45440</v>
      </c>
      <c r="C2971" s="1" t="n">
        <v>45807</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21146-2024</t>
        </is>
      </c>
      <c r="B2972" s="1" t="n">
        <v>45440</v>
      </c>
      <c r="C2972" s="1" t="n">
        <v>45807</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21426-2024</t>
        </is>
      </c>
      <c r="B2973" s="1" t="n">
        <v>45441</v>
      </c>
      <c r="C2973" s="1" t="n">
        <v>45807</v>
      </c>
      <c r="D2973" t="inlineStr">
        <is>
          <t>VÄSTERBOTTENS LÄN</t>
        </is>
      </c>
      <c r="E2973" t="inlineStr">
        <is>
          <t>SKELLEFTEÅ</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21438-2024</t>
        </is>
      </c>
      <c r="B2974" s="1" t="n">
        <v>45441</v>
      </c>
      <c r="C2974" s="1" t="n">
        <v>45807</v>
      </c>
      <c r="D2974" t="inlineStr">
        <is>
          <t>VÄSTERBOTTENS LÄN</t>
        </is>
      </c>
      <c r="E2974" t="inlineStr">
        <is>
          <t>SKELLEFTEÅ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21495-2024</t>
        </is>
      </c>
      <c r="B2975" s="1" t="n">
        <v>45441</v>
      </c>
      <c r="C2975" s="1" t="n">
        <v>45807</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21593-2024</t>
        </is>
      </c>
      <c r="B2976" s="1" t="n">
        <v>45441</v>
      </c>
      <c r="C2976" s="1" t="n">
        <v>45807</v>
      </c>
      <c r="D2976" t="inlineStr">
        <is>
          <t>VÄSTERBOTTENS LÄN</t>
        </is>
      </c>
      <c r="E2976" t="inlineStr">
        <is>
          <t>SKELLEFTEÅ</t>
        </is>
      </c>
      <c r="F2976" t="inlineStr">
        <is>
          <t>Sveaskog</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21730-2024</t>
        </is>
      </c>
      <c r="B2977" s="1" t="n">
        <v>45442</v>
      </c>
      <c r="C2977" s="1" t="n">
        <v>45807</v>
      </c>
      <c r="D2977" t="inlineStr">
        <is>
          <t>VÄSTERBOTTENS LÄN</t>
        </is>
      </c>
      <c r="E2977" t="inlineStr">
        <is>
          <t>SKELLEFTEÅ</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21737-2024</t>
        </is>
      </c>
      <c r="B2978" s="1" t="n">
        <v>45442</v>
      </c>
      <c r="C2978" s="1" t="n">
        <v>45807</v>
      </c>
      <c r="D2978" t="inlineStr">
        <is>
          <t>VÄSTERBOTTENS LÄN</t>
        </is>
      </c>
      <c r="E2978" t="inlineStr">
        <is>
          <t>SKELLEFTEÅ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21765-2024</t>
        </is>
      </c>
      <c r="B2979" s="1" t="n">
        <v>45442</v>
      </c>
      <c r="C2979" s="1" t="n">
        <v>45807</v>
      </c>
      <c r="D2979" t="inlineStr">
        <is>
          <t>VÄSTERBOTTENS LÄN</t>
        </is>
      </c>
      <c r="E2979" t="inlineStr">
        <is>
          <t>SKELLEFTEÅ</t>
        </is>
      </c>
      <c r="F2979" t="inlineStr">
        <is>
          <t>Holmen skog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21785-2024</t>
        </is>
      </c>
      <c r="B2980" s="1" t="n">
        <v>45442</v>
      </c>
      <c r="C2980" s="1" t="n">
        <v>45807</v>
      </c>
      <c r="D2980" t="inlineStr">
        <is>
          <t>VÄSTERBOTTENS LÄN</t>
        </is>
      </c>
      <c r="E2980" t="inlineStr">
        <is>
          <t>SKELLEFTEÅ</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21812-2024</t>
        </is>
      </c>
      <c r="B2981" s="1" t="n">
        <v>45442</v>
      </c>
      <c r="C2981" s="1" t="n">
        <v>45807</v>
      </c>
      <c r="D2981" t="inlineStr">
        <is>
          <t>VÄSTERBOTTENS LÄN</t>
        </is>
      </c>
      <c r="E2981" t="inlineStr">
        <is>
          <t>SKELLEFTEÅ</t>
        </is>
      </c>
      <c r="F2981" t="inlineStr">
        <is>
          <t>Holmen skog AB</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21854-2024</t>
        </is>
      </c>
      <c r="B2982" s="1" t="n">
        <v>45442</v>
      </c>
      <c r="C2982" s="1" t="n">
        <v>45807</v>
      </c>
      <c r="D2982" t="inlineStr">
        <is>
          <t>VÄSTERBOTTENS LÄN</t>
        </is>
      </c>
      <c r="E2982" t="inlineStr">
        <is>
          <t>SKELLEFTEÅ</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21836-2024</t>
        </is>
      </c>
      <c r="B2983" s="1" t="n">
        <v>45443</v>
      </c>
      <c r="C2983" s="1" t="n">
        <v>45807</v>
      </c>
      <c r="D2983" t="inlineStr">
        <is>
          <t>VÄSTERBOTTENS LÄN</t>
        </is>
      </c>
      <c r="E2983" t="inlineStr">
        <is>
          <t>SKELLEFTEÅ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22044-2024</t>
        </is>
      </c>
      <c r="B2984" s="1" t="n">
        <v>45443</v>
      </c>
      <c r="C2984" s="1" t="n">
        <v>45807</v>
      </c>
      <c r="D2984" t="inlineStr">
        <is>
          <t>VÄSTERBOTTENS LÄN</t>
        </is>
      </c>
      <c r="E2984" t="inlineStr">
        <is>
          <t>SKELLEFTEÅ</t>
        </is>
      </c>
      <c r="F2984" t="inlineStr">
        <is>
          <t>Holmen skog AB</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22014-2024</t>
        </is>
      </c>
      <c r="B2985" s="1" t="n">
        <v>45443</v>
      </c>
      <c r="C2985" s="1" t="n">
        <v>45807</v>
      </c>
      <c r="D2985" t="inlineStr">
        <is>
          <t>VÄSTERBOTTENS LÄN</t>
        </is>
      </c>
      <c r="E2985" t="inlineStr">
        <is>
          <t>SKELLEFTEÅ</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22072-2024</t>
        </is>
      </c>
      <c r="B2986" s="1" t="n">
        <v>45443</v>
      </c>
      <c r="C2986" s="1" t="n">
        <v>45807</v>
      </c>
      <c r="D2986" t="inlineStr">
        <is>
          <t>VÄSTERBOTTENS LÄN</t>
        </is>
      </c>
      <c r="E2986" t="inlineStr">
        <is>
          <t>SKELLEFTEÅ</t>
        </is>
      </c>
      <c r="F2986" t="inlineStr">
        <is>
          <t>Holmen skog AB</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22136-2024</t>
        </is>
      </c>
      <c r="B2987" s="1" t="n">
        <v>45444</v>
      </c>
      <c r="C2987" s="1" t="n">
        <v>45807</v>
      </c>
      <c r="D2987" t="inlineStr">
        <is>
          <t>VÄSTERBOTTENS LÄN</t>
        </is>
      </c>
      <c r="E2987" t="inlineStr">
        <is>
          <t>SKELLEFTEÅ</t>
        </is>
      </c>
      <c r="F2987" t="inlineStr">
        <is>
          <t>Sveaskog</t>
        </is>
      </c>
      <c r="G2987" t="n">
        <v>13.7</v>
      </c>
      <c r="H2987" t="n">
        <v>0</v>
      </c>
      <c r="I2987" t="n">
        <v>0</v>
      </c>
      <c r="J2987" t="n">
        <v>0</v>
      </c>
      <c r="K2987" t="n">
        <v>0</v>
      </c>
      <c r="L2987" t="n">
        <v>0</v>
      </c>
      <c r="M2987" t="n">
        <v>0</v>
      </c>
      <c r="N2987" t="n">
        <v>0</v>
      </c>
      <c r="O2987" t="n">
        <v>0</v>
      </c>
      <c r="P2987" t="n">
        <v>0</v>
      </c>
      <c r="Q2987" t="n">
        <v>0</v>
      </c>
      <c r="R2987" s="2" t="inlineStr"/>
    </row>
    <row r="2988" ht="15" customHeight="1">
      <c r="A2988" t="inlineStr">
        <is>
          <t>A 22219-2024</t>
        </is>
      </c>
      <c r="B2988" s="1" t="n">
        <v>45446</v>
      </c>
      <c r="C2988" s="1" t="n">
        <v>45807</v>
      </c>
      <c r="D2988" t="inlineStr">
        <is>
          <t>VÄSTERBOTTENS LÄN</t>
        </is>
      </c>
      <c r="E2988" t="inlineStr">
        <is>
          <t>SKELLEFTEÅ</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22395-2024</t>
        </is>
      </c>
      <c r="B2989" s="1" t="n">
        <v>45446</v>
      </c>
      <c r="C2989" s="1" t="n">
        <v>45807</v>
      </c>
      <c r="D2989" t="inlineStr">
        <is>
          <t>VÄSTERBOTTENS LÄN</t>
        </is>
      </c>
      <c r="E2989" t="inlineStr">
        <is>
          <t>SKELLEFTEÅ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22199-2024</t>
        </is>
      </c>
      <c r="B2990" s="1" t="n">
        <v>45446</v>
      </c>
      <c r="C2990" s="1" t="n">
        <v>45807</v>
      </c>
      <c r="D2990" t="inlineStr">
        <is>
          <t>VÄSTERBOTTENS LÄN</t>
        </is>
      </c>
      <c r="E2990" t="inlineStr">
        <is>
          <t>SKELLEFTEÅ</t>
        </is>
      </c>
      <c r="F2990" t="inlineStr">
        <is>
          <t>Sveaskog</t>
        </is>
      </c>
      <c r="G2990" t="n">
        <v>40.5</v>
      </c>
      <c r="H2990" t="n">
        <v>0</v>
      </c>
      <c r="I2990" t="n">
        <v>0</v>
      </c>
      <c r="J2990" t="n">
        <v>0</v>
      </c>
      <c r="K2990" t="n">
        <v>0</v>
      </c>
      <c r="L2990" t="n">
        <v>0</v>
      </c>
      <c r="M2990" t="n">
        <v>0</v>
      </c>
      <c r="N2990" t="n">
        <v>0</v>
      </c>
      <c r="O2990" t="n">
        <v>0</v>
      </c>
      <c r="P2990" t="n">
        <v>0</v>
      </c>
      <c r="Q2990" t="n">
        <v>0</v>
      </c>
      <c r="R2990" s="2" t="inlineStr"/>
    </row>
    <row r="2991" ht="15" customHeight="1">
      <c r="A2991" t="inlineStr">
        <is>
          <t>A 22203-2024</t>
        </is>
      </c>
      <c r="B2991" s="1" t="n">
        <v>45446</v>
      </c>
      <c r="C2991" s="1" t="n">
        <v>45807</v>
      </c>
      <c r="D2991" t="inlineStr">
        <is>
          <t>VÄSTERBOTTENS LÄN</t>
        </is>
      </c>
      <c r="E2991" t="inlineStr">
        <is>
          <t>SKELLEFTEÅ</t>
        </is>
      </c>
      <c r="F2991" t="inlineStr">
        <is>
          <t>Sveaskog</t>
        </is>
      </c>
      <c r="G2991" t="n">
        <v>48.1</v>
      </c>
      <c r="H2991" t="n">
        <v>0</v>
      </c>
      <c r="I2991" t="n">
        <v>0</v>
      </c>
      <c r="J2991" t="n">
        <v>0</v>
      </c>
      <c r="K2991" t="n">
        <v>0</v>
      </c>
      <c r="L2991" t="n">
        <v>0</v>
      </c>
      <c r="M2991" t="n">
        <v>0</v>
      </c>
      <c r="N2991" t="n">
        <v>0</v>
      </c>
      <c r="O2991" t="n">
        <v>0</v>
      </c>
      <c r="P2991" t="n">
        <v>0</v>
      </c>
      <c r="Q2991" t="n">
        <v>0</v>
      </c>
      <c r="R2991" s="2" t="inlineStr"/>
    </row>
    <row r="2992" ht="15" customHeight="1">
      <c r="A2992" t="inlineStr">
        <is>
          <t>A 22205-2024</t>
        </is>
      </c>
      <c r="B2992" s="1" t="n">
        <v>45446</v>
      </c>
      <c r="C2992" s="1" t="n">
        <v>45807</v>
      </c>
      <c r="D2992" t="inlineStr">
        <is>
          <t>VÄSTERBOTTENS LÄN</t>
        </is>
      </c>
      <c r="E2992" t="inlineStr">
        <is>
          <t>SKELLEFTEÅ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22654-2024</t>
        </is>
      </c>
      <c r="B2993" s="1" t="n">
        <v>45447</v>
      </c>
      <c r="C2993" s="1" t="n">
        <v>45807</v>
      </c>
      <c r="D2993" t="inlineStr">
        <is>
          <t>VÄSTERBOTTENS LÄN</t>
        </is>
      </c>
      <c r="E2993" t="inlineStr">
        <is>
          <t>SKELLEFTEÅ</t>
        </is>
      </c>
      <c r="F2993" t="inlineStr">
        <is>
          <t>Sveaskog</t>
        </is>
      </c>
      <c r="G2993" t="n">
        <v>17.6</v>
      </c>
      <c r="H2993" t="n">
        <v>0</v>
      </c>
      <c r="I2993" t="n">
        <v>0</v>
      </c>
      <c r="J2993" t="n">
        <v>0</v>
      </c>
      <c r="K2993" t="n">
        <v>0</v>
      </c>
      <c r="L2993" t="n">
        <v>0</v>
      </c>
      <c r="M2993" t="n">
        <v>0</v>
      </c>
      <c r="N2993" t="n">
        <v>0</v>
      </c>
      <c r="O2993" t="n">
        <v>0</v>
      </c>
      <c r="P2993" t="n">
        <v>0</v>
      </c>
      <c r="Q2993" t="n">
        <v>0</v>
      </c>
      <c r="R2993" s="2" t="inlineStr"/>
    </row>
    <row r="2994" ht="15" customHeight="1">
      <c r="A2994" t="inlineStr">
        <is>
          <t>A 22609-2024</t>
        </is>
      </c>
      <c r="B2994" s="1" t="n">
        <v>45447</v>
      </c>
      <c r="C2994" s="1" t="n">
        <v>45807</v>
      </c>
      <c r="D2994" t="inlineStr">
        <is>
          <t>VÄSTERBOTTENS LÄN</t>
        </is>
      </c>
      <c r="E2994" t="inlineStr">
        <is>
          <t>SKELLEFTEÅ</t>
        </is>
      </c>
      <c r="F2994" t="inlineStr">
        <is>
          <t>Holmen skog AB</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22921-2024</t>
        </is>
      </c>
      <c r="B2995" s="1" t="n">
        <v>45448</v>
      </c>
      <c r="C2995" s="1" t="n">
        <v>45807</v>
      </c>
      <c r="D2995" t="inlineStr">
        <is>
          <t>VÄSTERBOTTENS LÄN</t>
        </is>
      </c>
      <c r="E2995" t="inlineStr">
        <is>
          <t>SKELLEFTEÅ</t>
        </is>
      </c>
      <c r="F2995" t="inlineStr">
        <is>
          <t>Sveaskog</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22796-2024</t>
        </is>
      </c>
      <c r="B2996" s="1" t="n">
        <v>45448</v>
      </c>
      <c r="C2996" s="1" t="n">
        <v>45807</v>
      </c>
      <c r="D2996" t="inlineStr">
        <is>
          <t>VÄSTERBOTTENS LÄN</t>
        </is>
      </c>
      <c r="E2996" t="inlineStr">
        <is>
          <t>SKELLEFTEÅ</t>
        </is>
      </c>
      <c r="F2996" t="inlineStr">
        <is>
          <t>Holmen skog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22859-2024</t>
        </is>
      </c>
      <c r="B2997" s="1" t="n">
        <v>45448</v>
      </c>
      <c r="C2997" s="1" t="n">
        <v>45807</v>
      </c>
      <c r="D2997" t="inlineStr">
        <is>
          <t>VÄSTERBOTTENS LÄN</t>
        </is>
      </c>
      <c r="E2997" t="inlineStr">
        <is>
          <t>SKELLEFTEÅ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23059-2024</t>
        </is>
      </c>
      <c r="B2998" s="1" t="n">
        <v>45450</v>
      </c>
      <c r="C2998" s="1" t="n">
        <v>45807</v>
      </c>
      <c r="D2998" t="inlineStr">
        <is>
          <t>VÄSTERBOTTENS LÄN</t>
        </is>
      </c>
      <c r="E2998" t="inlineStr">
        <is>
          <t>SKELLEFTEÅ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23135-2024</t>
        </is>
      </c>
      <c r="B2999" s="1" t="n">
        <v>45450</v>
      </c>
      <c r="C2999" s="1" t="n">
        <v>45807</v>
      </c>
      <c r="D2999" t="inlineStr">
        <is>
          <t>VÄSTERBOTTENS LÄN</t>
        </is>
      </c>
      <c r="E2999" t="inlineStr">
        <is>
          <t>SKELLEFTEÅ</t>
        </is>
      </c>
      <c r="F2999" t="inlineStr">
        <is>
          <t>Holmen skog AB</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23164-2024</t>
        </is>
      </c>
      <c r="B3000" s="1" t="n">
        <v>45450</v>
      </c>
      <c r="C3000" s="1" t="n">
        <v>45807</v>
      </c>
      <c r="D3000" t="inlineStr">
        <is>
          <t>VÄSTERBOTTENS LÄN</t>
        </is>
      </c>
      <c r="E3000" t="inlineStr">
        <is>
          <t>SKELLEFTEÅ</t>
        </is>
      </c>
      <c r="F3000" t="inlineStr">
        <is>
          <t>Sveaskog</t>
        </is>
      </c>
      <c r="G3000" t="n">
        <v>9.699999999999999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23168-2024</t>
        </is>
      </c>
      <c r="B3001" s="1" t="n">
        <v>45450</v>
      </c>
      <c r="C3001" s="1" t="n">
        <v>45807</v>
      </c>
      <c r="D3001" t="inlineStr">
        <is>
          <t>VÄSTERBOTTENS LÄN</t>
        </is>
      </c>
      <c r="E3001" t="inlineStr">
        <is>
          <t>SKELLEFTEÅ</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23062-2024</t>
        </is>
      </c>
      <c r="B3002" s="1" t="n">
        <v>45450</v>
      </c>
      <c r="C3002" s="1" t="n">
        <v>45807</v>
      </c>
      <c r="D3002" t="inlineStr">
        <is>
          <t>VÄSTERBOTTENS LÄN</t>
        </is>
      </c>
      <c r="E3002" t="inlineStr">
        <is>
          <t>SKELLEFTEÅ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23169-2024</t>
        </is>
      </c>
      <c r="B3003" s="1" t="n">
        <v>45450</v>
      </c>
      <c r="C3003" s="1" t="n">
        <v>45807</v>
      </c>
      <c r="D3003" t="inlineStr">
        <is>
          <t>VÄSTERBOTTENS LÄN</t>
        </is>
      </c>
      <c r="E3003" t="inlineStr">
        <is>
          <t>SKELLEFTEÅ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23522-2024</t>
        </is>
      </c>
      <c r="B3004" s="1" t="n">
        <v>45454</v>
      </c>
      <c r="C3004" s="1" t="n">
        <v>45807</v>
      </c>
      <c r="D3004" t="inlineStr">
        <is>
          <t>VÄSTERBOTTENS LÄN</t>
        </is>
      </c>
      <c r="E3004" t="inlineStr">
        <is>
          <t>SKELLEFTEÅ</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23502-2024</t>
        </is>
      </c>
      <c r="B3005" s="1" t="n">
        <v>45453</v>
      </c>
      <c r="C3005" s="1" t="n">
        <v>45807</v>
      </c>
      <c r="D3005" t="inlineStr">
        <is>
          <t>VÄSTERBOTTENS LÄN</t>
        </is>
      </c>
      <c r="E3005" t="inlineStr">
        <is>
          <t>SKELLEFTEÅ</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23520-2024</t>
        </is>
      </c>
      <c r="B3006" s="1" t="n">
        <v>45453</v>
      </c>
      <c r="C3006" s="1" t="n">
        <v>45807</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23503-2024</t>
        </is>
      </c>
      <c r="B3007" s="1" t="n">
        <v>45453</v>
      </c>
      <c r="C3007" s="1" t="n">
        <v>45807</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23445-2024</t>
        </is>
      </c>
      <c r="B3008" s="1" t="n">
        <v>45453</v>
      </c>
      <c r="C3008" s="1" t="n">
        <v>45807</v>
      </c>
      <c r="D3008" t="inlineStr">
        <is>
          <t>VÄSTERBOTTENS LÄN</t>
        </is>
      </c>
      <c r="E3008" t="inlineStr">
        <is>
          <t>SKELLEFTEÅ</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23501-2024</t>
        </is>
      </c>
      <c r="B3009" s="1" t="n">
        <v>45453</v>
      </c>
      <c r="C3009" s="1" t="n">
        <v>45807</v>
      </c>
      <c r="D3009" t="inlineStr">
        <is>
          <t>VÄSTERBOTTENS LÄN</t>
        </is>
      </c>
      <c r="E3009" t="inlineStr">
        <is>
          <t>SKELLEFTEÅ</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23521-2024</t>
        </is>
      </c>
      <c r="B3010" s="1" t="n">
        <v>45454</v>
      </c>
      <c r="C3010" s="1" t="n">
        <v>45807</v>
      </c>
      <c r="D3010" t="inlineStr">
        <is>
          <t>VÄSTERBOTTENS LÄN</t>
        </is>
      </c>
      <c r="E3010" t="inlineStr">
        <is>
          <t>SKELLEFTEÅ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23239-2024</t>
        </is>
      </c>
      <c r="B3011" s="1" t="n">
        <v>45453</v>
      </c>
      <c r="C3011" s="1" t="n">
        <v>45807</v>
      </c>
      <c r="D3011" t="inlineStr">
        <is>
          <t>VÄSTERBOTTENS LÄN</t>
        </is>
      </c>
      <c r="E3011" t="inlineStr">
        <is>
          <t>SKELLEFTEÅ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23634-2024</t>
        </is>
      </c>
      <c r="B3012" s="1" t="n">
        <v>45454</v>
      </c>
      <c r="C3012" s="1" t="n">
        <v>45807</v>
      </c>
      <c r="D3012" t="inlineStr">
        <is>
          <t>VÄSTERBOTTENS LÄN</t>
        </is>
      </c>
      <c r="E3012" t="inlineStr">
        <is>
          <t>SKELLEFTEÅ</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23629-2024</t>
        </is>
      </c>
      <c r="B3013" s="1" t="n">
        <v>45454</v>
      </c>
      <c r="C3013" s="1" t="n">
        <v>45807</v>
      </c>
      <c r="D3013" t="inlineStr">
        <is>
          <t>VÄSTERBOTTENS LÄN</t>
        </is>
      </c>
      <c r="E3013" t="inlineStr">
        <is>
          <t>SKELLEFTEÅ</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23925-2024</t>
        </is>
      </c>
      <c r="B3014" s="1" t="n">
        <v>45456</v>
      </c>
      <c r="C3014" s="1" t="n">
        <v>45807</v>
      </c>
      <c r="D3014" t="inlineStr">
        <is>
          <t>VÄSTERBOTTENS LÄN</t>
        </is>
      </c>
      <c r="E3014" t="inlineStr">
        <is>
          <t>SKELLEFTEÅ</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23929-2024</t>
        </is>
      </c>
      <c r="B3015" s="1" t="n">
        <v>45456</v>
      </c>
      <c r="C3015" s="1" t="n">
        <v>45807</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23903-2024</t>
        </is>
      </c>
      <c r="B3016" s="1" t="n">
        <v>45455</v>
      </c>
      <c r="C3016" s="1" t="n">
        <v>45807</v>
      </c>
      <c r="D3016" t="inlineStr">
        <is>
          <t>VÄSTERBOTTENS LÄN</t>
        </is>
      </c>
      <c r="E3016" t="inlineStr">
        <is>
          <t>SKELLEFTEÅ</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23823-2024</t>
        </is>
      </c>
      <c r="B3017" s="1" t="n">
        <v>45455</v>
      </c>
      <c r="C3017" s="1" t="n">
        <v>45807</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24080-2024</t>
        </is>
      </c>
      <c r="B3018" s="1" t="n">
        <v>45456</v>
      </c>
      <c r="C3018" s="1" t="n">
        <v>45807</v>
      </c>
      <c r="D3018" t="inlineStr">
        <is>
          <t>VÄSTERBOTTENS LÄN</t>
        </is>
      </c>
      <c r="E3018" t="inlineStr">
        <is>
          <t>SKELLEFTEÅ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24195-2024</t>
        </is>
      </c>
      <c r="B3019" s="1" t="n">
        <v>45456</v>
      </c>
      <c r="C3019" s="1" t="n">
        <v>45807</v>
      </c>
      <c r="D3019" t="inlineStr">
        <is>
          <t>VÄSTERBOTTENS LÄN</t>
        </is>
      </c>
      <c r="E3019" t="inlineStr">
        <is>
          <t>SKELLEFTEÅ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24362-2024</t>
        </is>
      </c>
      <c r="B3020" s="1" t="n">
        <v>45457</v>
      </c>
      <c r="C3020" s="1" t="n">
        <v>45807</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24418-2024</t>
        </is>
      </c>
      <c r="B3021" s="1" t="n">
        <v>45457</v>
      </c>
      <c r="C3021" s="1" t="n">
        <v>45807</v>
      </c>
      <c r="D3021" t="inlineStr">
        <is>
          <t>VÄSTERBOTTENS LÄN</t>
        </is>
      </c>
      <c r="E3021" t="inlineStr">
        <is>
          <t>SKELLEFTEÅ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24349-2024</t>
        </is>
      </c>
      <c r="B3022" s="1" t="n">
        <v>45457</v>
      </c>
      <c r="C3022" s="1" t="n">
        <v>45807</v>
      </c>
      <c r="D3022" t="inlineStr">
        <is>
          <t>VÄSTERBOTTENS LÄN</t>
        </is>
      </c>
      <c r="E3022" t="inlineStr">
        <is>
          <t>SKELLEFTEÅ</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24352-2024</t>
        </is>
      </c>
      <c r="B3023" s="1" t="n">
        <v>45457</v>
      </c>
      <c r="C3023" s="1" t="n">
        <v>45807</v>
      </c>
      <c r="D3023" t="inlineStr">
        <is>
          <t>VÄSTERBOTTENS LÄN</t>
        </is>
      </c>
      <c r="E3023" t="inlineStr">
        <is>
          <t>SKELLEFTEÅ</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24696-2024</t>
        </is>
      </c>
      <c r="B3024" s="1" t="n">
        <v>45460</v>
      </c>
      <c r="C3024" s="1" t="n">
        <v>45807</v>
      </c>
      <c r="D3024" t="inlineStr">
        <is>
          <t>VÄSTERBOTTENS LÄN</t>
        </is>
      </c>
      <c r="E3024" t="inlineStr">
        <is>
          <t>SKELLEFTEÅ</t>
        </is>
      </c>
      <c r="F3024" t="inlineStr">
        <is>
          <t>Holmen skog AB</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24780-2024</t>
        </is>
      </c>
      <c r="B3025" s="1" t="n">
        <v>45460</v>
      </c>
      <c r="C3025" s="1" t="n">
        <v>45807</v>
      </c>
      <c r="D3025" t="inlineStr">
        <is>
          <t>VÄSTERBOTTENS LÄN</t>
        </is>
      </c>
      <c r="E3025" t="inlineStr">
        <is>
          <t>SKELLEFTEÅ</t>
        </is>
      </c>
      <c r="F3025" t="inlineStr">
        <is>
          <t>Sveaskog</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24604-2024</t>
        </is>
      </c>
      <c r="B3026" s="1" t="n">
        <v>45460</v>
      </c>
      <c r="C3026" s="1" t="n">
        <v>45807</v>
      </c>
      <c r="D3026" t="inlineStr">
        <is>
          <t>VÄSTERBOTTENS LÄN</t>
        </is>
      </c>
      <c r="E3026" t="inlineStr">
        <is>
          <t>SKELLEFTEÅ</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24576-2024</t>
        </is>
      </c>
      <c r="B3027" s="1" t="n">
        <v>45460</v>
      </c>
      <c r="C3027" s="1" t="n">
        <v>45807</v>
      </c>
      <c r="D3027" t="inlineStr">
        <is>
          <t>VÄSTERBOTTENS LÄN</t>
        </is>
      </c>
      <c r="E3027" t="inlineStr">
        <is>
          <t>SKELLEFTEÅ</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24914-2024</t>
        </is>
      </c>
      <c r="B3028" s="1" t="n">
        <v>45461</v>
      </c>
      <c r="C3028" s="1" t="n">
        <v>45807</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25006-2024</t>
        </is>
      </c>
      <c r="B3029" s="1" t="n">
        <v>45461</v>
      </c>
      <c r="C3029" s="1" t="n">
        <v>45807</v>
      </c>
      <c r="D3029" t="inlineStr">
        <is>
          <t>VÄSTERBOTTENS LÄN</t>
        </is>
      </c>
      <c r="E3029" t="inlineStr">
        <is>
          <t>SKELLEFTEÅ</t>
        </is>
      </c>
      <c r="F3029" t="inlineStr">
        <is>
          <t>Sveaskog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24920-2024</t>
        </is>
      </c>
      <c r="B3030" s="1" t="n">
        <v>45461</v>
      </c>
      <c r="C3030" s="1" t="n">
        <v>45807</v>
      </c>
      <c r="D3030" t="inlineStr">
        <is>
          <t>VÄSTERBOTTENS LÄN</t>
        </is>
      </c>
      <c r="E3030" t="inlineStr">
        <is>
          <t>SKELLEFTEÅ</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25354-2024</t>
        </is>
      </c>
      <c r="B3031" s="1" t="n">
        <v>45462</v>
      </c>
      <c r="C3031" s="1" t="n">
        <v>45807</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25209-2024</t>
        </is>
      </c>
      <c r="B3032" s="1" t="n">
        <v>45462</v>
      </c>
      <c r="C3032" s="1" t="n">
        <v>45807</v>
      </c>
      <c r="D3032" t="inlineStr">
        <is>
          <t>VÄSTERBOTTENS LÄN</t>
        </is>
      </c>
      <c r="E3032" t="inlineStr">
        <is>
          <t>SKELLEFTEÅ</t>
        </is>
      </c>
      <c r="F3032" t="inlineStr">
        <is>
          <t>Holmen skog AB</t>
        </is>
      </c>
      <c r="G3032" t="n">
        <v>30.3</v>
      </c>
      <c r="H3032" t="n">
        <v>0</v>
      </c>
      <c r="I3032" t="n">
        <v>0</v>
      </c>
      <c r="J3032" t="n">
        <v>0</v>
      </c>
      <c r="K3032" t="n">
        <v>0</v>
      </c>
      <c r="L3032" t="n">
        <v>0</v>
      </c>
      <c r="M3032" t="n">
        <v>0</v>
      </c>
      <c r="N3032" t="n">
        <v>0</v>
      </c>
      <c r="O3032" t="n">
        <v>0</v>
      </c>
      <c r="P3032" t="n">
        <v>0</v>
      </c>
      <c r="Q3032" t="n">
        <v>0</v>
      </c>
      <c r="R3032" s="2" t="inlineStr"/>
    </row>
    <row r="3033" ht="15" customHeight="1">
      <c r="A3033" t="inlineStr">
        <is>
          <t>A 25157-2024</t>
        </is>
      </c>
      <c r="B3033" s="1" t="n">
        <v>45462</v>
      </c>
      <c r="C3033" s="1" t="n">
        <v>45807</v>
      </c>
      <c r="D3033" t="inlineStr">
        <is>
          <t>VÄSTERBOTTENS LÄN</t>
        </is>
      </c>
      <c r="E3033" t="inlineStr">
        <is>
          <t>SKELLEFTEÅ</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25111-2024</t>
        </is>
      </c>
      <c r="B3034" s="1" t="n">
        <v>45462</v>
      </c>
      <c r="C3034" s="1" t="n">
        <v>45807</v>
      </c>
      <c r="D3034" t="inlineStr">
        <is>
          <t>VÄSTERBOTTENS LÄN</t>
        </is>
      </c>
      <c r="E3034" t="inlineStr">
        <is>
          <t>SKELLEFTEÅ</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25106-2024</t>
        </is>
      </c>
      <c r="B3035" s="1" t="n">
        <v>45462</v>
      </c>
      <c r="C3035" s="1" t="n">
        <v>45807</v>
      </c>
      <c r="D3035" t="inlineStr">
        <is>
          <t>VÄSTERBOTTENS LÄN</t>
        </is>
      </c>
      <c r="E3035" t="inlineStr">
        <is>
          <t>SKELLEFTEÅ</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25184-2024</t>
        </is>
      </c>
      <c r="B3036" s="1" t="n">
        <v>45462</v>
      </c>
      <c r="C3036" s="1" t="n">
        <v>45807</v>
      </c>
      <c r="D3036" t="inlineStr">
        <is>
          <t>VÄSTERBOTTENS LÄN</t>
        </is>
      </c>
      <c r="E3036" t="inlineStr">
        <is>
          <t>SKELLEFTEÅ</t>
        </is>
      </c>
      <c r="F3036" t="inlineStr">
        <is>
          <t>Holmen skog AB</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25158-2024</t>
        </is>
      </c>
      <c r="B3037" s="1" t="n">
        <v>45462</v>
      </c>
      <c r="C3037" s="1" t="n">
        <v>45807</v>
      </c>
      <c r="D3037" t="inlineStr">
        <is>
          <t>VÄSTERBOTTENS LÄN</t>
        </is>
      </c>
      <c r="E3037" t="inlineStr">
        <is>
          <t>SKELLEFTEÅ</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25099-2024</t>
        </is>
      </c>
      <c r="B3038" s="1" t="n">
        <v>45462</v>
      </c>
      <c r="C3038" s="1" t="n">
        <v>45807</v>
      </c>
      <c r="D3038" t="inlineStr">
        <is>
          <t>VÄSTERBOTTENS LÄN</t>
        </is>
      </c>
      <c r="E3038" t="inlineStr">
        <is>
          <t>SKELLEFTEÅ</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25155-2024</t>
        </is>
      </c>
      <c r="B3039" s="1" t="n">
        <v>45462</v>
      </c>
      <c r="C3039" s="1" t="n">
        <v>45807</v>
      </c>
      <c r="D3039" t="inlineStr">
        <is>
          <t>VÄSTERBOTTENS LÄN</t>
        </is>
      </c>
      <c r="E3039" t="inlineStr">
        <is>
          <t>SKELLEFTEÅ</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25682-2024</t>
        </is>
      </c>
      <c r="B3040" s="1" t="n">
        <v>45463</v>
      </c>
      <c r="C3040" s="1" t="n">
        <v>45807</v>
      </c>
      <c r="D3040" t="inlineStr">
        <is>
          <t>VÄSTERBOTTENS LÄN</t>
        </is>
      </c>
      <c r="E3040" t="inlineStr">
        <is>
          <t>SKELLEFTEÅ</t>
        </is>
      </c>
      <c r="F3040" t="inlineStr">
        <is>
          <t>Sveaskog</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25666-2024</t>
        </is>
      </c>
      <c r="B3041" s="1" t="n">
        <v>45463</v>
      </c>
      <c r="C3041" s="1" t="n">
        <v>45807</v>
      </c>
      <c r="D3041" t="inlineStr">
        <is>
          <t>VÄSTERBOTTENS LÄN</t>
        </is>
      </c>
      <c r="E3041" t="inlineStr">
        <is>
          <t>SKELLEFTEÅ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25795-2024</t>
        </is>
      </c>
      <c r="B3042" s="1" t="n">
        <v>45463</v>
      </c>
      <c r="C3042" s="1" t="n">
        <v>45807</v>
      </c>
      <c r="D3042" t="inlineStr">
        <is>
          <t>VÄSTERBOTTENS LÄN</t>
        </is>
      </c>
      <c r="E3042" t="inlineStr">
        <is>
          <t>SKELLEFTEÅ</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25665-2024</t>
        </is>
      </c>
      <c r="B3043" s="1" t="n">
        <v>45463</v>
      </c>
      <c r="C3043" s="1" t="n">
        <v>45807</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25984-2024</t>
        </is>
      </c>
      <c r="B3044" s="1" t="n">
        <v>45467</v>
      </c>
      <c r="C3044" s="1" t="n">
        <v>45807</v>
      </c>
      <c r="D3044" t="inlineStr">
        <is>
          <t>VÄSTERBOTTENS LÄN</t>
        </is>
      </c>
      <c r="E3044" t="inlineStr">
        <is>
          <t>SKELLEFTEÅ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25943-2024</t>
        </is>
      </c>
      <c r="B3045" s="1" t="n">
        <v>45467</v>
      </c>
      <c r="C3045" s="1" t="n">
        <v>45807</v>
      </c>
      <c r="D3045" t="inlineStr">
        <is>
          <t>VÄSTERBOTTENS LÄN</t>
        </is>
      </c>
      <c r="E3045" t="inlineStr">
        <is>
          <t>SKELLEFTEÅ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25983-2024</t>
        </is>
      </c>
      <c r="B3046" s="1" t="n">
        <v>45467</v>
      </c>
      <c r="C3046" s="1" t="n">
        <v>45807</v>
      </c>
      <c r="D3046" t="inlineStr">
        <is>
          <t>VÄSTERBOTTENS LÄN</t>
        </is>
      </c>
      <c r="E3046" t="inlineStr">
        <is>
          <t>SKELLEFTEÅ</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26096-2024</t>
        </is>
      </c>
      <c r="B3047" s="1" t="n">
        <v>45467</v>
      </c>
      <c r="C3047" s="1" t="n">
        <v>45807</v>
      </c>
      <c r="D3047" t="inlineStr">
        <is>
          <t>VÄSTERBOTTENS LÄN</t>
        </is>
      </c>
      <c r="E3047" t="inlineStr">
        <is>
          <t>SKELLEFTEÅ</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26253-2024</t>
        </is>
      </c>
      <c r="B3048" s="1" t="n">
        <v>45468</v>
      </c>
      <c r="C3048" s="1" t="n">
        <v>45807</v>
      </c>
      <c r="D3048" t="inlineStr">
        <is>
          <t>VÄSTERBOTTENS LÄN</t>
        </is>
      </c>
      <c r="E3048" t="inlineStr">
        <is>
          <t>SKELLEFTEÅ</t>
        </is>
      </c>
      <c r="F3048" t="inlineStr">
        <is>
          <t>Holmen skog AB</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26190-2024</t>
        </is>
      </c>
      <c r="B3049" s="1" t="n">
        <v>45468</v>
      </c>
      <c r="C3049" s="1" t="n">
        <v>45807</v>
      </c>
      <c r="D3049" t="inlineStr">
        <is>
          <t>VÄSTERBOTTENS LÄN</t>
        </is>
      </c>
      <c r="E3049" t="inlineStr">
        <is>
          <t>SKELLEFTEÅ</t>
        </is>
      </c>
      <c r="F3049" t="inlineStr">
        <is>
          <t>Holmen skog AB</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26226-2024</t>
        </is>
      </c>
      <c r="B3050" s="1" t="n">
        <v>45468</v>
      </c>
      <c r="C3050" s="1" t="n">
        <v>45807</v>
      </c>
      <c r="D3050" t="inlineStr">
        <is>
          <t>VÄSTERBOTTENS LÄN</t>
        </is>
      </c>
      <c r="E3050" t="inlineStr">
        <is>
          <t>SKELLEFTEÅ</t>
        </is>
      </c>
      <c r="F3050" t="inlineStr">
        <is>
          <t>Holmen skog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26293-2024</t>
        </is>
      </c>
      <c r="B3051" s="1" t="n">
        <v>45468</v>
      </c>
      <c r="C3051" s="1" t="n">
        <v>45807</v>
      </c>
      <c r="D3051" t="inlineStr">
        <is>
          <t>VÄSTERBOTTENS LÄN</t>
        </is>
      </c>
      <c r="E3051" t="inlineStr">
        <is>
          <t>SKELLEFTEÅ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26257-2024</t>
        </is>
      </c>
      <c r="B3052" s="1" t="n">
        <v>45468</v>
      </c>
      <c r="C3052" s="1" t="n">
        <v>45807</v>
      </c>
      <c r="D3052" t="inlineStr">
        <is>
          <t>VÄSTERBOTTENS LÄN</t>
        </is>
      </c>
      <c r="E3052" t="inlineStr">
        <is>
          <t>SKELLEFTEÅ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26212-2024</t>
        </is>
      </c>
      <c r="B3053" s="1" t="n">
        <v>45468</v>
      </c>
      <c r="C3053" s="1" t="n">
        <v>45807</v>
      </c>
      <c r="D3053" t="inlineStr">
        <is>
          <t>VÄSTERBOTTENS LÄN</t>
        </is>
      </c>
      <c r="E3053" t="inlineStr">
        <is>
          <t>SKELLEFTEÅ</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26102-2024</t>
        </is>
      </c>
      <c r="B3054" s="1" t="n">
        <v>45468</v>
      </c>
      <c r="C3054" s="1" t="n">
        <v>45807</v>
      </c>
      <c r="D3054" t="inlineStr">
        <is>
          <t>VÄSTERBOTTENS LÄN</t>
        </is>
      </c>
      <c r="E3054" t="inlineStr">
        <is>
          <t>SKELLEFTEÅ</t>
        </is>
      </c>
      <c r="F3054" t="inlineStr">
        <is>
          <t>Holmen skog AB</t>
        </is>
      </c>
      <c r="G3054" t="n">
        <v>16.4</v>
      </c>
      <c r="H3054" t="n">
        <v>0</v>
      </c>
      <c r="I3054" t="n">
        <v>0</v>
      </c>
      <c r="J3054" t="n">
        <v>0</v>
      </c>
      <c r="K3054" t="n">
        <v>0</v>
      </c>
      <c r="L3054" t="n">
        <v>0</v>
      </c>
      <c r="M3054" t="n">
        <v>0</v>
      </c>
      <c r="N3054" t="n">
        <v>0</v>
      </c>
      <c r="O3054" t="n">
        <v>0</v>
      </c>
      <c r="P3054" t="n">
        <v>0</v>
      </c>
      <c r="Q3054" t="n">
        <v>0</v>
      </c>
      <c r="R3054" s="2" t="inlineStr"/>
    </row>
    <row r="3055" ht="15" customHeight="1">
      <c r="A3055" t="inlineStr">
        <is>
          <t>A 26447-2024</t>
        </is>
      </c>
      <c r="B3055" s="1" t="n">
        <v>45469</v>
      </c>
      <c r="C3055" s="1" t="n">
        <v>45807</v>
      </c>
      <c r="D3055" t="inlineStr">
        <is>
          <t>VÄSTERBOTTENS LÄN</t>
        </is>
      </c>
      <c r="E3055" t="inlineStr">
        <is>
          <t>SKELLEFTEÅ</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26328-2024</t>
        </is>
      </c>
      <c r="B3056" s="1" t="n">
        <v>45469</v>
      </c>
      <c r="C3056" s="1" t="n">
        <v>45807</v>
      </c>
      <c r="D3056" t="inlineStr">
        <is>
          <t>VÄSTERBOTTENS LÄN</t>
        </is>
      </c>
      <c r="E3056" t="inlineStr">
        <is>
          <t>SKELLEFTEÅ</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26399-2024</t>
        </is>
      </c>
      <c r="B3057" s="1" t="n">
        <v>45469</v>
      </c>
      <c r="C3057" s="1" t="n">
        <v>45807</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26546-2024</t>
        </is>
      </c>
      <c r="B3058" s="1" t="n">
        <v>45469</v>
      </c>
      <c r="C3058" s="1" t="n">
        <v>45807</v>
      </c>
      <c r="D3058" t="inlineStr">
        <is>
          <t>VÄSTERBOTTENS LÄN</t>
        </is>
      </c>
      <c r="E3058" t="inlineStr">
        <is>
          <t>SKELLEFTEÅ</t>
        </is>
      </c>
      <c r="F3058" t="inlineStr">
        <is>
          <t>Sveaskog</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26626-2024</t>
        </is>
      </c>
      <c r="B3059" s="1" t="n">
        <v>45469</v>
      </c>
      <c r="C3059" s="1" t="n">
        <v>45807</v>
      </c>
      <c r="D3059" t="inlineStr">
        <is>
          <t>VÄSTERBOTTENS LÄN</t>
        </is>
      </c>
      <c r="E3059" t="inlineStr">
        <is>
          <t>SKELLEFTEÅ</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26630-2024</t>
        </is>
      </c>
      <c r="B3060" s="1" t="n">
        <v>45469</v>
      </c>
      <c r="C3060" s="1" t="n">
        <v>45807</v>
      </c>
      <c r="D3060" t="inlineStr">
        <is>
          <t>VÄSTERBOTTENS LÄN</t>
        </is>
      </c>
      <c r="E3060" t="inlineStr">
        <is>
          <t>SKELLEFTEÅ</t>
        </is>
      </c>
      <c r="F3060" t="inlineStr">
        <is>
          <t>Sveaskog</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26581-2024</t>
        </is>
      </c>
      <c r="B3061" s="1" t="n">
        <v>45469</v>
      </c>
      <c r="C3061" s="1" t="n">
        <v>45807</v>
      </c>
      <c r="D3061" t="inlineStr">
        <is>
          <t>VÄSTERBOTTENS LÄN</t>
        </is>
      </c>
      <c r="E3061" t="inlineStr">
        <is>
          <t>SKELLEFTEÅ</t>
        </is>
      </c>
      <c r="F3061" t="inlineStr">
        <is>
          <t>Holmen skog AB</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26497-2024</t>
        </is>
      </c>
      <c r="B3062" s="1" t="n">
        <v>45469</v>
      </c>
      <c r="C3062" s="1" t="n">
        <v>45807</v>
      </c>
      <c r="D3062" t="inlineStr">
        <is>
          <t>VÄSTERBOTTENS LÄN</t>
        </is>
      </c>
      <c r="E3062" t="inlineStr">
        <is>
          <t>SKELLEFTEÅ</t>
        </is>
      </c>
      <c r="F3062" t="inlineStr">
        <is>
          <t>Holmen skog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26389-2024</t>
        </is>
      </c>
      <c r="B3063" s="1" t="n">
        <v>45469</v>
      </c>
      <c r="C3063" s="1" t="n">
        <v>45807</v>
      </c>
      <c r="D3063" t="inlineStr">
        <is>
          <t>VÄSTERBOTTENS LÄN</t>
        </is>
      </c>
      <c r="E3063" t="inlineStr">
        <is>
          <t>SKELLEFTEÅ</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26826-2024</t>
        </is>
      </c>
      <c r="B3064" s="1" t="n">
        <v>45470</v>
      </c>
      <c r="C3064" s="1" t="n">
        <v>45807</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26818-2024</t>
        </is>
      </c>
      <c r="B3065" s="1" t="n">
        <v>45470</v>
      </c>
      <c r="C3065" s="1" t="n">
        <v>45807</v>
      </c>
      <c r="D3065" t="inlineStr">
        <is>
          <t>VÄSTERBOTTENS LÄN</t>
        </is>
      </c>
      <c r="E3065" t="inlineStr">
        <is>
          <t>SKELLEFTEÅ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26928-2024</t>
        </is>
      </c>
      <c r="B3066" s="1" t="n">
        <v>45471</v>
      </c>
      <c r="C3066" s="1" t="n">
        <v>45807</v>
      </c>
      <c r="D3066" t="inlineStr">
        <is>
          <t>VÄSTERBOTTENS LÄN</t>
        </is>
      </c>
      <c r="E3066" t="inlineStr">
        <is>
          <t>SKELLEFTEÅ</t>
        </is>
      </c>
      <c r="G3066" t="n">
        <v>17.6</v>
      </c>
      <c r="H3066" t="n">
        <v>0</v>
      </c>
      <c r="I3066" t="n">
        <v>0</v>
      </c>
      <c r="J3066" t="n">
        <v>0</v>
      </c>
      <c r="K3066" t="n">
        <v>0</v>
      </c>
      <c r="L3066" t="n">
        <v>0</v>
      </c>
      <c r="M3066" t="n">
        <v>0</v>
      </c>
      <c r="N3066" t="n">
        <v>0</v>
      </c>
      <c r="O3066" t="n">
        <v>0</v>
      </c>
      <c r="P3066" t="n">
        <v>0</v>
      </c>
      <c r="Q3066" t="n">
        <v>0</v>
      </c>
      <c r="R3066" s="2" t="inlineStr"/>
    </row>
    <row r="3067" ht="15" customHeight="1">
      <c r="A3067" t="inlineStr">
        <is>
          <t>A 26920-2024</t>
        </is>
      </c>
      <c r="B3067" s="1" t="n">
        <v>45471</v>
      </c>
      <c r="C3067" s="1" t="n">
        <v>45807</v>
      </c>
      <c r="D3067" t="inlineStr">
        <is>
          <t>VÄSTERBOTTENS LÄN</t>
        </is>
      </c>
      <c r="E3067" t="inlineStr">
        <is>
          <t>SKELLEFTEÅ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26708-2024</t>
        </is>
      </c>
      <c r="B3068" s="1" t="n">
        <v>45470</v>
      </c>
      <c r="C3068" s="1" t="n">
        <v>45807</v>
      </c>
      <c r="D3068" t="inlineStr">
        <is>
          <t>VÄSTERBOTTENS LÄN</t>
        </is>
      </c>
      <c r="E3068" t="inlineStr">
        <is>
          <t>SKELLEFTEÅ</t>
        </is>
      </c>
      <c r="F3068" t="inlineStr">
        <is>
          <t>Sveaskog</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26831-2024</t>
        </is>
      </c>
      <c r="B3069" s="1" t="n">
        <v>45470</v>
      </c>
      <c r="C3069" s="1" t="n">
        <v>45807</v>
      </c>
      <c r="D3069" t="inlineStr">
        <is>
          <t>VÄSTERBOTTENS LÄN</t>
        </is>
      </c>
      <c r="E3069" t="inlineStr">
        <is>
          <t>SKELLEFTEÅ</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26929-2024</t>
        </is>
      </c>
      <c r="B3070" s="1" t="n">
        <v>45471</v>
      </c>
      <c r="C3070" s="1" t="n">
        <v>45807</v>
      </c>
      <c r="D3070" t="inlineStr">
        <is>
          <t>VÄSTERBOTTENS LÄN</t>
        </is>
      </c>
      <c r="E3070" t="inlineStr">
        <is>
          <t>SKELLEFTEÅ</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27190-2024</t>
        </is>
      </c>
      <c r="B3071" s="1" t="n">
        <v>45471</v>
      </c>
      <c r="C3071" s="1" t="n">
        <v>45807</v>
      </c>
      <c r="D3071" t="inlineStr">
        <is>
          <t>VÄSTERBOTTENS LÄN</t>
        </is>
      </c>
      <c r="E3071" t="inlineStr">
        <is>
          <t>SKELLEFTEÅ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27198-2024</t>
        </is>
      </c>
      <c r="B3072" s="1" t="n">
        <v>45471</v>
      </c>
      <c r="C3072" s="1" t="n">
        <v>45807</v>
      </c>
      <c r="D3072" t="inlineStr">
        <is>
          <t>VÄSTERBOTTENS LÄN</t>
        </is>
      </c>
      <c r="E3072" t="inlineStr">
        <is>
          <t>SKELLEFTEÅ</t>
        </is>
      </c>
      <c r="F3072" t="inlineStr">
        <is>
          <t>Holmen skog AB</t>
        </is>
      </c>
      <c r="G3072" t="n">
        <v>25.4</v>
      </c>
      <c r="H3072" t="n">
        <v>0</v>
      </c>
      <c r="I3072" t="n">
        <v>0</v>
      </c>
      <c r="J3072" t="n">
        <v>0</v>
      </c>
      <c r="K3072" t="n">
        <v>0</v>
      </c>
      <c r="L3072" t="n">
        <v>0</v>
      </c>
      <c r="M3072" t="n">
        <v>0</v>
      </c>
      <c r="N3072" t="n">
        <v>0</v>
      </c>
      <c r="O3072" t="n">
        <v>0</v>
      </c>
      <c r="P3072" t="n">
        <v>0</v>
      </c>
      <c r="Q3072" t="n">
        <v>0</v>
      </c>
      <c r="R3072" s="2" t="inlineStr"/>
    </row>
    <row r="3073" ht="15" customHeight="1">
      <c r="A3073" t="inlineStr">
        <is>
          <t>A 27083-2024</t>
        </is>
      </c>
      <c r="B3073" s="1" t="n">
        <v>45471</v>
      </c>
      <c r="C3073" s="1" t="n">
        <v>45807</v>
      </c>
      <c r="D3073" t="inlineStr">
        <is>
          <t>VÄSTERBOTTENS LÄN</t>
        </is>
      </c>
      <c r="E3073" t="inlineStr">
        <is>
          <t>SKELLEFTEÅ</t>
        </is>
      </c>
      <c r="F3073" t="inlineStr">
        <is>
          <t>Holmen skog AB</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27143-2024</t>
        </is>
      </c>
      <c r="B3074" s="1" t="n">
        <v>45471</v>
      </c>
      <c r="C3074" s="1" t="n">
        <v>45807</v>
      </c>
      <c r="D3074" t="inlineStr">
        <is>
          <t>VÄSTERBOTTENS LÄN</t>
        </is>
      </c>
      <c r="E3074" t="inlineStr">
        <is>
          <t>SKELLEFTEÅ</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27212-2024</t>
        </is>
      </c>
      <c r="B3075" s="1" t="n">
        <v>45471</v>
      </c>
      <c r="C3075" s="1" t="n">
        <v>45807</v>
      </c>
      <c r="D3075" t="inlineStr">
        <is>
          <t>VÄSTERBOTTENS LÄN</t>
        </is>
      </c>
      <c r="E3075" t="inlineStr">
        <is>
          <t>SKELLEFTEÅ</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27228-2024</t>
        </is>
      </c>
      <c r="B3076" s="1" t="n">
        <v>45471</v>
      </c>
      <c r="C3076" s="1" t="n">
        <v>45807</v>
      </c>
      <c r="D3076" t="inlineStr">
        <is>
          <t>VÄSTERBOTTENS LÄN</t>
        </is>
      </c>
      <c r="E3076" t="inlineStr">
        <is>
          <t>SKELLEFTEÅ</t>
        </is>
      </c>
      <c r="F3076" t="inlineStr">
        <is>
          <t>Holmen skog AB</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27246-2024</t>
        </is>
      </c>
      <c r="B3077" s="1" t="n">
        <v>45471</v>
      </c>
      <c r="C3077" s="1" t="n">
        <v>45807</v>
      </c>
      <c r="D3077" t="inlineStr">
        <is>
          <t>VÄSTERBOTTENS LÄN</t>
        </is>
      </c>
      <c r="E3077" t="inlineStr">
        <is>
          <t>SKELLEFTEÅ</t>
        </is>
      </c>
      <c r="F3077" t="inlineStr">
        <is>
          <t>Holmen skog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27268-2024</t>
        </is>
      </c>
      <c r="B3078" s="1" t="n">
        <v>45471</v>
      </c>
      <c r="C3078" s="1" t="n">
        <v>45807</v>
      </c>
      <c r="D3078" t="inlineStr">
        <is>
          <t>VÄSTERBOTTENS LÄN</t>
        </is>
      </c>
      <c r="E3078" t="inlineStr">
        <is>
          <t>SKELLEFTEÅ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27289-2024</t>
        </is>
      </c>
      <c r="B3079" s="1" t="n">
        <v>45472</v>
      </c>
      <c r="C3079" s="1" t="n">
        <v>45807</v>
      </c>
      <c r="D3079" t="inlineStr">
        <is>
          <t>VÄSTERBOTTENS LÄN</t>
        </is>
      </c>
      <c r="E3079" t="inlineStr">
        <is>
          <t>SKELLEFTEÅ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27253-2024</t>
        </is>
      </c>
      <c r="B3080" s="1" t="n">
        <v>45471</v>
      </c>
      <c r="C3080" s="1" t="n">
        <v>45807</v>
      </c>
      <c r="D3080" t="inlineStr">
        <is>
          <t>VÄSTERBOTTENS LÄN</t>
        </is>
      </c>
      <c r="E3080" t="inlineStr">
        <is>
          <t>SKELLEFTEÅ</t>
        </is>
      </c>
      <c r="F3080" t="inlineStr">
        <is>
          <t>Holmen skog AB</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27264-2024</t>
        </is>
      </c>
      <c r="B3081" s="1" t="n">
        <v>45471</v>
      </c>
      <c r="C3081" s="1" t="n">
        <v>45807</v>
      </c>
      <c r="D3081" t="inlineStr">
        <is>
          <t>VÄSTERBOTTENS LÄN</t>
        </is>
      </c>
      <c r="E3081" t="inlineStr">
        <is>
          <t>SKELLEFTEÅ</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27287-2024</t>
        </is>
      </c>
      <c r="B3082" s="1" t="n">
        <v>45472</v>
      </c>
      <c r="C3082" s="1" t="n">
        <v>45807</v>
      </c>
      <c r="D3082" t="inlineStr">
        <is>
          <t>VÄSTERBOTTENS LÄN</t>
        </is>
      </c>
      <c r="E3082" t="inlineStr">
        <is>
          <t>SKELLEFTEÅ</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27269-2024</t>
        </is>
      </c>
      <c r="B3083" s="1" t="n">
        <v>45471</v>
      </c>
      <c r="C3083" s="1" t="n">
        <v>45807</v>
      </c>
      <c r="D3083" t="inlineStr">
        <is>
          <t>VÄSTERBOTTENS LÄN</t>
        </is>
      </c>
      <c r="E3083" t="inlineStr">
        <is>
          <t>SKELLEFTEÅ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27286-2024</t>
        </is>
      </c>
      <c r="B3084" s="1" t="n">
        <v>45472</v>
      </c>
      <c r="C3084" s="1" t="n">
        <v>45807</v>
      </c>
      <c r="D3084" t="inlineStr">
        <is>
          <t>VÄSTERBOTTENS LÄN</t>
        </is>
      </c>
      <c r="E3084" t="inlineStr">
        <is>
          <t>SKELLEFTEÅ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27026-2024</t>
        </is>
      </c>
      <c r="B3085" s="1" t="n">
        <v>45471</v>
      </c>
      <c r="C3085" s="1" t="n">
        <v>45807</v>
      </c>
      <c r="D3085" t="inlineStr">
        <is>
          <t>VÄSTERBOTTENS LÄN</t>
        </is>
      </c>
      <c r="E3085" t="inlineStr">
        <is>
          <t>SKELLEFTEÅ</t>
        </is>
      </c>
      <c r="F3085" t="inlineStr">
        <is>
          <t>Holmen skog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26997-2024</t>
        </is>
      </c>
      <c r="B3086" s="1" t="n">
        <v>45471</v>
      </c>
      <c r="C3086" s="1" t="n">
        <v>45807</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27267-2024</t>
        </is>
      </c>
      <c r="B3087" s="1" t="n">
        <v>45471</v>
      </c>
      <c r="C3087" s="1" t="n">
        <v>45807</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27288-2024</t>
        </is>
      </c>
      <c r="B3088" s="1" t="n">
        <v>45472</v>
      </c>
      <c r="C3088" s="1" t="n">
        <v>45807</v>
      </c>
      <c r="D3088" t="inlineStr">
        <is>
          <t>VÄSTERBOTTENS LÄN</t>
        </is>
      </c>
      <c r="E3088" t="inlineStr">
        <is>
          <t>SKELLEFTEÅ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27332-2024</t>
        </is>
      </c>
      <c r="B3089" s="1" t="n">
        <v>45472</v>
      </c>
      <c r="C3089" s="1" t="n">
        <v>45807</v>
      </c>
      <c r="D3089" t="inlineStr">
        <is>
          <t>VÄSTERBOTTENS LÄN</t>
        </is>
      </c>
      <c r="E3089" t="inlineStr">
        <is>
          <t>SKELLEFTEÅ</t>
        </is>
      </c>
      <c r="F3089" t="inlineStr">
        <is>
          <t>Sveaskog</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27333-2024</t>
        </is>
      </c>
      <c r="B3090" s="1" t="n">
        <v>45472</v>
      </c>
      <c r="C3090" s="1" t="n">
        <v>45807</v>
      </c>
      <c r="D3090" t="inlineStr">
        <is>
          <t>VÄSTERBOTTENS LÄN</t>
        </is>
      </c>
      <c r="E3090" t="inlineStr">
        <is>
          <t>SKELLEFTEÅ</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27439-2024</t>
        </is>
      </c>
      <c r="B3091" s="1" t="n">
        <v>45474</v>
      </c>
      <c r="C3091" s="1" t="n">
        <v>45807</v>
      </c>
      <c r="D3091" t="inlineStr">
        <is>
          <t>VÄSTERBOTTENS LÄN</t>
        </is>
      </c>
      <c r="E3091" t="inlineStr">
        <is>
          <t>SKELLEFTEÅ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27627-2024</t>
        </is>
      </c>
      <c r="B3092" s="1" t="n">
        <v>45475</v>
      </c>
      <c r="C3092" s="1" t="n">
        <v>45807</v>
      </c>
      <c r="D3092" t="inlineStr">
        <is>
          <t>VÄSTERBOTTENS LÄN</t>
        </is>
      </c>
      <c r="E3092" t="inlineStr">
        <is>
          <t>SKELLEFTEÅ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27631-2024</t>
        </is>
      </c>
      <c r="B3093" s="1" t="n">
        <v>45475</v>
      </c>
      <c r="C3093" s="1" t="n">
        <v>45807</v>
      </c>
      <c r="D3093" t="inlineStr">
        <is>
          <t>VÄSTERBOTTENS LÄN</t>
        </is>
      </c>
      <c r="E3093" t="inlineStr">
        <is>
          <t>SKELLEFTEÅ</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27542-2024</t>
        </is>
      </c>
      <c r="B3094" s="1" t="n">
        <v>45474</v>
      </c>
      <c r="C3094" s="1" t="n">
        <v>45807</v>
      </c>
      <c r="D3094" t="inlineStr">
        <is>
          <t>VÄSTERBOTTENS LÄN</t>
        </is>
      </c>
      <c r="E3094" t="inlineStr">
        <is>
          <t>SKELLEFTEÅ</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27566-2024</t>
        </is>
      </c>
      <c r="B3095" s="1" t="n">
        <v>45474</v>
      </c>
      <c r="C3095" s="1" t="n">
        <v>45807</v>
      </c>
      <c r="D3095" t="inlineStr">
        <is>
          <t>VÄSTERBOTTENS LÄN</t>
        </is>
      </c>
      <c r="E3095" t="inlineStr">
        <is>
          <t>SKELLEFTEÅ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27628-2024</t>
        </is>
      </c>
      <c r="B3096" s="1" t="n">
        <v>45475</v>
      </c>
      <c r="C3096" s="1" t="n">
        <v>45807</v>
      </c>
      <c r="D3096" t="inlineStr">
        <is>
          <t>VÄSTERBOTTENS LÄN</t>
        </is>
      </c>
      <c r="E3096" t="inlineStr">
        <is>
          <t>SKELLEFTEÅ</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27896-2024</t>
        </is>
      </c>
      <c r="B3097" s="1" t="n">
        <v>45476</v>
      </c>
      <c r="C3097" s="1" t="n">
        <v>45807</v>
      </c>
      <c r="D3097" t="inlineStr">
        <is>
          <t>VÄSTERBOTTENS LÄN</t>
        </is>
      </c>
      <c r="E3097" t="inlineStr">
        <is>
          <t>SKELLEFTEÅ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27830-2024</t>
        </is>
      </c>
      <c r="B3098" s="1" t="n">
        <v>45475</v>
      </c>
      <c r="C3098" s="1" t="n">
        <v>45807</v>
      </c>
      <c r="D3098" t="inlineStr">
        <is>
          <t>VÄSTERBOTTENS LÄN</t>
        </is>
      </c>
      <c r="E3098" t="inlineStr">
        <is>
          <t>SKELLEFTEÅ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27864-2024</t>
        </is>
      </c>
      <c r="B3099" s="1" t="n">
        <v>45475</v>
      </c>
      <c r="C3099" s="1" t="n">
        <v>45807</v>
      </c>
      <c r="D3099" t="inlineStr">
        <is>
          <t>VÄSTERBOTTENS LÄN</t>
        </is>
      </c>
      <c r="E3099" t="inlineStr">
        <is>
          <t>SKELLEFTEÅ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27933-2024</t>
        </is>
      </c>
      <c r="B3100" s="1" t="n">
        <v>45476</v>
      </c>
      <c r="C3100" s="1" t="n">
        <v>45807</v>
      </c>
      <c r="D3100" t="inlineStr">
        <is>
          <t>VÄSTERBOTTENS LÄN</t>
        </is>
      </c>
      <c r="E3100" t="inlineStr">
        <is>
          <t>SKELLEFTEÅ</t>
        </is>
      </c>
      <c r="F3100" t="inlineStr">
        <is>
          <t>SCA</t>
        </is>
      </c>
      <c r="G3100" t="n">
        <v>28.7</v>
      </c>
      <c r="H3100" t="n">
        <v>0</v>
      </c>
      <c r="I3100" t="n">
        <v>0</v>
      </c>
      <c r="J3100" t="n">
        <v>0</v>
      </c>
      <c r="K3100" t="n">
        <v>0</v>
      </c>
      <c r="L3100" t="n">
        <v>0</v>
      </c>
      <c r="M3100" t="n">
        <v>0</v>
      </c>
      <c r="N3100" t="n">
        <v>0</v>
      </c>
      <c r="O3100" t="n">
        <v>0</v>
      </c>
      <c r="P3100" t="n">
        <v>0</v>
      </c>
      <c r="Q3100" t="n">
        <v>0</v>
      </c>
      <c r="R3100" s="2" t="inlineStr"/>
    </row>
    <row r="3101" ht="15" customHeight="1">
      <c r="A3101" t="inlineStr">
        <is>
          <t>A 27851-2024</t>
        </is>
      </c>
      <c r="B3101" s="1" t="n">
        <v>45475</v>
      </c>
      <c r="C3101" s="1" t="n">
        <v>45807</v>
      </c>
      <c r="D3101" t="inlineStr">
        <is>
          <t>VÄSTERBOTTENS LÄN</t>
        </is>
      </c>
      <c r="E3101" t="inlineStr">
        <is>
          <t>SKELLEFTEÅ</t>
        </is>
      </c>
      <c r="F3101" t="inlineStr">
        <is>
          <t>Sveaskog</t>
        </is>
      </c>
      <c r="G3101" t="n">
        <v>13.3</v>
      </c>
      <c r="H3101" t="n">
        <v>0</v>
      </c>
      <c r="I3101" t="n">
        <v>0</v>
      </c>
      <c r="J3101" t="n">
        <v>0</v>
      </c>
      <c r="K3101" t="n">
        <v>0</v>
      </c>
      <c r="L3101" t="n">
        <v>0</v>
      </c>
      <c r="M3101" t="n">
        <v>0</v>
      </c>
      <c r="N3101" t="n">
        <v>0</v>
      </c>
      <c r="O3101" t="n">
        <v>0</v>
      </c>
      <c r="P3101" t="n">
        <v>0</v>
      </c>
      <c r="Q3101" t="n">
        <v>0</v>
      </c>
      <c r="R3101" s="2" t="inlineStr"/>
    </row>
    <row r="3102" ht="15" customHeight="1">
      <c r="A3102" t="inlineStr">
        <is>
          <t>A 27863-2024</t>
        </is>
      </c>
      <c r="B3102" s="1" t="n">
        <v>45475</v>
      </c>
      <c r="C3102" s="1" t="n">
        <v>45807</v>
      </c>
      <c r="D3102" t="inlineStr">
        <is>
          <t>VÄSTERBOTTENS LÄN</t>
        </is>
      </c>
      <c r="E3102" t="inlineStr">
        <is>
          <t>SKELLEFTEÅ</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28054-2024</t>
        </is>
      </c>
      <c r="B3103" s="1" t="n">
        <v>45476</v>
      </c>
      <c r="C3103" s="1" t="n">
        <v>45807</v>
      </c>
      <c r="D3103" t="inlineStr">
        <is>
          <t>VÄSTERBOTTENS LÄN</t>
        </is>
      </c>
      <c r="E3103" t="inlineStr">
        <is>
          <t>SKELLEFTEÅ</t>
        </is>
      </c>
      <c r="G3103" t="n">
        <v>11.6</v>
      </c>
      <c r="H3103" t="n">
        <v>0</v>
      </c>
      <c r="I3103" t="n">
        <v>0</v>
      </c>
      <c r="J3103" t="n">
        <v>0</v>
      </c>
      <c r="K3103" t="n">
        <v>0</v>
      </c>
      <c r="L3103" t="n">
        <v>0</v>
      </c>
      <c r="M3103" t="n">
        <v>0</v>
      </c>
      <c r="N3103" t="n">
        <v>0</v>
      </c>
      <c r="O3103" t="n">
        <v>0</v>
      </c>
      <c r="P3103" t="n">
        <v>0</v>
      </c>
      <c r="Q3103" t="n">
        <v>0</v>
      </c>
      <c r="R3103" s="2" t="inlineStr"/>
    </row>
    <row r="3104" ht="15" customHeight="1">
      <c r="A3104" t="inlineStr">
        <is>
          <t>A 27990-2024</t>
        </is>
      </c>
      <c r="B3104" s="1" t="n">
        <v>45476</v>
      </c>
      <c r="C3104" s="1" t="n">
        <v>45807</v>
      </c>
      <c r="D3104" t="inlineStr">
        <is>
          <t>VÄSTERBOTTENS LÄN</t>
        </is>
      </c>
      <c r="E3104" t="inlineStr">
        <is>
          <t>SKELLEFTEÅ</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28057-2024</t>
        </is>
      </c>
      <c r="B3105" s="1" t="n">
        <v>45476</v>
      </c>
      <c r="C3105" s="1" t="n">
        <v>45807</v>
      </c>
      <c r="D3105" t="inlineStr">
        <is>
          <t>VÄSTERBOTTENS LÄN</t>
        </is>
      </c>
      <c r="E3105" t="inlineStr">
        <is>
          <t>SKELLEFTEÅ</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27980-2024</t>
        </is>
      </c>
      <c r="B3106" s="1" t="n">
        <v>45476</v>
      </c>
      <c r="C3106" s="1" t="n">
        <v>45807</v>
      </c>
      <c r="D3106" t="inlineStr">
        <is>
          <t>VÄSTERBOTTENS LÄN</t>
        </is>
      </c>
      <c r="E3106" t="inlineStr">
        <is>
          <t>SKELLEFTEÅ</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28353-2024</t>
        </is>
      </c>
      <c r="B3107" s="1" t="n">
        <v>45477</v>
      </c>
      <c r="C3107" s="1" t="n">
        <v>45807</v>
      </c>
      <c r="D3107" t="inlineStr">
        <is>
          <t>VÄSTERBOTTENS LÄN</t>
        </is>
      </c>
      <c r="E3107" t="inlineStr">
        <is>
          <t>SKELLEFTEÅ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28493-2024</t>
        </is>
      </c>
      <c r="B3108" s="1" t="n">
        <v>45477</v>
      </c>
      <c r="C3108" s="1" t="n">
        <v>45807</v>
      </c>
      <c r="D3108" t="inlineStr">
        <is>
          <t>VÄSTERBOTTENS LÄN</t>
        </is>
      </c>
      <c r="E3108" t="inlineStr">
        <is>
          <t>SKELLEFTEÅ</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28283-2024</t>
        </is>
      </c>
      <c r="B3109" s="1" t="n">
        <v>45477</v>
      </c>
      <c r="C3109" s="1" t="n">
        <v>45807</v>
      </c>
      <c r="D3109" t="inlineStr">
        <is>
          <t>VÄSTERBOTTENS LÄN</t>
        </is>
      </c>
      <c r="E3109" t="inlineStr">
        <is>
          <t>SKELLEFTEÅ</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28435-2024</t>
        </is>
      </c>
      <c r="B3110" s="1" t="n">
        <v>45477</v>
      </c>
      <c r="C3110" s="1" t="n">
        <v>45807</v>
      </c>
      <c r="D3110" t="inlineStr">
        <is>
          <t>VÄSTERBOTTENS LÄN</t>
        </is>
      </c>
      <c r="E3110" t="inlineStr">
        <is>
          <t>SKELLEFTEÅ</t>
        </is>
      </c>
      <c r="F3110" t="inlineStr">
        <is>
          <t>Holmen skog AB</t>
        </is>
      </c>
      <c r="G3110" t="n">
        <v>11.1</v>
      </c>
      <c r="H3110" t="n">
        <v>0</v>
      </c>
      <c r="I3110" t="n">
        <v>0</v>
      </c>
      <c r="J3110" t="n">
        <v>0</v>
      </c>
      <c r="K3110" t="n">
        <v>0</v>
      </c>
      <c r="L3110" t="n">
        <v>0</v>
      </c>
      <c r="M3110" t="n">
        <v>0</v>
      </c>
      <c r="N3110" t="n">
        <v>0</v>
      </c>
      <c r="O3110" t="n">
        <v>0</v>
      </c>
      <c r="P3110" t="n">
        <v>0</v>
      </c>
      <c r="Q3110" t="n">
        <v>0</v>
      </c>
      <c r="R3110" s="2" t="inlineStr"/>
    </row>
    <row r="3111" ht="15" customHeight="1">
      <c r="A3111" t="inlineStr">
        <is>
          <t>A 28273-2024</t>
        </is>
      </c>
      <c r="B3111" s="1" t="n">
        <v>45477</v>
      </c>
      <c r="C3111" s="1" t="n">
        <v>45807</v>
      </c>
      <c r="D3111" t="inlineStr">
        <is>
          <t>VÄSTERBOTTENS LÄN</t>
        </is>
      </c>
      <c r="E3111" t="inlineStr">
        <is>
          <t>SKELLEFTEÅ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28356-2024</t>
        </is>
      </c>
      <c r="B3112" s="1" t="n">
        <v>45477</v>
      </c>
      <c r="C3112" s="1" t="n">
        <v>45807</v>
      </c>
      <c r="D3112" t="inlineStr">
        <is>
          <t>VÄSTERBOTTENS LÄN</t>
        </is>
      </c>
      <c r="E3112" t="inlineStr">
        <is>
          <t>SKELLEFTEÅ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28308-2024</t>
        </is>
      </c>
      <c r="B3113" s="1" t="n">
        <v>45477</v>
      </c>
      <c r="C3113" s="1" t="n">
        <v>45807</v>
      </c>
      <c r="D3113" t="inlineStr">
        <is>
          <t>VÄSTERBOTTENS LÄN</t>
        </is>
      </c>
      <c r="E3113" t="inlineStr">
        <is>
          <t>SKELLEFTEÅ</t>
        </is>
      </c>
      <c r="F3113" t="inlineStr">
        <is>
          <t>Holmen skog AB</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28630-2024</t>
        </is>
      </c>
      <c r="B3114" s="1" t="n">
        <v>45478</v>
      </c>
      <c r="C3114" s="1" t="n">
        <v>45807</v>
      </c>
      <c r="D3114" t="inlineStr">
        <is>
          <t>VÄSTERBOTTENS LÄN</t>
        </is>
      </c>
      <c r="E3114" t="inlineStr">
        <is>
          <t>SKELLEFTEÅ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29125-2024</t>
        </is>
      </c>
      <c r="B3115" s="1" t="n">
        <v>45481</v>
      </c>
      <c r="C3115" s="1" t="n">
        <v>45807</v>
      </c>
      <c r="D3115" t="inlineStr">
        <is>
          <t>VÄSTERBOTTENS LÄN</t>
        </is>
      </c>
      <c r="E3115" t="inlineStr">
        <is>
          <t>SKELLEFTEÅ</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29124-2024</t>
        </is>
      </c>
      <c r="B3116" s="1" t="n">
        <v>45481</v>
      </c>
      <c r="C3116" s="1" t="n">
        <v>45807</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29154-2024</t>
        </is>
      </c>
      <c r="B3117" s="1" t="n">
        <v>45482</v>
      </c>
      <c r="C3117" s="1" t="n">
        <v>45807</v>
      </c>
      <c r="D3117" t="inlineStr">
        <is>
          <t>VÄSTERBOTTENS LÄN</t>
        </is>
      </c>
      <c r="E3117" t="inlineStr">
        <is>
          <t>SKELLEFTEÅ</t>
        </is>
      </c>
      <c r="F3117" t="inlineStr">
        <is>
          <t>Holmen skog AB</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29201-2024</t>
        </is>
      </c>
      <c r="B3118" s="1" t="n">
        <v>45482</v>
      </c>
      <c r="C3118" s="1" t="n">
        <v>45807</v>
      </c>
      <c r="D3118" t="inlineStr">
        <is>
          <t>VÄSTERBOTTENS LÄN</t>
        </is>
      </c>
      <c r="E3118" t="inlineStr">
        <is>
          <t>SKELLEFTEÅ</t>
        </is>
      </c>
      <c r="F3118" t="inlineStr">
        <is>
          <t>Holmen skog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29160-2024</t>
        </is>
      </c>
      <c r="B3119" s="1" t="n">
        <v>45482</v>
      </c>
      <c r="C3119" s="1" t="n">
        <v>45807</v>
      </c>
      <c r="D3119" t="inlineStr">
        <is>
          <t>VÄSTERBOTTENS LÄN</t>
        </is>
      </c>
      <c r="E3119" t="inlineStr">
        <is>
          <t>SKELLEFTEÅ</t>
        </is>
      </c>
      <c r="F3119" t="inlineStr">
        <is>
          <t>Holmen skog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29167-2024</t>
        </is>
      </c>
      <c r="B3120" s="1" t="n">
        <v>45482</v>
      </c>
      <c r="C3120" s="1" t="n">
        <v>45807</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29326-2024</t>
        </is>
      </c>
      <c r="B3121" s="1" t="n">
        <v>45483</v>
      </c>
      <c r="C3121" s="1" t="n">
        <v>45807</v>
      </c>
      <c r="D3121" t="inlineStr">
        <is>
          <t>VÄSTERBOTTENS LÄN</t>
        </is>
      </c>
      <c r="E3121" t="inlineStr">
        <is>
          <t>SKELLEFTEÅ</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29323-2024</t>
        </is>
      </c>
      <c r="B3122" s="1" t="n">
        <v>45483</v>
      </c>
      <c r="C3122" s="1" t="n">
        <v>45807</v>
      </c>
      <c r="D3122" t="inlineStr">
        <is>
          <t>VÄSTERBOTTENS LÄN</t>
        </is>
      </c>
      <c r="E3122" t="inlineStr">
        <is>
          <t>SKELLEFTEÅ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29321-2024</t>
        </is>
      </c>
      <c r="B3123" s="1" t="n">
        <v>45483</v>
      </c>
      <c r="C3123" s="1" t="n">
        <v>45807</v>
      </c>
      <c r="D3123" t="inlineStr">
        <is>
          <t>VÄSTERBOTTENS LÄN</t>
        </is>
      </c>
      <c r="E3123" t="inlineStr">
        <is>
          <t>SKELLEFTEÅ</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29579-2024</t>
        </is>
      </c>
      <c r="B3124" s="1" t="n">
        <v>45484</v>
      </c>
      <c r="C3124" s="1" t="n">
        <v>45807</v>
      </c>
      <c r="D3124" t="inlineStr">
        <is>
          <t>VÄSTERBOTTENS LÄN</t>
        </is>
      </c>
      <c r="E3124" t="inlineStr">
        <is>
          <t>SKELLEFTEÅ</t>
        </is>
      </c>
      <c r="F3124" t="inlineStr">
        <is>
          <t>Holmen skog AB</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29654-2024</t>
        </is>
      </c>
      <c r="B3125" s="1" t="n">
        <v>45485</v>
      </c>
      <c r="C3125" s="1" t="n">
        <v>45807</v>
      </c>
      <c r="D3125" t="inlineStr">
        <is>
          <t>VÄSTERBOTTENS LÄN</t>
        </is>
      </c>
      <c r="E3125" t="inlineStr">
        <is>
          <t>SKELLEFTEÅ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30012-2024</t>
        </is>
      </c>
      <c r="B3126" s="1" t="n">
        <v>45488</v>
      </c>
      <c r="C3126" s="1" t="n">
        <v>45807</v>
      </c>
      <c r="D3126" t="inlineStr">
        <is>
          <t>VÄSTERBOTTENS LÄN</t>
        </is>
      </c>
      <c r="E3126" t="inlineStr">
        <is>
          <t>SKELLEFTEÅ</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30014-2024</t>
        </is>
      </c>
      <c r="B3127" s="1" t="n">
        <v>45488</v>
      </c>
      <c r="C3127" s="1" t="n">
        <v>45807</v>
      </c>
      <c r="D3127" t="inlineStr">
        <is>
          <t>VÄSTERBOTTENS LÄN</t>
        </is>
      </c>
      <c r="E3127" t="inlineStr">
        <is>
          <t>SKELLEFTEÅ</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30395-2024</t>
        </is>
      </c>
      <c r="B3128" s="1" t="n">
        <v>45491</v>
      </c>
      <c r="C3128" s="1" t="n">
        <v>45807</v>
      </c>
      <c r="D3128" t="inlineStr">
        <is>
          <t>VÄSTERBOTTENS LÄN</t>
        </is>
      </c>
      <c r="E3128" t="inlineStr">
        <is>
          <t>SKELLEFTEÅ</t>
        </is>
      </c>
      <c r="F3128" t="inlineStr">
        <is>
          <t>Holmen skog AB</t>
        </is>
      </c>
      <c r="G3128" t="n">
        <v>15.8</v>
      </c>
      <c r="H3128" t="n">
        <v>0</v>
      </c>
      <c r="I3128" t="n">
        <v>0</v>
      </c>
      <c r="J3128" t="n">
        <v>0</v>
      </c>
      <c r="K3128" t="n">
        <v>0</v>
      </c>
      <c r="L3128" t="n">
        <v>0</v>
      </c>
      <c r="M3128" t="n">
        <v>0</v>
      </c>
      <c r="N3128" t="n">
        <v>0</v>
      </c>
      <c r="O3128" t="n">
        <v>0</v>
      </c>
      <c r="P3128" t="n">
        <v>0</v>
      </c>
      <c r="Q3128" t="n">
        <v>0</v>
      </c>
      <c r="R3128" s="2" t="inlineStr"/>
    </row>
    <row r="3129" ht="15" customHeight="1">
      <c r="A3129" t="inlineStr">
        <is>
          <t>A 30508-2024</t>
        </is>
      </c>
      <c r="B3129" s="1" t="n">
        <v>45492</v>
      </c>
      <c r="C3129" s="1" t="n">
        <v>45807</v>
      </c>
      <c r="D3129" t="inlineStr">
        <is>
          <t>VÄSTERBOTTENS LÄN</t>
        </is>
      </c>
      <c r="E3129" t="inlineStr">
        <is>
          <t>SKELLEFTEÅ</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30650-2024</t>
        </is>
      </c>
      <c r="B3130" s="1" t="n">
        <v>45495</v>
      </c>
      <c r="C3130" s="1" t="n">
        <v>45807</v>
      </c>
      <c r="D3130" t="inlineStr">
        <is>
          <t>VÄSTERBOTTENS LÄN</t>
        </is>
      </c>
      <c r="E3130" t="inlineStr">
        <is>
          <t>SKELLEFTEÅ</t>
        </is>
      </c>
      <c r="F3130" t="inlineStr">
        <is>
          <t>Holmen skog AB</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30900-2024</t>
        </is>
      </c>
      <c r="B3131" s="1" t="n">
        <v>45498</v>
      </c>
      <c r="C3131" s="1" t="n">
        <v>45807</v>
      </c>
      <c r="D3131" t="inlineStr">
        <is>
          <t>VÄSTERBOTTENS LÄN</t>
        </is>
      </c>
      <c r="E3131" t="inlineStr">
        <is>
          <t>SKELLEFTEÅ</t>
        </is>
      </c>
      <c r="G3131" t="n">
        <v>17.5</v>
      </c>
      <c r="H3131" t="n">
        <v>0</v>
      </c>
      <c r="I3131" t="n">
        <v>0</v>
      </c>
      <c r="J3131" t="n">
        <v>0</v>
      </c>
      <c r="K3131" t="n">
        <v>0</v>
      </c>
      <c r="L3131" t="n">
        <v>0</v>
      </c>
      <c r="M3131" t="n">
        <v>0</v>
      </c>
      <c r="N3131" t="n">
        <v>0</v>
      </c>
      <c r="O3131" t="n">
        <v>0</v>
      </c>
      <c r="P3131" t="n">
        <v>0</v>
      </c>
      <c r="Q3131" t="n">
        <v>0</v>
      </c>
      <c r="R3131" s="2" t="inlineStr"/>
    </row>
    <row r="3132" ht="15" customHeight="1">
      <c r="A3132" t="inlineStr">
        <is>
          <t>A 30904-2024</t>
        </is>
      </c>
      <c r="B3132" s="1" t="n">
        <v>45498</v>
      </c>
      <c r="C3132" s="1" t="n">
        <v>45807</v>
      </c>
      <c r="D3132" t="inlineStr">
        <is>
          <t>VÄSTERBOTTENS LÄN</t>
        </is>
      </c>
      <c r="E3132" t="inlineStr">
        <is>
          <t>SKELLEFTEÅ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30901-2024</t>
        </is>
      </c>
      <c r="B3133" s="1" t="n">
        <v>45498</v>
      </c>
      <c r="C3133" s="1" t="n">
        <v>45807</v>
      </c>
      <c r="D3133" t="inlineStr">
        <is>
          <t>VÄSTERBOTTENS LÄN</t>
        </is>
      </c>
      <c r="E3133" t="inlineStr">
        <is>
          <t>SKELLEFTEÅ</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30897-2024</t>
        </is>
      </c>
      <c r="B3134" s="1" t="n">
        <v>45498</v>
      </c>
      <c r="C3134" s="1" t="n">
        <v>45807</v>
      </c>
      <c r="D3134" t="inlineStr">
        <is>
          <t>VÄSTERBOTTENS LÄN</t>
        </is>
      </c>
      <c r="E3134" t="inlineStr">
        <is>
          <t>SKELLEFTEÅ</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30986-2024</t>
        </is>
      </c>
      <c r="B3135" s="1" t="n">
        <v>45499</v>
      </c>
      <c r="C3135" s="1" t="n">
        <v>45807</v>
      </c>
      <c r="D3135" t="inlineStr">
        <is>
          <t>VÄSTERBOTTENS LÄN</t>
        </is>
      </c>
      <c r="E3135" t="inlineStr">
        <is>
          <t>SKELLEFTEÅ</t>
        </is>
      </c>
      <c r="F3135" t="inlineStr">
        <is>
          <t>Sveaskog</t>
        </is>
      </c>
      <c r="G3135" t="n">
        <v>13.9</v>
      </c>
      <c r="H3135" t="n">
        <v>0</v>
      </c>
      <c r="I3135" t="n">
        <v>0</v>
      </c>
      <c r="J3135" t="n">
        <v>0</v>
      </c>
      <c r="K3135" t="n">
        <v>0</v>
      </c>
      <c r="L3135" t="n">
        <v>0</v>
      </c>
      <c r="M3135" t="n">
        <v>0</v>
      </c>
      <c r="N3135" t="n">
        <v>0</v>
      </c>
      <c r="O3135" t="n">
        <v>0</v>
      </c>
      <c r="P3135" t="n">
        <v>0</v>
      </c>
      <c r="Q3135" t="n">
        <v>0</v>
      </c>
      <c r="R3135" s="2" t="inlineStr"/>
    </row>
    <row r="3136" ht="15" customHeight="1">
      <c r="A3136" t="inlineStr">
        <is>
          <t>A 31103-2024</t>
        </is>
      </c>
      <c r="B3136" s="1" t="n">
        <v>45502</v>
      </c>
      <c r="C3136" s="1" t="n">
        <v>45807</v>
      </c>
      <c r="D3136" t="inlineStr">
        <is>
          <t>VÄSTERBOTTENS LÄN</t>
        </is>
      </c>
      <c r="E3136" t="inlineStr">
        <is>
          <t>SKELLEFTEÅ</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31179-2024</t>
        </is>
      </c>
      <c r="B3137" s="1" t="n">
        <v>45503</v>
      </c>
      <c r="C3137" s="1" t="n">
        <v>45807</v>
      </c>
      <c r="D3137" t="inlineStr">
        <is>
          <t>VÄSTERBOTTENS LÄN</t>
        </is>
      </c>
      <c r="E3137" t="inlineStr">
        <is>
          <t>SKELLEFTEÅ</t>
        </is>
      </c>
      <c r="F3137" t="inlineStr">
        <is>
          <t>Holmen skog AB</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31197-2024</t>
        </is>
      </c>
      <c r="B3138" s="1" t="n">
        <v>45503</v>
      </c>
      <c r="C3138" s="1" t="n">
        <v>45807</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31167-2024</t>
        </is>
      </c>
      <c r="B3139" s="1" t="n">
        <v>45503</v>
      </c>
      <c r="C3139" s="1" t="n">
        <v>45807</v>
      </c>
      <c r="D3139" t="inlineStr">
        <is>
          <t>VÄSTERBOTTENS LÄN</t>
        </is>
      </c>
      <c r="E3139" t="inlineStr">
        <is>
          <t>SKELLEFTEÅ</t>
        </is>
      </c>
      <c r="F3139" t="inlineStr">
        <is>
          <t>Holmen skog AB</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31392-2024</t>
        </is>
      </c>
      <c r="B3140" s="1" t="n">
        <v>45505</v>
      </c>
      <c r="C3140" s="1" t="n">
        <v>45807</v>
      </c>
      <c r="D3140" t="inlineStr">
        <is>
          <t>VÄSTERBOTTENS LÄN</t>
        </is>
      </c>
      <c r="E3140" t="inlineStr">
        <is>
          <t>SKELLEFTEÅ</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31384-2024</t>
        </is>
      </c>
      <c r="B3141" s="1" t="n">
        <v>45505</v>
      </c>
      <c r="C3141" s="1" t="n">
        <v>45807</v>
      </c>
      <c r="D3141" t="inlineStr">
        <is>
          <t>VÄSTERBOTTENS LÄN</t>
        </is>
      </c>
      <c r="E3141" t="inlineStr">
        <is>
          <t>SKELLEFTEÅ</t>
        </is>
      </c>
      <c r="G3141" t="n">
        <v>19.9</v>
      </c>
      <c r="H3141" t="n">
        <v>0</v>
      </c>
      <c r="I3141" t="n">
        <v>0</v>
      </c>
      <c r="J3141" t="n">
        <v>0</v>
      </c>
      <c r="K3141" t="n">
        <v>0</v>
      </c>
      <c r="L3141" t="n">
        <v>0</v>
      </c>
      <c r="M3141" t="n">
        <v>0</v>
      </c>
      <c r="N3141" t="n">
        <v>0</v>
      </c>
      <c r="O3141" t="n">
        <v>0</v>
      </c>
      <c r="P3141" t="n">
        <v>0</v>
      </c>
      <c r="Q3141" t="n">
        <v>0</v>
      </c>
      <c r="R3141" s="2" t="inlineStr"/>
    </row>
    <row r="3142" ht="15" customHeight="1">
      <c r="A3142" t="inlineStr">
        <is>
          <t>A 31689-2024</t>
        </is>
      </c>
      <c r="B3142" s="1" t="n">
        <v>45507</v>
      </c>
      <c r="C3142" s="1" t="n">
        <v>45807</v>
      </c>
      <c r="D3142" t="inlineStr">
        <is>
          <t>VÄSTERBOTTENS LÄN</t>
        </is>
      </c>
      <c r="E3142" t="inlineStr">
        <is>
          <t>SKELLEFTEÅ</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31809-2024</t>
        </is>
      </c>
      <c r="B3143" s="1" t="n">
        <v>45509</v>
      </c>
      <c r="C3143" s="1" t="n">
        <v>45807</v>
      </c>
      <c r="D3143" t="inlineStr">
        <is>
          <t>VÄSTERBOTTENS LÄN</t>
        </is>
      </c>
      <c r="E3143" t="inlineStr">
        <is>
          <t>SKELLEFTEÅ</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31872-2024</t>
        </is>
      </c>
      <c r="B3144" s="1" t="n">
        <v>45510</v>
      </c>
      <c r="C3144" s="1" t="n">
        <v>45807</v>
      </c>
      <c r="D3144" t="inlineStr">
        <is>
          <t>VÄSTERBOTTENS LÄN</t>
        </is>
      </c>
      <c r="E3144" t="inlineStr">
        <is>
          <t>SKELLEFTEÅ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31871-2024</t>
        </is>
      </c>
      <c r="B3145" s="1" t="n">
        <v>45510</v>
      </c>
      <c r="C3145" s="1" t="n">
        <v>45807</v>
      </c>
      <c r="D3145" t="inlineStr">
        <is>
          <t>VÄSTERBOTTENS LÄN</t>
        </is>
      </c>
      <c r="E3145" t="inlineStr">
        <is>
          <t>SKELLEFTEÅ</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31874-2024</t>
        </is>
      </c>
      <c r="B3146" s="1" t="n">
        <v>45509</v>
      </c>
      <c r="C3146" s="1" t="n">
        <v>45807</v>
      </c>
      <c r="D3146" t="inlineStr">
        <is>
          <t>VÄSTERBOTTENS LÄN</t>
        </is>
      </c>
      <c r="E3146" t="inlineStr">
        <is>
          <t>SKELLEFTEÅ</t>
        </is>
      </c>
      <c r="G3146" t="n">
        <v>137.5</v>
      </c>
      <c r="H3146" t="n">
        <v>0</v>
      </c>
      <c r="I3146" t="n">
        <v>0</v>
      </c>
      <c r="J3146" t="n">
        <v>0</v>
      </c>
      <c r="K3146" t="n">
        <v>0</v>
      </c>
      <c r="L3146" t="n">
        <v>0</v>
      </c>
      <c r="M3146" t="n">
        <v>0</v>
      </c>
      <c r="N3146" t="n">
        <v>0</v>
      </c>
      <c r="O3146" t="n">
        <v>0</v>
      </c>
      <c r="P3146" t="n">
        <v>0</v>
      </c>
      <c r="Q3146" t="n">
        <v>0</v>
      </c>
      <c r="R3146" s="2" t="inlineStr"/>
    </row>
    <row r="3147" ht="15" customHeight="1">
      <c r="A3147" t="inlineStr">
        <is>
          <t>A 31975-2024</t>
        </is>
      </c>
      <c r="B3147" s="1" t="n">
        <v>45510</v>
      </c>
      <c r="C3147" s="1" t="n">
        <v>45807</v>
      </c>
      <c r="D3147" t="inlineStr">
        <is>
          <t>VÄSTERBOTTENS LÄN</t>
        </is>
      </c>
      <c r="E3147" t="inlineStr">
        <is>
          <t>SKELLEFTEÅ</t>
        </is>
      </c>
      <c r="F3147" t="inlineStr">
        <is>
          <t>Holmen skog AB</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31966-2024</t>
        </is>
      </c>
      <c r="B3148" s="1" t="n">
        <v>45510</v>
      </c>
      <c r="C3148" s="1" t="n">
        <v>45807</v>
      </c>
      <c r="D3148" t="inlineStr">
        <is>
          <t>VÄSTERBOTTENS LÄN</t>
        </is>
      </c>
      <c r="E3148" t="inlineStr">
        <is>
          <t>SKELLEFTEÅ</t>
        </is>
      </c>
      <c r="F3148" t="inlineStr">
        <is>
          <t>Holmen skog AB</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32217-2024</t>
        </is>
      </c>
      <c r="B3149" s="1" t="n">
        <v>45512</v>
      </c>
      <c r="C3149" s="1" t="n">
        <v>45807</v>
      </c>
      <c r="D3149" t="inlineStr">
        <is>
          <t>VÄSTERBOTTENS LÄN</t>
        </is>
      </c>
      <c r="E3149" t="inlineStr">
        <is>
          <t>SKELLEFTEÅ</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32298-2024</t>
        </is>
      </c>
      <c r="B3150" s="1" t="n">
        <v>45512</v>
      </c>
      <c r="C3150" s="1" t="n">
        <v>45807</v>
      </c>
      <c r="D3150" t="inlineStr">
        <is>
          <t>VÄSTERBOTTENS LÄN</t>
        </is>
      </c>
      <c r="E3150" t="inlineStr">
        <is>
          <t>SKELLEFTEÅ</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32499-2024</t>
        </is>
      </c>
      <c r="B3151" s="1" t="n">
        <v>45513</v>
      </c>
      <c r="C3151" s="1" t="n">
        <v>45807</v>
      </c>
      <c r="D3151" t="inlineStr">
        <is>
          <t>VÄSTERBOTTENS LÄN</t>
        </is>
      </c>
      <c r="E3151" t="inlineStr">
        <is>
          <t>SKELLEFTEÅ</t>
        </is>
      </c>
      <c r="F3151" t="inlineStr">
        <is>
          <t>Holmen skog AB</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32593-2024</t>
        </is>
      </c>
      <c r="B3152" s="1" t="n">
        <v>45513</v>
      </c>
      <c r="C3152" s="1" t="n">
        <v>45807</v>
      </c>
      <c r="D3152" t="inlineStr">
        <is>
          <t>VÄSTERBOTTENS LÄN</t>
        </is>
      </c>
      <c r="E3152" t="inlineStr">
        <is>
          <t>SKELLEFTEÅ</t>
        </is>
      </c>
      <c r="F3152" t="inlineStr">
        <is>
          <t>Holmen skog AB</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32914-2024</t>
        </is>
      </c>
      <c r="B3153" s="1" t="n">
        <v>45517</v>
      </c>
      <c r="C3153" s="1" t="n">
        <v>45807</v>
      </c>
      <c r="D3153" t="inlineStr">
        <is>
          <t>VÄSTERBOTTENS LÄN</t>
        </is>
      </c>
      <c r="E3153" t="inlineStr">
        <is>
          <t>SKELLEFTEÅ</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32918-2024</t>
        </is>
      </c>
      <c r="B3154" s="1" t="n">
        <v>45517</v>
      </c>
      <c r="C3154" s="1" t="n">
        <v>45807</v>
      </c>
      <c r="D3154" t="inlineStr">
        <is>
          <t>VÄSTERBOTTENS LÄN</t>
        </is>
      </c>
      <c r="E3154" t="inlineStr">
        <is>
          <t>SKELLEFTEÅ</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32917-2024</t>
        </is>
      </c>
      <c r="B3155" s="1" t="n">
        <v>45517</v>
      </c>
      <c r="C3155" s="1" t="n">
        <v>45807</v>
      </c>
      <c r="D3155" t="inlineStr">
        <is>
          <t>VÄSTERBOTTENS LÄN</t>
        </is>
      </c>
      <c r="E3155" t="inlineStr">
        <is>
          <t>SKELLEFTEÅ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32916-2024</t>
        </is>
      </c>
      <c r="B3156" s="1" t="n">
        <v>45517</v>
      </c>
      <c r="C3156" s="1" t="n">
        <v>45807</v>
      </c>
      <c r="D3156" t="inlineStr">
        <is>
          <t>VÄSTERBOTTENS LÄN</t>
        </is>
      </c>
      <c r="E3156" t="inlineStr">
        <is>
          <t>SKELLEFTEÅ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32709-2024</t>
        </is>
      </c>
      <c r="B3157" s="1" t="n">
        <v>45516</v>
      </c>
      <c r="C3157" s="1" t="n">
        <v>45807</v>
      </c>
      <c r="D3157" t="inlineStr">
        <is>
          <t>VÄSTERBOTTENS LÄN</t>
        </is>
      </c>
      <c r="E3157" t="inlineStr">
        <is>
          <t>SKELLEFTEÅ</t>
        </is>
      </c>
      <c r="F3157" t="inlineStr">
        <is>
          <t>Holmen skog AB</t>
        </is>
      </c>
      <c r="G3157" t="n">
        <v>8.9</v>
      </c>
      <c r="H3157" t="n">
        <v>0</v>
      </c>
      <c r="I3157" t="n">
        <v>0</v>
      </c>
      <c r="J3157" t="n">
        <v>0</v>
      </c>
      <c r="K3157" t="n">
        <v>0</v>
      </c>
      <c r="L3157" t="n">
        <v>0</v>
      </c>
      <c r="M3157" t="n">
        <v>0</v>
      </c>
      <c r="N3157" t="n">
        <v>0</v>
      </c>
      <c r="O3157" t="n">
        <v>0</v>
      </c>
      <c r="P3157" t="n">
        <v>0</v>
      </c>
      <c r="Q3157" t="n">
        <v>0</v>
      </c>
      <c r="R3157" s="2" t="inlineStr"/>
    </row>
    <row r="3158" ht="15" customHeight="1">
      <c r="A3158" t="inlineStr">
        <is>
          <t>A 32919-2024</t>
        </is>
      </c>
      <c r="B3158" s="1" t="n">
        <v>45517</v>
      </c>
      <c r="C3158" s="1" t="n">
        <v>45807</v>
      </c>
      <c r="D3158" t="inlineStr">
        <is>
          <t>VÄSTERBOTTENS LÄN</t>
        </is>
      </c>
      <c r="E3158" t="inlineStr">
        <is>
          <t>SKELLEFTEÅ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33109-2024</t>
        </is>
      </c>
      <c r="B3159" s="1" t="n">
        <v>45517</v>
      </c>
      <c r="C3159" s="1" t="n">
        <v>45807</v>
      </c>
      <c r="D3159" t="inlineStr">
        <is>
          <t>VÄSTERBOTTENS LÄN</t>
        </is>
      </c>
      <c r="E3159" t="inlineStr">
        <is>
          <t>SKELLEFTEÅ</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33204-2024</t>
        </is>
      </c>
      <c r="B3160" s="1" t="n">
        <v>45518</v>
      </c>
      <c r="C3160" s="1" t="n">
        <v>45807</v>
      </c>
      <c r="D3160" t="inlineStr">
        <is>
          <t>VÄSTERBOTTENS LÄN</t>
        </is>
      </c>
      <c r="E3160" t="inlineStr">
        <is>
          <t>SKELLEFTEÅ</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33530-2024</t>
        </is>
      </c>
      <c r="B3161" s="1" t="n">
        <v>45519</v>
      </c>
      <c r="C3161" s="1" t="n">
        <v>45807</v>
      </c>
      <c r="D3161" t="inlineStr">
        <is>
          <t>VÄSTERBOTTENS LÄN</t>
        </is>
      </c>
      <c r="E3161" t="inlineStr">
        <is>
          <t>SKELLEFTEÅ</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33538-2024</t>
        </is>
      </c>
      <c r="B3162" s="1" t="n">
        <v>45519</v>
      </c>
      <c r="C3162" s="1" t="n">
        <v>45807</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33442-2024</t>
        </is>
      </c>
      <c r="B3163" s="1" t="n">
        <v>45519</v>
      </c>
      <c r="C3163" s="1" t="n">
        <v>45807</v>
      </c>
      <c r="D3163" t="inlineStr">
        <is>
          <t>VÄSTERBOTTENS LÄN</t>
        </is>
      </c>
      <c r="E3163" t="inlineStr">
        <is>
          <t>SKELLEFTEÅ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33543-2024</t>
        </is>
      </c>
      <c r="B3164" s="1" t="n">
        <v>45519</v>
      </c>
      <c r="C3164" s="1" t="n">
        <v>45807</v>
      </c>
      <c r="D3164" t="inlineStr">
        <is>
          <t>VÄSTERBOTTENS LÄN</t>
        </is>
      </c>
      <c r="E3164" t="inlineStr">
        <is>
          <t>SKELLEFTEÅ</t>
        </is>
      </c>
      <c r="F3164" t="inlineStr">
        <is>
          <t>Holmen skog AB</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33528-2024</t>
        </is>
      </c>
      <c r="B3165" s="1" t="n">
        <v>45519</v>
      </c>
      <c r="C3165" s="1" t="n">
        <v>45807</v>
      </c>
      <c r="D3165" t="inlineStr">
        <is>
          <t>VÄSTERBOTTENS LÄN</t>
        </is>
      </c>
      <c r="E3165" t="inlineStr">
        <is>
          <t>SKELLEFTEÅ</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33785-2024</t>
        </is>
      </c>
      <c r="B3166" s="1" t="n">
        <v>45520</v>
      </c>
      <c r="C3166" s="1" t="n">
        <v>45807</v>
      </c>
      <c r="D3166" t="inlineStr">
        <is>
          <t>VÄSTERBOTTENS LÄN</t>
        </is>
      </c>
      <c r="E3166" t="inlineStr">
        <is>
          <t>SKELLEFTEÅ</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33776-2024</t>
        </is>
      </c>
      <c r="B3167" s="1" t="n">
        <v>45520</v>
      </c>
      <c r="C3167" s="1" t="n">
        <v>45807</v>
      </c>
      <c r="D3167" t="inlineStr">
        <is>
          <t>VÄSTERBOTTENS LÄN</t>
        </is>
      </c>
      <c r="E3167" t="inlineStr">
        <is>
          <t>SKELLEFTEÅ</t>
        </is>
      </c>
      <c r="F3167" t="inlineStr">
        <is>
          <t>Sveaskog</t>
        </is>
      </c>
      <c r="G3167" t="n">
        <v>16.4</v>
      </c>
      <c r="H3167" t="n">
        <v>0</v>
      </c>
      <c r="I3167" t="n">
        <v>0</v>
      </c>
      <c r="J3167" t="n">
        <v>0</v>
      </c>
      <c r="K3167" t="n">
        <v>0</v>
      </c>
      <c r="L3167" t="n">
        <v>0</v>
      </c>
      <c r="M3167" t="n">
        <v>0</v>
      </c>
      <c r="N3167" t="n">
        <v>0</v>
      </c>
      <c r="O3167" t="n">
        <v>0</v>
      </c>
      <c r="P3167" t="n">
        <v>0</v>
      </c>
      <c r="Q3167" t="n">
        <v>0</v>
      </c>
      <c r="R3167" s="2" t="inlineStr"/>
    </row>
    <row r="3168" ht="15" customHeight="1">
      <c r="A3168" t="inlineStr">
        <is>
          <t>A 34242-2024</t>
        </is>
      </c>
      <c r="B3168" s="1" t="n">
        <v>45524</v>
      </c>
      <c r="C3168" s="1" t="n">
        <v>45807</v>
      </c>
      <c r="D3168" t="inlineStr">
        <is>
          <t>VÄSTERBOTTENS LÄN</t>
        </is>
      </c>
      <c r="E3168" t="inlineStr">
        <is>
          <t>SKELLEFTEÅ</t>
        </is>
      </c>
      <c r="F3168" t="inlineStr">
        <is>
          <t>Sveaskog</t>
        </is>
      </c>
      <c r="G3168" t="n">
        <v>19.8</v>
      </c>
      <c r="H3168" t="n">
        <v>0</v>
      </c>
      <c r="I3168" t="n">
        <v>0</v>
      </c>
      <c r="J3168" t="n">
        <v>0</v>
      </c>
      <c r="K3168" t="n">
        <v>0</v>
      </c>
      <c r="L3168" t="n">
        <v>0</v>
      </c>
      <c r="M3168" t="n">
        <v>0</v>
      </c>
      <c r="N3168" t="n">
        <v>0</v>
      </c>
      <c r="O3168" t="n">
        <v>0</v>
      </c>
      <c r="P3168" t="n">
        <v>0</v>
      </c>
      <c r="Q3168" t="n">
        <v>0</v>
      </c>
      <c r="R3168" s="2" t="inlineStr"/>
    </row>
    <row r="3169" ht="15" customHeight="1">
      <c r="A3169" t="inlineStr">
        <is>
          <t>A 34158-2024</t>
        </is>
      </c>
      <c r="B3169" s="1" t="n">
        <v>45524</v>
      </c>
      <c r="C3169" s="1" t="n">
        <v>45807</v>
      </c>
      <c r="D3169" t="inlineStr">
        <is>
          <t>VÄSTERBOTTENS LÄN</t>
        </is>
      </c>
      <c r="E3169" t="inlineStr">
        <is>
          <t>SKELLEFTEÅ</t>
        </is>
      </c>
      <c r="F3169" t="inlineStr">
        <is>
          <t>Sveaskog</t>
        </is>
      </c>
      <c r="G3169" t="n">
        <v>14.7</v>
      </c>
      <c r="H3169" t="n">
        <v>0</v>
      </c>
      <c r="I3169" t="n">
        <v>0</v>
      </c>
      <c r="J3169" t="n">
        <v>0</v>
      </c>
      <c r="K3169" t="n">
        <v>0</v>
      </c>
      <c r="L3169" t="n">
        <v>0</v>
      </c>
      <c r="M3169" t="n">
        <v>0</v>
      </c>
      <c r="N3169" t="n">
        <v>0</v>
      </c>
      <c r="O3169" t="n">
        <v>0</v>
      </c>
      <c r="P3169" t="n">
        <v>0</v>
      </c>
      <c r="Q3169" t="n">
        <v>0</v>
      </c>
      <c r="R3169" s="2" t="inlineStr"/>
    </row>
    <row r="3170" ht="15" customHeight="1">
      <c r="A3170" t="inlineStr">
        <is>
          <t>A 34332-2024</t>
        </is>
      </c>
      <c r="B3170" s="1" t="n">
        <v>45524</v>
      </c>
      <c r="C3170" s="1" t="n">
        <v>45807</v>
      </c>
      <c r="D3170" t="inlineStr">
        <is>
          <t>VÄSTERBOTTENS LÄN</t>
        </is>
      </c>
      <c r="E3170" t="inlineStr">
        <is>
          <t>SKELLEFTEÅ</t>
        </is>
      </c>
      <c r="F3170" t="inlineStr">
        <is>
          <t>Sveaskog</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34614-2024</t>
        </is>
      </c>
      <c r="B3171" s="1" t="n">
        <v>45526</v>
      </c>
      <c r="C3171" s="1" t="n">
        <v>45807</v>
      </c>
      <c r="D3171" t="inlineStr">
        <is>
          <t>VÄSTERBOTTENS LÄN</t>
        </is>
      </c>
      <c r="E3171" t="inlineStr">
        <is>
          <t>SKELLEFTEÅ</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34622-2024</t>
        </is>
      </c>
      <c r="B3172" s="1" t="n">
        <v>45526</v>
      </c>
      <c r="C3172" s="1" t="n">
        <v>45807</v>
      </c>
      <c r="D3172" t="inlineStr">
        <is>
          <t>VÄSTERBOTTENS LÄN</t>
        </is>
      </c>
      <c r="E3172" t="inlineStr">
        <is>
          <t>SKELLEFTEÅ</t>
        </is>
      </c>
      <c r="F3172" t="inlineStr">
        <is>
          <t>Holmen skog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34631-2024</t>
        </is>
      </c>
      <c r="B3173" s="1" t="n">
        <v>45526</v>
      </c>
      <c r="C3173" s="1" t="n">
        <v>45807</v>
      </c>
      <c r="D3173" t="inlineStr">
        <is>
          <t>VÄSTERBOTTENS LÄN</t>
        </is>
      </c>
      <c r="E3173" t="inlineStr">
        <is>
          <t>SKELLEFTEÅ</t>
        </is>
      </c>
      <c r="G3173" t="n">
        <v>11.1</v>
      </c>
      <c r="H3173" t="n">
        <v>0</v>
      </c>
      <c r="I3173" t="n">
        <v>0</v>
      </c>
      <c r="J3173" t="n">
        <v>0</v>
      </c>
      <c r="K3173" t="n">
        <v>0</v>
      </c>
      <c r="L3173" t="n">
        <v>0</v>
      </c>
      <c r="M3173" t="n">
        <v>0</v>
      </c>
      <c r="N3173" t="n">
        <v>0</v>
      </c>
      <c r="O3173" t="n">
        <v>0</v>
      </c>
      <c r="P3173" t="n">
        <v>0</v>
      </c>
      <c r="Q3173" t="n">
        <v>0</v>
      </c>
      <c r="R3173" s="2" t="inlineStr"/>
    </row>
    <row r="3174" ht="15" customHeight="1">
      <c r="A3174" t="inlineStr">
        <is>
          <t>A 34644-2024</t>
        </is>
      </c>
      <c r="B3174" s="1" t="n">
        <v>45526</v>
      </c>
      <c r="C3174" s="1" t="n">
        <v>45807</v>
      </c>
      <c r="D3174" t="inlineStr">
        <is>
          <t>VÄSTERBOTTENS LÄN</t>
        </is>
      </c>
      <c r="E3174" t="inlineStr">
        <is>
          <t>SKELLEFTEÅ</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34821-2024</t>
        </is>
      </c>
      <c r="B3175" s="1" t="n">
        <v>45526</v>
      </c>
      <c r="C3175" s="1" t="n">
        <v>45807</v>
      </c>
      <c r="D3175" t="inlineStr">
        <is>
          <t>VÄSTERBOTTENS LÄN</t>
        </is>
      </c>
      <c r="E3175" t="inlineStr">
        <is>
          <t>SKELLEFTEÅ</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34615-2024</t>
        </is>
      </c>
      <c r="B3176" s="1" t="n">
        <v>45526</v>
      </c>
      <c r="C3176" s="1" t="n">
        <v>45807</v>
      </c>
      <c r="D3176" t="inlineStr">
        <is>
          <t>VÄSTERBOTTENS LÄN</t>
        </is>
      </c>
      <c r="E3176" t="inlineStr">
        <is>
          <t>SKELLEFTEÅ</t>
        </is>
      </c>
      <c r="F3176" t="inlineStr">
        <is>
          <t>Holmen skog AB</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34713-2024</t>
        </is>
      </c>
      <c r="B3177" s="1" t="n">
        <v>45526</v>
      </c>
      <c r="C3177" s="1" t="n">
        <v>45807</v>
      </c>
      <c r="D3177" t="inlineStr">
        <is>
          <t>VÄSTERBOTTENS LÄN</t>
        </is>
      </c>
      <c r="E3177" t="inlineStr">
        <is>
          <t>SKELLEFTEÅ</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34714-2024</t>
        </is>
      </c>
      <c r="B3178" s="1" t="n">
        <v>45526</v>
      </c>
      <c r="C3178" s="1" t="n">
        <v>45807</v>
      </c>
      <c r="D3178" t="inlineStr">
        <is>
          <t>VÄSTERBOTTENS LÄN</t>
        </is>
      </c>
      <c r="E3178" t="inlineStr">
        <is>
          <t>SKELLEFTEÅ</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34694-2024</t>
        </is>
      </c>
      <c r="B3179" s="1" t="n">
        <v>45526</v>
      </c>
      <c r="C3179" s="1" t="n">
        <v>45807</v>
      </c>
      <c r="D3179" t="inlineStr">
        <is>
          <t>VÄSTERBOTTENS LÄN</t>
        </is>
      </c>
      <c r="E3179" t="inlineStr">
        <is>
          <t>SKELLEFTEÅ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34690-2024</t>
        </is>
      </c>
      <c r="B3180" s="1" t="n">
        <v>45526</v>
      </c>
      <c r="C3180" s="1" t="n">
        <v>45807</v>
      </c>
      <c r="D3180" t="inlineStr">
        <is>
          <t>VÄSTERBOTTENS LÄN</t>
        </is>
      </c>
      <c r="E3180" t="inlineStr">
        <is>
          <t>SKELLEFTEÅ</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34608-2024</t>
        </is>
      </c>
      <c r="B3181" s="1" t="n">
        <v>45526</v>
      </c>
      <c r="C3181" s="1" t="n">
        <v>45807</v>
      </c>
      <c r="D3181" t="inlineStr">
        <is>
          <t>VÄSTERBOTTENS LÄN</t>
        </is>
      </c>
      <c r="E3181" t="inlineStr">
        <is>
          <t>SKELLEFTEÅ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34739-2024</t>
        </is>
      </c>
      <c r="B3182" s="1" t="n">
        <v>45526</v>
      </c>
      <c r="C3182" s="1" t="n">
        <v>45807</v>
      </c>
      <c r="D3182" t="inlineStr">
        <is>
          <t>VÄSTERBOTTENS LÄN</t>
        </is>
      </c>
      <c r="E3182" t="inlineStr">
        <is>
          <t>SKELLEFTEÅ</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35035-2024</t>
        </is>
      </c>
      <c r="B3183" s="1" t="n">
        <v>45527</v>
      </c>
      <c r="C3183" s="1" t="n">
        <v>45807</v>
      </c>
      <c r="D3183" t="inlineStr">
        <is>
          <t>VÄSTERBOTTENS LÄN</t>
        </is>
      </c>
      <c r="E3183" t="inlineStr">
        <is>
          <t>SKELLEFTEÅ</t>
        </is>
      </c>
      <c r="F3183" t="inlineStr">
        <is>
          <t>Holmen skog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34874-2024</t>
        </is>
      </c>
      <c r="B3184" s="1" t="n">
        <v>45527</v>
      </c>
      <c r="C3184" s="1" t="n">
        <v>45807</v>
      </c>
      <c r="D3184" t="inlineStr">
        <is>
          <t>VÄSTERBOTTENS LÄN</t>
        </is>
      </c>
      <c r="E3184" t="inlineStr">
        <is>
          <t>SKELLEFTEÅ</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34998-2024</t>
        </is>
      </c>
      <c r="B3185" s="1" t="n">
        <v>45527</v>
      </c>
      <c r="C3185" s="1" t="n">
        <v>45807</v>
      </c>
      <c r="D3185" t="inlineStr">
        <is>
          <t>VÄSTERBOTTENS LÄN</t>
        </is>
      </c>
      <c r="E3185" t="inlineStr">
        <is>
          <t>SKELLEFTEÅ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35114-2024</t>
        </is>
      </c>
      <c r="B3186" s="1" t="n">
        <v>45530</v>
      </c>
      <c r="C3186" s="1" t="n">
        <v>45807</v>
      </c>
      <c r="D3186" t="inlineStr">
        <is>
          <t>VÄSTERBOTTENS LÄN</t>
        </is>
      </c>
      <c r="E3186" t="inlineStr">
        <is>
          <t>SKELLEFTEÅ</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35213-2024</t>
        </is>
      </c>
      <c r="B3187" s="1" t="n">
        <v>45530</v>
      </c>
      <c r="C3187" s="1" t="n">
        <v>45807</v>
      </c>
      <c r="D3187" t="inlineStr">
        <is>
          <t>VÄSTERBOTTENS LÄN</t>
        </is>
      </c>
      <c r="E3187" t="inlineStr">
        <is>
          <t>SKELLEFTEÅ</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35135-2024</t>
        </is>
      </c>
      <c r="B3188" s="1" t="n">
        <v>45530</v>
      </c>
      <c r="C3188" s="1" t="n">
        <v>45807</v>
      </c>
      <c r="D3188" t="inlineStr">
        <is>
          <t>VÄSTERBOTTENS LÄN</t>
        </is>
      </c>
      <c r="E3188" t="inlineStr">
        <is>
          <t>SKELLEFTEÅ</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35168-2024</t>
        </is>
      </c>
      <c r="B3189" s="1" t="n">
        <v>45530</v>
      </c>
      <c r="C3189" s="1" t="n">
        <v>45807</v>
      </c>
      <c r="D3189" t="inlineStr">
        <is>
          <t>VÄSTERBOTTENS LÄN</t>
        </is>
      </c>
      <c r="E3189" t="inlineStr">
        <is>
          <t>SKELLEFTEÅ</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35216-2024</t>
        </is>
      </c>
      <c r="B3190" s="1" t="n">
        <v>45530</v>
      </c>
      <c r="C3190" s="1" t="n">
        <v>45807</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35208-2024</t>
        </is>
      </c>
      <c r="B3191" s="1" t="n">
        <v>45530</v>
      </c>
      <c r="C3191" s="1" t="n">
        <v>45807</v>
      </c>
      <c r="D3191" t="inlineStr">
        <is>
          <t>VÄSTERBOTTENS LÄN</t>
        </is>
      </c>
      <c r="E3191" t="inlineStr">
        <is>
          <t>SKELLEFTEÅ</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35435-2024</t>
        </is>
      </c>
      <c r="B3192" s="1" t="n">
        <v>45531</v>
      </c>
      <c r="C3192" s="1" t="n">
        <v>45807</v>
      </c>
      <c r="D3192" t="inlineStr">
        <is>
          <t>VÄSTERBOTTENS LÄN</t>
        </is>
      </c>
      <c r="E3192" t="inlineStr">
        <is>
          <t>SKELLEFTEÅ</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35800-2024</t>
        </is>
      </c>
      <c r="B3193" s="1" t="n">
        <v>45532</v>
      </c>
      <c r="C3193" s="1" t="n">
        <v>45807</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35807-2024</t>
        </is>
      </c>
      <c r="B3194" s="1" t="n">
        <v>45532</v>
      </c>
      <c r="C3194" s="1" t="n">
        <v>45807</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35881-2024</t>
        </is>
      </c>
      <c r="B3195" s="1" t="n">
        <v>45533</v>
      </c>
      <c r="C3195" s="1" t="n">
        <v>45807</v>
      </c>
      <c r="D3195" t="inlineStr">
        <is>
          <t>VÄSTERBOTTENS LÄN</t>
        </is>
      </c>
      <c r="E3195" t="inlineStr">
        <is>
          <t>SKELLEFTEÅ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35880-2024</t>
        </is>
      </c>
      <c r="B3196" s="1" t="n">
        <v>45533</v>
      </c>
      <c r="C3196" s="1" t="n">
        <v>45807</v>
      </c>
      <c r="D3196" t="inlineStr">
        <is>
          <t>VÄSTERBOTTENS LÄN</t>
        </is>
      </c>
      <c r="E3196" t="inlineStr">
        <is>
          <t>SKELLEFTEÅ</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36201-2024</t>
        </is>
      </c>
      <c r="B3197" s="1" t="n">
        <v>45534</v>
      </c>
      <c r="C3197" s="1" t="n">
        <v>45807</v>
      </c>
      <c r="D3197" t="inlineStr">
        <is>
          <t>VÄSTERBOTTENS LÄN</t>
        </is>
      </c>
      <c r="E3197" t="inlineStr">
        <is>
          <t>SKELLEFTEÅ</t>
        </is>
      </c>
      <c r="F3197" t="inlineStr">
        <is>
          <t>Holmen skog AB</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36213-2024</t>
        </is>
      </c>
      <c r="B3198" s="1" t="n">
        <v>45534</v>
      </c>
      <c r="C3198" s="1" t="n">
        <v>45807</v>
      </c>
      <c r="D3198" t="inlineStr">
        <is>
          <t>VÄSTERBOTTENS LÄN</t>
        </is>
      </c>
      <c r="E3198" t="inlineStr">
        <is>
          <t>SKELLEFTEÅ</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36122-2024</t>
        </is>
      </c>
      <c r="B3199" s="1" t="n">
        <v>45534</v>
      </c>
      <c r="C3199" s="1" t="n">
        <v>45807</v>
      </c>
      <c r="D3199" t="inlineStr">
        <is>
          <t>VÄSTERBOTTENS LÄN</t>
        </is>
      </c>
      <c r="E3199" t="inlineStr">
        <is>
          <t>SKELLEFTEÅ</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36222-2024</t>
        </is>
      </c>
      <c r="B3200" s="1" t="n">
        <v>45534</v>
      </c>
      <c r="C3200" s="1" t="n">
        <v>45807</v>
      </c>
      <c r="D3200" t="inlineStr">
        <is>
          <t>VÄSTERBOTTENS LÄN</t>
        </is>
      </c>
      <c r="E3200" t="inlineStr">
        <is>
          <t>SKELLEFTEÅ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36216-2024</t>
        </is>
      </c>
      <c r="B3201" s="1" t="n">
        <v>45534</v>
      </c>
      <c r="C3201" s="1" t="n">
        <v>45807</v>
      </c>
      <c r="D3201" t="inlineStr">
        <is>
          <t>VÄSTERBOTTENS LÄN</t>
        </is>
      </c>
      <c r="E3201" t="inlineStr">
        <is>
          <t>SKELLEFTEÅ</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36297-2024</t>
        </is>
      </c>
      <c r="B3202" s="1" t="n">
        <v>45534</v>
      </c>
      <c r="C3202" s="1" t="n">
        <v>45807</v>
      </c>
      <c r="D3202" t="inlineStr">
        <is>
          <t>VÄSTERBOTTENS LÄN</t>
        </is>
      </c>
      <c r="E3202" t="inlineStr">
        <is>
          <t>SKELLEFTEÅ</t>
        </is>
      </c>
      <c r="F3202" t="inlineStr">
        <is>
          <t>Sveaskog</t>
        </is>
      </c>
      <c r="G3202" t="n">
        <v>20.9</v>
      </c>
      <c r="H3202" t="n">
        <v>0</v>
      </c>
      <c r="I3202" t="n">
        <v>0</v>
      </c>
      <c r="J3202" t="n">
        <v>0</v>
      </c>
      <c r="K3202" t="n">
        <v>0</v>
      </c>
      <c r="L3202" t="n">
        <v>0</v>
      </c>
      <c r="M3202" t="n">
        <v>0</v>
      </c>
      <c r="N3202" t="n">
        <v>0</v>
      </c>
      <c r="O3202" t="n">
        <v>0</v>
      </c>
      <c r="P3202" t="n">
        <v>0</v>
      </c>
      <c r="Q3202" t="n">
        <v>0</v>
      </c>
      <c r="R3202" s="2" t="inlineStr"/>
    </row>
    <row r="3203" ht="15" customHeight="1">
      <c r="A3203" t="inlineStr">
        <is>
          <t>A 36329-2024</t>
        </is>
      </c>
      <c r="B3203" s="1" t="n">
        <v>45534</v>
      </c>
      <c r="C3203" s="1" t="n">
        <v>45807</v>
      </c>
      <c r="D3203" t="inlineStr">
        <is>
          <t>VÄSTERBOTTENS LÄN</t>
        </is>
      </c>
      <c r="E3203" t="inlineStr">
        <is>
          <t>SKELLEFTEÅ</t>
        </is>
      </c>
      <c r="F3203" t="inlineStr">
        <is>
          <t>Holmen skog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36351-2024</t>
        </is>
      </c>
      <c r="B3204" s="1" t="n">
        <v>45534</v>
      </c>
      <c r="C3204" s="1" t="n">
        <v>45807</v>
      </c>
      <c r="D3204" t="inlineStr">
        <is>
          <t>VÄSTERBOTTENS LÄN</t>
        </is>
      </c>
      <c r="E3204" t="inlineStr">
        <is>
          <t>SKELLEFTEÅ</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36379-2024</t>
        </is>
      </c>
      <c r="B3205" s="1" t="n">
        <v>45534</v>
      </c>
      <c r="C3205" s="1" t="n">
        <v>45807</v>
      </c>
      <c r="D3205" t="inlineStr">
        <is>
          <t>VÄSTERBOTTENS LÄN</t>
        </is>
      </c>
      <c r="E3205" t="inlineStr">
        <is>
          <t>SKELLEFTEÅ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36339-2024</t>
        </is>
      </c>
      <c r="B3206" s="1" t="n">
        <v>45534</v>
      </c>
      <c r="C3206" s="1" t="n">
        <v>45807</v>
      </c>
      <c r="D3206" t="inlineStr">
        <is>
          <t>VÄSTERBOTTENS LÄN</t>
        </is>
      </c>
      <c r="E3206" t="inlineStr">
        <is>
          <t>SKELLEFTEÅ</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36490-2024</t>
        </is>
      </c>
      <c r="B3207" s="1" t="n">
        <v>45537</v>
      </c>
      <c r="C3207" s="1" t="n">
        <v>45807</v>
      </c>
      <c r="D3207" t="inlineStr">
        <is>
          <t>VÄSTERBOTTENS LÄN</t>
        </is>
      </c>
      <c r="E3207" t="inlineStr">
        <is>
          <t>SKELLEFTEÅ</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36546-2024</t>
        </is>
      </c>
      <c r="B3208" s="1" t="n">
        <v>45537</v>
      </c>
      <c r="C3208" s="1" t="n">
        <v>45807</v>
      </c>
      <c r="D3208" t="inlineStr">
        <is>
          <t>VÄSTERBOTTENS LÄN</t>
        </is>
      </c>
      <c r="E3208" t="inlineStr">
        <is>
          <t>SKELLEFTEÅ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36513-2024</t>
        </is>
      </c>
      <c r="B3209" s="1" t="n">
        <v>45537</v>
      </c>
      <c r="C3209" s="1" t="n">
        <v>45807</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36533-2024</t>
        </is>
      </c>
      <c r="B3210" s="1" t="n">
        <v>45537</v>
      </c>
      <c r="C3210" s="1" t="n">
        <v>45807</v>
      </c>
      <c r="D3210" t="inlineStr">
        <is>
          <t>VÄSTERBOTTENS LÄN</t>
        </is>
      </c>
      <c r="E3210" t="inlineStr">
        <is>
          <t>SKELLEFTEÅ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36537-2024</t>
        </is>
      </c>
      <c r="B3211" s="1" t="n">
        <v>45537</v>
      </c>
      <c r="C3211" s="1" t="n">
        <v>45807</v>
      </c>
      <c r="D3211" t="inlineStr">
        <is>
          <t>VÄSTERBOTTENS LÄN</t>
        </is>
      </c>
      <c r="E3211" t="inlineStr">
        <is>
          <t>SKELLEFTEÅ</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36698-2024</t>
        </is>
      </c>
      <c r="B3212" s="1" t="n">
        <v>45537</v>
      </c>
      <c r="C3212" s="1" t="n">
        <v>45807</v>
      </c>
      <c r="D3212" t="inlineStr">
        <is>
          <t>VÄSTERBOTTENS LÄN</t>
        </is>
      </c>
      <c r="E3212" t="inlineStr">
        <is>
          <t>SKELLEFTEÅ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36794-2024</t>
        </is>
      </c>
      <c r="B3213" s="1" t="n">
        <v>45538</v>
      </c>
      <c r="C3213" s="1" t="n">
        <v>45807</v>
      </c>
      <c r="D3213" t="inlineStr">
        <is>
          <t>VÄSTERBOTTENS LÄN</t>
        </is>
      </c>
      <c r="E3213" t="inlineStr">
        <is>
          <t>SKELLEFTEÅ</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36806-2024</t>
        </is>
      </c>
      <c r="B3214" s="1" t="n">
        <v>45538</v>
      </c>
      <c r="C3214" s="1" t="n">
        <v>45807</v>
      </c>
      <c r="D3214" t="inlineStr">
        <is>
          <t>VÄSTERBOTTENS LÄN</t>
        </is>
      </c>
      <c r="E3214" t="inlineStr">
        <is>
          <t>SKELLEFTEÅ</t>
        </is>
      </c>
      <c r="F3214" t="inlineStr">
        <is>
          <t>Sveaskog</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36771-2024</t>
        </is>
      </c>
      <c r="B3215" s="1" t="n">
        <v>45538</v>
      </c>
      <c r="C3215" s="1" t="n">
        <v>45807</v>
      </c>
      <c r="D3215" t="inlineStr">
        <is>
          <t>VÄSTERBOTTENS LÄN</t>
        </is>
      </c>
      <c r="E3215" t="inlineStr">
        <is>
          <t>SKELLEFTEÅ</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36779-2024</t>
        </is>
      </c>
      <c r="B3216" s="1" t="n">
        <v>45538</v>
      </c>
      <c r="C3216" s="1" t="n">
        <v>45807</v>
      </c>
      <c r="D3216" t="inlineStr">
        <is>
          <t>VÄSTERBOTTENS LÄN</t>
        </is>
      </c>
      <c r="E3216" t="inlineStr">
        <is>
          <t>SKELLEFTEÅ</t>
        </is>
      </c>
      <c r="F3216" t="inlineStr">
        <is>
          <t>Holmen skog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36792-2024</t>
        </is>
      </c>
      <c r="B3217" s="1" t="n">
        <v>45538</v>
      </c>
      <c r="C3217" s="1" t="n">
        <v>45807</v>
      </c>
      <c r="D3217" t="inlineStr">
        <is>
          <t>VÄSTERBOTTENS LÄN</t>
        </is>
      </c>
      <c r="E3217" t="inlineStr">
        <is>
          <t>SKELLEFTEÅ</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36800-2024</t>
        </is>
      </c>
      <c r="B3218" s="1" t="n">
        <v>45538</v>
      </c>
      <c r="C3218" s="1" t="n">
        <v>45807</v>
      </c>
      <c r="D3218" t="inlineStr">
        <is>
          <t>VÄSTERBOTTENS LÄN</t>
        </is>
      </c>
      <c r="E3218" t="inlineStr">
        <is>
          <t>SKELLEFTEÅ</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36823-2024</t>
        </is>
      </c>
      <c r="B3219" s="1" t="n">
        <v>45538</v>
      </c>
      <c r="C3219" s="1" t="n">
        <v>45807</v>
      </c>
      <c r="D3219" t="inlineStr">
        <is>
          <t>VÄSTERBOTTENS LÄN</t>
        </is>
      </c>
      <c r="E3219" t="inlineStr">
        <is>
          <t>SKELLEFTEÅ</t>
        </is>
      </c>
      <c r="F3219" t="inlineStr">
        <is>
          <t>Holmen skog AB</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36824-2024</t>
        </is>
      </c>
      <c r="B3220" s="1" t="n">
        <v>45538</v>
      </c>
      <c r="C3220" s="1" t="n">
        <v>45807</v>
      </c>
      <c r="D3220" t="inlineStr">
        <is>
          <t>VÄSTERBOTTENS LÄN</t>
        </is>
      </c>
      <c r="E3220" t="inlineStr">
        <is>
          <t>SKELLEFTEÅ</t>
        </is>
      </c>
      <c r="F3220" t="inlineStr">
        <is>
          <t>Sveaskog</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36867-2024</t>
        </is>
      </c>
      <c r="B3221" s="1" t="n">
        <v>45538</v>
      </c>
      <c r="C3221" s="1" t="n">
        <v>45807</v>
      </c>
      <c r="D3221" t="inlineStr">
        <is>
          <t>VÄSTERBOTTENS LÄN</t>
        </is>
      </c>
      <c r="E3221" t="inlineStr">
        <is>
          <t>SKELLEFTEÅ</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36895-2024</t>
        </is>
      </c>
      <c r="B3222" s="1" t="n">
        <v>45538</v>
      </c>
      <c r="C3222" s="1" t="n">
        <v>45807</v>
      </c>
      <c r="D3222" t="inlineStr">
        <is>
          <t>VÄSTERBOTTENS LÄN</t>
        </is>
      </c>
      <c r="E3222" t="inlineStr">
        <is>
          <t>SKELLEFTEÅ</t>
        </is>
      </c>
      <c r="F3222" t="inlineStr">
        <is>
          <t>Holmen skog AB</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37139-2024</t>
        </is>
      </c>
      <c r="B3223" s="1" t="n">
        <v>45539</v>
      </c>
      <c r="C3223" s="1" t="n">
        <v>45807</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37298-2024</t>
        </is>
      </c>
      <c r="B3224" s="1" t="n">
        <v>45540</v>
      </c>
      <c r="C3224" s="1" t="n">
        <v>45807</v>
      </c>
      <c r="D3224" t="inlineStr">
        <is>
          <t>VÄSTERBOTTENS LÄN</t>
        </is>
      </c>
      <c r="E3224" t="inlineStr">
        <is>
          <t>SKELLEFTEÅ</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37320-2024</t>
        </is>
      </c>
      <c r="B3225" s="1" t="n">
        <v>45540</v>
      </c>
      <c r="C3225" s="1" t="n">
        <v>45807</v>
      </c>
      <c r="D3225" t="inlineStr">
        <is>
          <t>VÄSTERBOTTENS LÄN</t>
        </is>
      </c>
      <c r="E3225" t="inlineStr">
        <is>
          <t>SKELLEFTEÅ</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37499-2024</t>
        </is>
      </c>
      <c r="B3226" s="1" t="n">
        <v>45541</v>
      </c>
      <c r="C3226" s="1" t="n">
        <v>45807</v>
      </c>
      <c r="D3226" t="inlineStr">
        <is>
          <t>VÄSTERBOTTENS LÄN</t>
        </is>
      </c>
      <c r="E3226" t="inlineStr">
        <is>
          <t>SKELLEFTEÅ</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37547-2024</t>
        </is>
      </c>
      <c r="B3227" s="1" t="n">
        <v>45541</v>
      </c>
      <c r="C3227" s="1" t="n">
        <v>45807</v>
      </c>
      <c r="D3227" t="inlineStr">
        <is>
          <t>VÄSTERBOTTENS LÄN</t>
        </is>
      </c>
      <c r="E3227" t="inlineStr">
        <is>
          <t>SKELLEFTEÅ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37760-2024</t>
        </is>
      </c>
      <c r="B3228" s="1" t="n">
        <v>45541</v>
      </c>
      <c r="C3228" s="1" t="n">
        <v>45807</v>
      </c>
      <c r="D3228" t="inlineStr">
        <is>
          <t>VÄSTERBOTTENS LÄN</t>
        </is>
      </c>
      <c r="E3228" t="inlineStr">
        <is>
          <t>SKELLEFTEÅ</t>
        </is>
      </c>
      <c r="F3228" t="inlineStr">
        <is>
          <t>Sveaskog</t>
        </is>
      </c>
      <c r="G3228" t="n">
        <v>27.6</v>
      </c>
      <c r="H3228" t="n">
        <v>0</v>
      </c>
      <c r="I3228" t="n">
        <v>0</v>
      </c>
      <c r="J3228" t="n">
        <v>0</v>
      </c>
      <c r="K3228" t="n">
        <v>0</v>
      </c>
      <c r="L3228" t="n">
        <v>0</v>
      </c>
      <c r="M3228" t="n">
        <v>0</v>
      </c>
      <c r="N3228" t="n">
        <v>0</v>
      </c>
      <c r="O3228" t="n">
        <v>0</v>
      </c>
      <c r="P3228" t="n">
        <v>0</v>
      </c>
      <c r="Q3228" t="n">
        <v>0</v>
      </c>
      <c r="R3228" s="2" t="inlineStr"/>
    </row>
    <row r="3229" ht="15" customHeight="1">
      <c r="A3229" t="inlineStr">
        <is>
          <t>A 37892-2024</t>
        </is>
      </c>
      <c r="B3229" s="1" t="n">
        <v>45544</v>
      </c>
      <c r="C3229" s="1" t="n">
        <v>45807</v>
      </c>
      <c r="D3229" t="inlineStr">
        <is>
          <t>VÄSTERBOTTENS LÄN</t>
        </is>
      </c>
      <c r="E3229" t="inlineStr">
        <is>
          <t>SKELLEFTEÅ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37946-2024</t>
        </is>
      </c>
      <c r="B3230" s="1" t="n">
        <v>45544</v>
      </c>
      <c r="C3230" s="1" t="n">
        <v>45807</v>
      </c>
      <c r="D3230" t="inlineStr">
        <is>
          <t>VÄSTERBOTTENS LÄN</t>
        </is>
      </c>
      <c r="E3230" t="inlineStr">
        <is>
          <t>SKELLEFTEÅ</t>
        </is>
      </c>
      <c r="F3230" t="inlineStr">
        <is>
          <t>Holmen skog AB</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38023-2024</t>
        </is>
      </c>
      <c r="B3231" s="1" t="n">
        <v>45544</v>
      </c>
      <c r="C3231" s="1" t="n">
        <v>45807</v>
      </c>
      <c r="D3231" t="inlineStr">
        <is>
          <t>VÄSTERBOTTENS LÄN</t>
        </is>
      </c>
      <c r="E3231" t="inlineStr">
        <is>
          <t>SKELLEFTEÅ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38432-2024</t>
        </is>
      </c>
      <c r="B3232" s="1" t="n">
        <v>45546</v>
      </c>
      <c r="C3232" s="1" t="n">
        <v>45807</v>
      </c>
      <c r="D3232" t="inlineStr">
        <is>
          <t>VÄSTERBOTTENS LÄN</t>
        </is>
      </c>
      <c r="E3232" t="inlineStr">
        <is>
          <t>SKELLEFTEÅ</t>
        </is>
      </c>
      <c r="F3232" t="inlineStr">
        <is>
          <t>Holmen skog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38496-2024</t>
        </is>
      </c>
      <c r="B3233" s="1" t="n">
        <v>45546</v>
      </c>
      <c r="C3233" s="1" t="n">
        <v>45807</v>
      </c>
      <c r="D3233" t="inlineStr">
        <is>
          <t>VÄSTERBOTTENS LÄN</t>
        </is>
      </c>
      <c r="E3233" t="inlineStr">
        <is>
          <t>SKELLEFTEÅ</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38558-2024</t>
        </is>
      </c>
      <c r="B3234" s="1" t="n">
        <v>45546</v>
      </c>
      <c r="C3234" s="1" t="n">
        <v>45807</v>
      </c>
      <c r="D3234" t="inlineStr">
        <is>
          <t>VÄSTERBOTTENS LÄN</t>
        </is>
      </c>
      <c r="E3234" t="inlineStr">
        <is>
          <t>SKELLEFTEÅ</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38398-2024</t>
        </is>
      </c>
      <c r="B3235" s="1" t="n">
        <v>45546</v>
      </c>
      <c r="C3235" s="1" t="n">
        <v>45807</v>
      </c>
      <c r="D3235" t="inlineStr">
        <is>
          <t>VÄSTERBOTTENS LÄN</t>
        </is>
      </c>
      <c r="E3235" t="inlineStr">
        <is>
          <t>SKELLEFTEÅ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38430-2024</t>
        </is>
      </c>
      <c r="B3236" s="1" t="n">
        <v>45546</v>
      </c>
      <c r="C3236" s="1" t="n">
        <v>45807</v>
      </c>
      <c r="D3236" t="inlineStr">
        <is>
          <t>VÄSTERBOTTENS LÄN</t>
        </is>
      </c>
      <c r="E3236" t="inlineStr">
        <is>
          <t>SKELLEFTEÅ</t>
        </is>
      </c>
      <c r="F3236" t="inlineStr">
        <is>
          <t>Holmen skog AB</t>
        </is>
      </c>
      <c r="G3236" t="n">
        <v>11.2</v>
      </c>
      <c r="H3236" t="n">
        <v>0</v>
      </c>
      <c r="I3236" t="n">
        <v>0</v>
      </c>
      <c r="J3236" t="n">
        <v>0</v>
      </c>
      <c r="K3236" t="n">
        <v>0</v>
      </c>
      <c r="L3236" t="n">
        <v>0</v>
      </c>
      <c r="M3236" t="n">
        <v>0</v>
      </c>
      <c r="N3236" t="n">
        <v>0</v>
      </c>
      <c r="O3236" t="n">
        <v>0</v>
      </c>
      <c r="P3236" t="n">
        <v>0</v>
      </c>
      <c r="Q3236" t="n">
        <v>0</v>
      </c>
      <c r="R3236" s="2" t="inlineStr"/>
    </row>
    <row r="3237" ht="15" customHeight="1">
      <c r="A3237" t="inlineStr">
        <is>
          <t>A 38445-2024</t>
        </is>
      </c>
      <c r="B3237" s="1" t="n">
        <v>45546</v>
      </c>
      <c r="C3237" s="1" t="n">
        <v>45807</v>
      </c>
      <c r="D3237" t="inlineStr">
        <is>
          <t>VÄSTERBOTTENS LÄN</t>
        </is>
      </c>
      <c r="E3237" t="inlineStr">
        <is>
          <t>SKELLEFTEÅ</t>
        </is>
      </c>
      <c r="F3237" t="inlineStr">
        <is>
          <t>Holmen skog AB</t>
        </is>
      </c>
      <c r="G3237" t="n">
        <v>20.4</v>
      </c>
      <c r="H3237" t="n">
        <v>0</v>
      </c>
      <c r="I3237" t="n">
        <v>0</v>
      </c>
      <c r="J3237" t="n">
        <v>0</v>
      </c>
      <c r="K3237" t="n">
        <v>0</v>
      </c>
      <c r="L3237" t="n">
        <v>0</v>
      </c>
      <c r="M3237" t="n">
        <v>0</v>
      </c>
      <c r="N3237" t="n">
        <v>0</v>
      </c>
      <c r="O3237" t="n">
        <v>0</v>
      </c>
      <c r="P3237" t="n">
        <v>0</v>
      </c>
      <c r="Q3237" t="n">
        <v>0</v>
      </c>
      <c r="R3237" s="2" t="inlineStr"/>
    </row>
    <row r="3238" ht="15" customHeight="1">
      <c r="A3238" t="inlineStr">
        <is>
          <t>A 38493-2024</t>
        </is>
      </c>
      <c r="B3238" s="1" t="n">
        <v>45546</v>
      </c>
      <c r="C3238" s="1" t="n">
        <v>45807</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38503-2024</t>
        </is>
      </c>
      <c r="B3239" s="1" t="n">
        <v>45546</v>
      </c>
      <c r="C3239" s="1" t="n">
        <v>45807</v>
      </c>
      <c r="D3239" t="inlineStr">
        <is>
          <t>VÄSTERBOTTENS LÄN</t>
        </is>
      </c>
      <c r="E3239" t="inlineStr">
        <is>
          <t>SKELLEFTEÅ</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38532-2024</t>
        </is>
      </c>
      <c r="B3240" s="1" t="n">
        <v>45546</v>
      </c>
      <c r="C3240" s="1" t="n">
        <v>45807</v>
      </c>
      <c r="D3240" t="inlineStr">
        <is>
          <t>VÄSTERBOTTENS LÄN</t>
        </is>
      </c>
      <c r="E3240" t="inlineStr">
        <is>
          <t>SKELLEFTEÅ</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38568-2024</t>
        </is>
      </c>
      <c r="B3241" s="1" t="n">
        <v>45546</v>
      </c>
      <c r="C3241" s="1" t="n">
        <v>45807</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38588-2024</t>
        </is>
      </c>
      <c r="B3242" s="1" t="n">
        <v>45546</v>
      </c>
      <c r="C3242" s="1" t="n">
        <v>45807</v>
      </c>
      <c r="D3242" t="inlineStr">
        <is>
          <t>VÄSTERBOTTENS LÄN</t>
        </is>
      </c>
      <c r="E3242" t="inlineStr">
        <is>
          <t>SKELLEFTEÅ</t>
        </is>
      </c>
      <c r="F3242" t="inlineStr">
        <is>
          <t>Holmen skog AB</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38616-2024</t>
        </is>
      </c>
      <c r="B3243" s="1" t="n">
        <v>45546</v>
      </c>
      <c r="C3243" s="1" t="n">
        <v>45807</v>
      </c>
      <c r="D3243" t="inlineStr">
        <is>
          <t>VÄSTERBOTTENS LÄN</t>
        </is>
      </c>
      <c r="E3243" t="inlineStr">
        <is>
          <t>SKELLEFTEÅ</t>
        </is>
      </c>
      <c r="F3243" t="inlineStr">
        <is>
          <t>Holmen skog AB</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38620-2024</t>
        </is>
      </c>
      <c r="B3244" s="1" t="n">
        <v>45546</v>
      </c>
      <c r="C3244" s="1" t="n">
        <v>45807</v>
      </c>
      <c r="D3244" t="inlineStr">
        <is>
          <t>VÄSTERBOTTENS LÄN</t>
        </is>
      </c>
      <c r="E3244" t="inlineStr">
        <is>
          <t>SKELLEFTEÅ</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38637-2024</t>
        </is>
      </c>
      <c r="B3245" s="1" t="n">
        <v>45546</v>
      </c>
      <c r="C3245" s="1" t="n">
        <v>45807</v>
      </c>
      <c r="D3245" t="inlineStr">
        <is>
          <t>VÄSTERBOTTENS LÄN</t>
        </is>
      </c>
      <c r="E3245" t="inlineStr">
        <is>
          <t>SKELLEFTEÅ</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38635-2024</t>
        </is>
      </c>
      <c r="B3246" s="1" t="n">
        <v>45546</v>
      </c>
      <c r="C3246" s="1" t="n">
        <v>45807</v>
      </c>
      <c r="D3246" t="inlineStr">
        <is>
          <t>VÄSTERBOTTENS LÄN</t>
        </is>
      </c>
      <c r="E3246" t="inlineStr">
        <is>
          <t>SKELLEFTEÅ</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38657-2024</t>
        </is>
      </c>
      <c r="B3247" s="1" t="n">
        <v>45546</v>
      </c>
      <c r="C3247" s="1" t="n">
        <v>45807</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38706-2024</t>
        </is>
      </c>
      <c r="B3248" s="1" t="n">
        <v>45547</v>
      </c>
      <c r="C3248" s="1" t="n">
        <v>45807</v>
      </c>
      <c r="D3248" t="inlineStr">
        <is>
          <t>VÄSTERBOTTENS LÄN</t>
        </is>
      </c>
      <c r="E3248" t="inlineStr">
        <is>
          <t>SKELLEFTEÅ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38935-2024</t>
        </is>
      </c>
      <c r="B3249" s="1" t="n">
        <v>45548</v>
      </c>
      <c r="C3249" s="1" t="n">
        <v>45807</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38957-2024</t>
        </is>
      </c>
      <c r="B3250" s="1" t="n">
        <v>45548</v>
      </c>
      <c r="C3250" s="1" t="n">
        <v>45807</v>
      </c>
      <c r="D3250" t="inlineStr">
        <is>
          <t>VÄSTERBOTTENS LÄN</t>
        </is>
      </c>
      <c r="E3250" t="inlineStr">
        <is>
          <t>SKELLEFTEÅ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39054-2024</t>
        </is>
      </c>
      <c r="B3251" s="1" t="n">
        <v>45548</v>
      </c>
      <c r="C3251" s="1" t="n">
        <v>45807</v>
      </c>
      <c r="D3251" t="inlineStr">
        <is>
          <t>VÄSTERBOTTENS LÄN</t>
        </is>
      </c>
      <c r="E3251" t="inlineStr">
        <is>
          <t>SKELLEFTEÅ</t>
        </is>
      </c>
      <c r="F3251" t="inlineStr">
        <is>
          <t>Sveaskog</t>
        </is>
      </c>
      <c r="G3251" t="n">
        <v>12.3</v>
      </c>
      <c r="H3251" t="n">
        <v>0</v>
      </c>
      <c r="I3251" t="n">
        <v>0</v>
      </c>
      <c r="J3251" t="n">
        <v>0</v>
      </c>
      <c r="K3251" t="n">
        <v>0</v>
      </c>
      <c r="L3251" t="n">
        <v>0</v>
      </c>
      <c r="M3251" t="n">
        <v>0</v>
      </c>
      <c r="N3251" t="n">
        <v>0</v>
      </c>
      <c r="O3251" t="n">
        <v>0</v>
      </c>
      <c r="P3251" t="n">
        <v>0</v>
      </c>
      <c r="Q3251" t="n">
        <v>0</v>
      </c>
      <c r="R3251" s="2" t="inlineStr"/>
    </row>
    <row r="3252" ht="15" customHeight="1">
      <c r="A3252" t="inlineStr">
        <is>
          <t>A 39146-2024</t>
        </is>
      </c>
      <c r="B3252" s="1" t="n">
        <v>45548</v>
      </c>
      <c r="C3252" s="1" t="n">
        <v>45807</v>
      </c>
      <c r="D3252" t="inlineStr">
        <is>
          <t>VÄSTERBOTTENS LÄN</t>
        </is>
      </c>
      <c r="E3252" t="inlineStr">
        <is>
          <t>SKELLEFTEÅ</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39133-2024</t>
        </is>
      </c>
      <c r="B3253" s="1" t="n">
        <v>45548</v>
      </c>
      <c r="C3253" s="1" t="n">
        <v>45807</v>
      </c>
      <c r="D3253" t="inlineStr">
        <is>
          <t>VÄSTERBOTTENS LÄN</t>
        </is>
      </c>
      <c r="E3253" t="inlineStr">
        <is>
          <t>SKELLEFTEÅ</t>
        </is>
      </c>
      <c r="F3253" t="inlineStr">
        <is>
          <t>Sveaskog</t>
        </is>
      </c>
      <c r="G3253" t="n">
        <v>12.6</v>
      </c>
      <c r="H3253" t="n">
        <v>0</v>
      </c>
      <c r="I3253" t="n">
        <v>0</v>
      </c>
      <c r="J3253" t="n">
        <v>0</v>
      </c>
      <c r="K3253" t="n">
        <v>0</v>
      </c>
      <c r="L3253" t="n">
        <v>0</v>
      </c>
      <c r="M3253" t="n">
        <v>0</v>
      </c>
      <c r="N3253" t="n">
        <v>0</v>
      </c>
      <c r="O3253" t="n">
        <v>0</v>
      </c>
      <c r="P3253" t="n">
        <v>0</v>
      </c>
      <c r="Q3253" t="n">
        <v>0</v>
      </c>
      <c r="R3253" s="2" t="inlineStr"/>
    </row>
    <row r="3254" ht="15" customHeight="1">
      <c r="A3254" t="inlineStr">
        <is>
          <t>A 39371-2024</t>
        </is>
      </c>
      <c r="B3254" s="1" t="n">
        <v>45551</v>
      </c>
      <c r="C3254" s="1" t="n">
        <v>45807</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39444-2024</t>
        </is>
      </c>
      <c r="B3255" s="1" t="n">
        <v>45551</v>
      </c>
      <c r="C3255" s="1" t="n">
        <v>45807</v>
      </c>
      <c r="D3255" t="inlineStr">
        <is>
          <t>VÄSTERBOTTENS LÄN</t>
        </is>
      </c>
      <c r="E3255" t="inlineStr">
        <is>
          <t>SKELLEFTEÅ</t>
        </is>
      </c>
      <c r="F3255" t="inlineStr">
        <is>
          <t>Kommuner</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39465-2024</t>
        </is>
      </c>
      <c r="B3256" s="1" t="n">
        <v>45551</v>
      </c>
      <c r="C3256" s="1" t="n">
        <v>45807</v>
      </c>
      <c r="D3256" t="inlineStr">
        <is>
          <t>VÄSTERBOTTENS LÄN</t>
        </is>
      </c>
      <c r="E3256" t="inlineStr">
        <is>
          <t>SKELLEFTEÅ</t>
        </is>
      </c>
      <c r="F3256" t="inlineStr">
        <is>
          <t>Holmen skog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39464-2024</t>
        </is>
      </c>
      <c r="B3257" s="1" t="n">
        <v>45551</v>
      </c>
      <c r="C3257" s="1" t="n">
        <v>45807</v>
      </c>
      <c r="D3257" t="inlineStr">
        <is>
          <t>VÄSTERBOTTENS LÄN</t>
        </is>
      </c>
      <c r="E3257" t="inlineStr">
        <is>
          <t>SKELLEFTEÅ</t>
        </is>
      </c>
      <c r="F3257" t="inlineStr">
        <is>
          <t>Holmen skog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39468-2024</t>
        </is>
      </c>
      <c r="B3258" s="1" t="n">
        <v>45551</v>
      </c>
      <c r="C3258" s="1" t="n">
        <v>45807</v>
      </c>
      <c r="D3258" t="inlineStr">
        <is>
          <t>VÄSTERBOTTENS LÄN</t>
        </is>
      </c>
      <c r="E3258" t="inlineStr">
        <is>
          <t>SKELLEFTEÅ</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39690-2024</t>
        </is>
      </c>
      <c r="B3259" s="1" t="n">
        <v>45552</v>
      </c>
      <c r="C3259" s="1" t="n">
        <v>45807</v>
      </c>
      <c r="D3259" t="inlineStr">
        <is>
          <t>VÄSTERBOTTENS LÄN</t>
        </is>
      </c>
      <c r="E3259" t="inlineStr">
        <is>
          <t>SKELLEFTEÅ</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39765-2024</t>
        </is>
      </c>
      <c r="B3260" s="1" t="n">
        <v>45552</v>
      </c>
      <c r="C3260" s="1" t="n">
        <v>45807</v>
      </c>
      <c r="D3260" t="inlineStr">
        <is>
          <t>VÄSTERBOTTENS LÄN</t>
        </is>
      </c>
      <c r="E3260" t="inlineStr">
        <is>
          <t>SKELLEFTEÅ</t>
        </is>
      </c>
      <c r="F3260" t="inlineStr">
        <is>
          <t>Sveaskog</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39691-2024</t>
        </is>
      </c>
      <c r="B3261" s="1" t="n">
        <v>45552</v>
      </c>
      <c r="C3261" s="1" t="n">
        <v>45807</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39794-2024</t>
        </is>
      </c>
      <c r="B3262" s="1" t="n">
        <v>45553</v>
      </c>
      <c r="C3262" s="1" t="n">
        <v>45807</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39852-2024</t>
        </is>
      </c>
      <c r="B3263" s="1" t="n">
        <v>45553</v>
      </c>
      <c r="C3263" s="1" t="n">
        <v>45807</v>
      </c>
      <c r="D3263" t="inlineStr">
        <is>
          <t>VÄSTERBOTTENS LÄN</t>
        </is>
      </c>
      <c r="E3263" t="inlineStr">
        <is>
          <t>SKELLEFTEÅ</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39870-2024</t>
        </is>
      </c>
      <c r="B3264" s="1" t="n">
        <v>45553</v>
      </c>
      <c r="C3264" s="1" t="n">
        <v>45807</v>
      </c>
      <c r="D3264" t="inlineStr">
        <is>
          <t>VÄSTERBOTTENS LÄN</t>
        </is>
      </c>
      <c r="E3264" t="inlineStr">
        <is>
          <t>SKELLEFTEÅ</t>
        </is>
      </c>
      <c r="F3264" t="inlineStr">
        <is>
          <t>Holmen skog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40072-2024</t>
        </is>
      </c>
      <c r="B3265" s="1" t="n">
        <v>45554</v>
      </c>
      <c r="C3265" s="1" t="n">
        <v>45807</v>
      </c>
      <c r="D3265" t="inlineStr">
        <is>
          <t>VÄSTERBOTTENS LÄN</t>
        </is>
      </c>
      <c r="E3265" t="inlineStr">
        <is>
          <t>SKELLEFTEÅ</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40205-2024</t>
        </is>
      </c>
      <c r="B3266" s="1" t="n">
        <v>45554</v>
      </c>
      <c r="C3266" s="1" t="n">
        <v>45807</v>
      </c>
      <c r="D3266" t="inlineStr">
        <is>
          <t>VÄSTERBOTTENS LÄN</t>
        </is>
      </c>
      <c r="E3266" t="inlineStr">
        <is>
          <t>SKELLEFTEÅ</t>
        </is>
      </c>
      <c r="F3266" t="inlineStr">
        <is>
          <t>Holmen skog AB</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40118-2024</t>
        </is>
      </c>
      <c r="B3267" s="1" t="n">
        <v>45554</v>
      </c>
      <c r="C3267" s="1" t="n">
        <v>45807</v>
      </c>
      <c r="D3267" t="inlineStr">
        <is>
          <t>VÄSTERBOTTENS LÄN</t>
        </is>
      </c>
      <c r="E3267" t="inlineStr">
        <is>
          <t>SKELLEFTEÅ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40122-2024</t>
        </is>
      </c>
      <c r="B3268" s="1" t="n">
        <v>45554</v>
      </c>
      <c r="C3268" s="1" t="n">
        <v>45807</v>
      </c>
      <c r="D3268" t="inlineStr">
        <is>
          <t>VÄSTERBOTTENS LÄN</t>
        </is>
      </c>
      <c r="E3268" t="inlineStr">
        <is>
          <t>SKELLEFTEÅ</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40253-2024</t>
        </is>
      </c>
      <c r="B3269" s="1" t="n">
        <v>45554</v>
      </c>
      <c r="C3269" s="1" t="n">
        <v>45807</v>
      </c>
      <c r="D3269" t="inlineStr">
        <is>
          <t>VÄSTERBOTTENS LÄN</t>
        </is>
      </c>
      <c r="E3269" t="inlineStr">
        <is>
          <t>SKELLEFTEÅ</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40093-2024</t>
        </is>
      </c>
      <c r="B3270" s="1" t="n">
        <v>45554</v>
      </c>
      <c r="C3270" s="1" t="n">
        <v>45807</v>
      </c>
      <c r="D3270" t="inlineStr">
        <is>
          <t>VÄSTERBOTTENS LÄN</t>
        </is>
      </c>
      <c r="E3270" t="inlineStr">
        <is>
          <t>SKELLEFTEÅ</t>
        </is>
      </c>
      <c r="F3270" t="inlineStr">
        <is>
          <t>Holmen skog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40198-2024</t>
        </is>
      </c>
      <c r="B3271" s="1" t="n">
        <v>45554</v>
      </c>
      <c r="C3271" s="1" t="n">
        <v>45807</v>
      </c>
      <c r="D3271" t="inlineStr">
        <is>
          <t>VÄSTERBOTTENS LÄN</t>
        </is>
      </c>
      <c r="E3271" t="inlineStr">
        <is>
          <t>SKELLEFTEÅ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40248-2024</t>
        </is>
      </c>
      <c r="B3272" s="1" t="n">
        <v>45554</v>
      </c>
      <c r="C3272" s="1" t="n">
        <v>45807</v>
      </c>
      <c r="D3272" t="inlineStr">
        <is>
          <t>VÄSTERBOTTENS LÄN</t>
        </is>
      </c>
      <c r="E3272" t="inlineStr">
        <is>
          <t>SKELLEFTEÅ</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40183-2024</t>
        </is>
      </c>
      <c r="B3273" s="1" t="n">
        <v>45554</v>
      </c>
      <c r="C3273" s="1" t="n">
        <v>45807</v>
      </c>
      <c r="D3273" t="inlineStr">
        <is>
          <t>VÄSTERBOTTENS LÄN</t>
        </is>
      </c>
      <c r="E3273" t="inlineStr">
        <is>
          <t>SKELLEFTEÅ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40347-2024</t>
        </is>
      </c>
      <c r="B3274" s="1" t="n">
        <v>45555</v>
      </c>
      <c r="C3274" s="1" t="n">
        <v>45807</v>
      </c>
      <c r="D3274" t="inlineStr">
        <is>
          <t>VÄSTERBOTTENS LÄN</t>
        </is>
      </c>
      <c r="E3274" t="inlineStr">
        <is>
          <t>SKELLEFTEÅ</t>
        </is>
      </c>
      <c r="F3274" t="inlineStr">
        <is>
          <t>Kommuner</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40511-2024</t>
        </is>
      </c>
      <c r="B3275" s="1" t="n">
        <v>45555</v>
      </c>
      <c r="C3275" s="1" t="n">
        <v>45807</v>
      </c>
      <c r="D3275" t="inlineStr">
        <is>
          <t>VÄSTERBOTTENS LÄN</t>
        </is>
      </c>
      <c r="E3275" t="inlineStr">
        <is>
          <t>SKELLEFTEÅ</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40653-2024</t>
        </is>
      </c>
      <c r="B3276" s="1" t="n">
        <v>45558</v>
      </c>
      <c r="C3276" s="1" t="n">
        <v>45807</v>
      </c>
      <c r="D3276" t="inlineStr">
        <is>
          <t>VÄSTERBOTTENS LÄN</t>
        </is>
      </c>
      <c r="E3276" t="inlineStr">
        <is>
          <t>SKELLEFTEÅ</t>
        </is>
      </c>
      <c r="G3276" t="n">
        <v>12.8</v>
      </c>
      <c r="H3276" t="n">
        <v>0</v>
      </c>
      <c r="I3276" t="n">
        <v>0</v>
      </c>
      <c r="J3276" t="n">
        <v>0</v>
      </c>
      <c r="K3276" t="n">
        <v>0</v>
      </c>
      <c r="L3276" t="n">
        <v>0</v>
      </c>
      <c r="M3276" t="n">
        <v>0</v>
      </c>
      <c r="N3276" t="n">
        <v>0</v>
      </c>
      <c r="O3276" t="n">
        <v>0</v>
      </c>
      <c r="P3276" t="n">
        <v>0</v>
      </c>
      <c r="Q3276" t="n">
        <v>0</v>
      </c>
      <c r="R3276" s="2" t="inlineStr"/>
    </row>
    <row r="3277" ht="15" customHeight="1">
      <c r="A3277" t="inlineStr">
        <is>
          <t>A 40787-2024</t>
        </is>
      </c>
      <c r="B3277" s="1" t="n">
        <v>45558</v>
      </c>
      <c r="C3277" s="1" t="n">
        <v>45807</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40800-2024</t>
        </is>
      </c>
      <c r="B3278" s="1" t="n">
        <v>45558</v>
      </c>
      <c r="C3278" s="1" t="n">
        <v>45807</v>
      </c>
      <c r="D3278" t="inlineStr">
        <is>
          <t>VÄSTERBOTTENS LÄN</t>
        </is>
      </c>
      <c r="E3278" t="inlineStr">
        <is>
          <t>SKELLEFTEÅ</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40857-2024</t>
        </is>
      </c>
      <c r="B3279" s="1" t="n">
        <v>45558</v>
      </c>
      <c r="C3279" s="1" t="n">
        <v>45807</v>
      </c>
      <c r="D3279" t="inlineStr">
        <is>
          <t>VÄSTERBOTTENS LÄN</t>
        </is>
      </c>
      <c r="E3279" t="inlineStr">
        <is>
          <t>SKELLEFTEÅ</t>
        </is>
      </c>
      <c r="F3279" t="inlineStr">
        <is>
          <t>Holmen skog AB</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40967-2024</t>
        </is>
      </c>
      <c r="B3280" s="1" t="n">
        <v>45558</v>
      </c>
      <c r="C3280" s="1" t="n">
        <v>45807</v>
      </c>
      <c r="D3280" t="inlineStr">
        <is>
          <t>VÄSTERBOTTENS LÄN</t>
        </is>
      </c>
      <c r="E3280" t="inlineStr">
        <is>
          <t>SKELLEFTEÅ</t>
        </is>
      </c>
      <c r="F3280" t="inlineStr">
        <is>
          <t>Sveaskog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40966-2024</t>
        </is>
      </c>
      <c r="B3281" s="1" t="n">
        <v>45558</v>
      </c>
      <c r="C3281" s="1" t="n">
        <v>45807</v>
      </c>
      <c r="D3281" t="inlineStr">
        <is>
          <t>VÄSTERBOTTENS LÄN</t>
        </is>
      </c>
      <c r="E3281" t="inlineStr">
        <is>
          <t>SKELLEFTEÅ</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40798-2024</t>
        </is>
      </c>
      <c r="B3282" s="1" t="n">
        <v>45558</v>
      </c>
      <c r="C3282" s="1" t="n">
        <v>45807</v>
      </c>
      <c r="D3282" t="inlineStr">
        <is>
          <t>VÄSTERBOTTENS LÄN</t>
        </is>
      </c>
      <c r="E3282" t="inlineStr">
        <is>
          <t>SKELLEFTEÅ</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40765-2024</t>
        </is>
      </c>
      <c r="B3283" s="1" t="n">
        <v>45558</v>
      </c>
      <c r="C3283" s="1" t="n">
        <v>45807</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40797-2024</t>
        </is>
      </c>
      <c r="B3284" s="1" t="n">
        <v>45558</v>
      </c>
      <c r="C3284" s="1" t="n">
        <v>45807</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40927-2024</t>
        </is>
      </c>
      <c r="B3285" s="1" t="n">
        <v>45558</v>
      </c>
      <c r="C3285" s="1" t="n">
        <v>45807</v>
      </c>
      <c r="D3285" t="inlineStr">
        <is>
          <t>VÄSTERBOTTENS LÄN</t>
        </is>
      </c>
      <c r="E3285" t="inlineStr">
        <is>
          <t>SKELLEFTEÅ</t>
        </is>
      </c>
      <c r="F3285" t="inlineStr">
        <is>
          <t>Holmen skog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41032-2024</t>
        </is>
      </c>
      <c r="B3286" s="1" t="n">
        <v>45558</v>
      </c>
      <c r="C3286" s="1" t="n">
        <v>45807</v>
      </c>
      <c r="D3286" t="inlineStr">
        <is>
          <t>VÄSTERBOTTENS LÄN</t>
        </is>
      </c>
      <c r="E3286" t="inlineStr">
        <is>
          <t>SKELLEFTEÅ</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41038-2024</t>
        </is>
      </c>
      <c r="B3287" s="1" t="n">
        <v>45559</v>
      </c>
      <c r="C3287" s="1" t="n">
        <v>45807</v>
      </c>
      <c r="D3287" t="inlineStr">
        <is>
          <t>VÄSTERBOTTENS LÄN</t>
        </is>
      </c>
      <c r="E3287" t="inlineStr">
        <is>
          <t>SKELLEFTEÅ</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41056-2024</t>
        </is>
      </c>
      <c r="B3288" s="1" t="n">
        <v>45559</v>
      </c>
      <c r="C3288" s="1" t="n">
        <v>45807</v>
      </c>
      <c r="D3288" t="inlineStr">
        <is>
          <t>VÄSTERBOTTENS LÄN</t>
        </is>
      </c>
      <c r="E3288" t="inlineStr">
        <is>
          <t>SKELLEFTEÅ</t>
        </is>
      </c>
      <c r="F3288" t="inlineStr">
        <is>
          <t>Holmen skog AB</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41064-2024</t>
        </is>
      </c>
      <c r="B3289" s="1" t="n">
        <v>45559</v>
      </c>
      <c r="C3289" s="1" t="n">
        <v>45807</v>
      </c>
      <c r="D3289" t="inlineStr">
        <is>
          <t>VÄSTERBOTTENS LÄN</t>
        </is>
      </c>
      <c r="E3289" t="inlineStr">
        <is>
          <t>SKELLEFTEÅ</t>
        </is>
      </c>
      <c r="F3289" t="inlineStr">
        <is>
          <t>Holmen skog AB</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41072-2024</t>
        </is>
      </c>
      <c r="B3290" s="1" t="n">
        <v>45559</v>
      </c>
      <c r="C3290" s="1" t="n">
        <v>45807</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41112-2024</t>
        </is>
      </c>
      <c r="B3291" s="1" t="n">
        <v>45559</v>
      </c>
      <c r="C3291" s="1" t="n">
        <v>45807</v>
      </c>
      <c r="D3291" t="inlineStr">
        <is>
          <t>VÄSTERBOTTENS LÄN</t>
        </is>
      </c>
      <c r="E3291" t="inlineStr">
        <is>
          <t>SKELLEFTEÅ</t>
        </is>
      </c>
      <c r="F3291" t="inlineStr">
        <is>
          <t>Holmen skog AB</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41133-2024</t>
        </is>
      </c>
      <c r="B3292" s="1" t="n">
        <v>45559</v>
      </c>
      <c r="C3292" s="1" t="n">
        <v>45807</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41231-2024</t>
        </is>
      </c>
      <c r="B3293" s="1" t="n">
        <v>45559</v>
      </c>
      <c r="C3293" s="1" t="n">
        <v>45807</v>
      </c>
      <c r="D3293" t="inlineStr">
        <is>
          <t>VÄSTERBOTTENS LÄN</t>
        </is>
      </c>
      <c r="E3293" t="inlineStr">
        <is>
          <t>SKELLEFTEÅ</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41190-2024</t>
        </is>
      </c>
      <c r="B3294" s="1" t="n">
        <v>45559</v>
      </c>
      <c r="C3294" s="1" t="n">
        <v>45807</v>
      </c>
      <c r="D3294" t="inlineStr">
        <is>
          <t>VÄSTERBOTTENS LÄN</t>
        </is>
      </c>
      <c r="E3294" t="inlineStr">
        <is>
          <t>SKELLEFTEÅ</t>
        </is>
      </c>
      <c r="F3294" t="inlineStr">
        <is>
          <t>Holmen skog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41198-2024</t>
        </is>
      </c>
      <c r="B3295" s="1" t="n">
        <v>45559</v>
      </c>
      <c r="C3295" s="1" t="n">
        <v>45807</v>
      </c>
      <c r="D3295" t="inlineStr">
        <is>
          <t>VÄSTERBOTTENS LÄN</t>
        </is>
      </c>
      <c r="E3295" t="inlineStr">
        <is>
          <t>SKELLEFTEÅ</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41226-2024</t>
        </is>
      </c>
      <c r="B3296" s="1" t="n">
        <v>45559</v>
      </c>
      <c r="C3296" s="1" t="n">
        <v>45807</v>
      </c>
      <c r="D3296" t="inlineStr">
        <is>
          <t>VÄSTERBOTTENS LÄN</t>
        </is>
      </c>
      <c r="E3296" t="inlineStr">
        <is>
          <t>SKELLEFTEÅ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41304-2024</t>
        </is>
      </c>
      <c r="B3297" s="1" t="n">
        <v>45559</v>
      </c>
      <c r="C3297" s="1" t="n">
        <v>45807</v>
      </c>
      <c r="D3297" t="inlineStr">
        <is>
          <t>VÄSTERBOTTENS LÄN</t>
        </is>
      </c>
      <c r="E3297" t="inlineStr">
        <is>
          <t>SKELLEFTEÅ</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41320-2024</t>
        </is>
      </c>
      <c r="B3298" s="1" t="n">
        <v>45559</v>
      </c>
      <c r="C3298" s="1" t="n">
        <v>45807</v>
      </c>
      <c r="D3298" t="inlineStr">
        <is>
          <t>VÄSTERBOTTENS LÄN</t>
        </is>
      </c>
      <c r="E3298" t="inlineStr">
        <is>
          <t>SKELLEFTEÅ</t>
        </is>
      </c>
      <c r="G3298" t="n">
        <v>24.7</v>
      </c>
      <c r="H3298" t="n">
        <v>0</v>
      </c>
      <c r="I3298" t="n">
        <v>0</v>
      </c>
      <c r="J3298" t="n">
        <v>0</v>
      </c>
      <c r="K3298" t="n">
        <v>0</v>
      </c>
      <c r="L3298" t="n">
        <v>0</v>
      </c>
      <c r="M3298" t="n">
        <v>0</v>
      </c>
      <c r="N3298" t="n">
        <v>0</v>
      </c>
      <c r="O3298" t="n">
        <v>0</v>
      </c>
      <c r="P3298" t="n">
        <v>0</v>
      </c>
      <c r="Q3298" t="n">
        <v>0</v>
      </c>
      <c r="R3298" s="2" t="inlineStr"/>
    </row>
    <row r="3299" ht="15" customHeight="1">
      <c r="A3299" t="inlineStr">
        <is>
          <t>A 41245-2024</t>
        </is>
      </c>
      <c r="B3299" s="1" t="n">
        <v>45559</v>
      </c>
      <c r="C3299" s="1" t="n">
        <v>45807</v>
      </c>
      <c r="D3299" t="inlineStr">
        <is>
          <t>VÄSTERBOTTENS LÄN</t>
        </is>
      </c>
      <c r="E3299" t="inlineStr">
        <is>
          <t>SKELLEFTEÅ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41297-2024</t>
        </is>
      </c>
      <c r="B3300" s="1" t="n">
        <v>45559</v>
      </c>
      <c r="C3300" s="1" t="n">
        <v>45807</v>
      </c>
      <c r="D3300" t="inlineStr">
        <is>
          <t>VÄSTERBOTTENS LÄN</t>
        </is>
      </c>
      <c r="E3300" t="inlineStr">
        <is>
          <t>SKELLEFTEÅ</t>
        </is>
      </c>
      <c r="F3300" t="inlineStr">
        <is>
          <t>Holmen skog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41319-2024</t>
        </is>
      </c>
      <c r="B3301" s="1" t="n">
        <v>45559</v>
      </c>
      <c r="C3301" s="1" t="n">
        <v>45807</v>
      </c>
      <c r="D3301" t="inlineStr">
        <is>
          <t>VÄSTERBOTTENS LÄN</t>
        </is>
      </c>
      <c r="E3301" t="inlineStr">
        <is>
          <t>SKELLEFTEÅ</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41033-2024</t>
        </is>
      </c>
      <c r="B3302" s="1" t="n">
        <v>45559</v>
      </c>
      <c r="C3302" s="1" t="n">
        <v>45807</v>
      </c>
      <c r="D3302" t="inlineStr">
        <is>
          <t>VÄSTERBOTTENS LÄN</t>
        </is>
      </c>
      <c r="E3302" t="inlineStr">
        <is>
          <t>SKELLEFTEÅ</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41037-2024</t>
        </is>
      </c>
      <c r="B3303" s="1" t="n">
        <v>45559</v>
      </c>
      <c r="C3303" s="1" t="n">
        <v>45807</v>
      </c>
      <c r="D3303" t="inlineStr">
        <is>
          <t>VÄSTERBOTTENS LÄN</t>
        </is>
      </c>
      <c r="E3303" t="inlineStr">
        <is>
          <t>SKELLEFTEÅ</t>
        </is>
      </c>
      <c r="F3303" t="inlineStr">
        <is>
          <t>Sveaskog</t>
        </is>
      </c>
      <c r="G3303" t="n">
        <v>22.5</v>
      </c>
      <c r="H3303" t="n">
        <v>0</v>
      </c>
      <c r="I3303" t="n">
        <v>0</v>
      </c>
      <c r="J3303" t="n">
        <v>0</v>
      </c>
      <c r="K3303" t="n">
        <v>0</v>
      </c>
      <c r="L3303" t="n">
        <v>0</v>
      </c>
      <c r="M3303" t="n">
        <v>0</v>
      </c>
      <c r="N3303" t="n">
        <v>0</v>
      </c>
      <c r="O3303" t="n">
        <v>0</v>
      </c>
      <c r="P3303" t="n">
        <v>0</v>
      </c>
      <c r="Q3303" t="n">
        <v>0</v>
      </c>
      <c r="R3303" s="2" t="inlineStr"/>
    </row>
    <row r="3304" ht="15" customHeight="1">
      <c r="A3304" t="inlineStr">
        <is>
          <t>A 41118-2024</t>
        </is>
      </c>
      <c r="B3304" s="1" t="n">
        <v>45559</v>
      </c>
      <c r="C3304" s="1" t="n">
        <v>45807</v>
      </c>
      <c r="D3304" t="inlineStr">
        <is>
          <t>VÄSTERBOTTENS LÄN</t>
        </is>
      </c>
      <c r="E3304" t="inlineStr">
        <is>
          <t>SKELLEFTEÅ</t>
        </is>
      </c>
      <c r="F3304" t="inlineStr">
        <is>
          <t>Holmen skog AB</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41155-2024</t>
        </is>
      </c>
      <c r="B3305" s="1" t="n">
        <v>45559</v>
      </c>
      <c r="C3305" s="1" t="n">
        <v>45807</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41242-2024</t>
        </is>
      </c>
      <c r="B3306" s="1" t="n">
        <v>45559</v>
      </c>
      <c r="C3306" s="1" t="n">
        <v>45807</v>
      </c>
      <c r="D3306" t="inlineStr">
        <is>
          <t>VÄSTERBOTTENS LÄN</t>
        </is>
      </c>
      <c r="E3306" t="inlineStr">
        <is>
          <t>SKELLEFTEÅ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41669-2024</t>
        </is>
      </c>
      <c r="B3307" s="1" t="n">
        <v>45560</v>
      </c>
      <c r="C3307" s="1" t="n">
        <v>45807</v>
      </c>
      <c r="D3307" t="inlineStr">
        <is>
          <t>VÄSTERBOTTENS LÄN</t>
        </is>
      </c>
      <c r="E3307" t="inlineStr">
        <is>
          <t>SKELLEFTEÅ</t>
        </is>
      </c>
      <c r="F3307" t="inlineStr">
        <is>
          <t>Sveaskog</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41642-2024</t>
        </is>
      </c>
      <c r="B3308" s="1" t="n">
        <v>45560</v>
      </c>
      <c r="C3308" s="1" t="n">
        <v>45807</v>
      </c>
      <c r="D3308" t="inlineStr">
        <is>
          <t>VÄSTERBOTTENS LÄN</t>
        </is>
      </c>
      <c r="E3308" t="inlineStr">
        <is>
          <t>SKELLEFTEÅ</t>
        </is>
      </c>
      <c r="F3308" t="inlineStr">
        <is>
          <t>Holmen skog AB</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41582-2024</t>
        </is>
      </c>
      <c r="B3309" s="1" t="n">
        <v>45560</v>
      </c>
      <c r="C3309" s="1" t="n">
        <v>45807</v>
      </c>
      <c r="D3309" t="inlineStr">
        <is>
          <t>VÄSTERBOTTENS LÄN</t>
        </is>
      </c>
      <c r="E3309" t="inlineStr">
        <is>
          <t>SKELLEFTEÅ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41710-2024</t>
        </is>
      </c>
      <c r="B3310" s="1" t="n">
        <v>45560</v>
      </c>
      <c r="C3310" s="1" t="n">
        <v>45807</v>
      </c>
      <c r="D3310" t="inlineStr">
        <is>
          <t>VÄSTERBOTTENS LÄN</t>
        </is>
      </c>
      <c r="E3310" t="inlineStr">
        <is>
          <t>SKELLEFTEÅ</t>
        </is>
      </c>
      <c r="F3310" t="inlineStr">
        <is>
          <t>Holmen skog AB</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41794-2024</t>
        </is>
      </c>
      <c r="B3311" s="1" t="n">
        <v>45561</v>
      </c>
      <c r="C3311" s="1" t="n">
        <v>45807</v>
      </c>
      <c r="D3311" t="inlineStr">
        <is>
          <t>VÄSTERBOTTENS LÄN</t>
        </is>
      </c>
      <c r="E3311" t="inlineStr">
        <is>
          <t>SKELLEFTEÅ</t>
        </is>
      </c>
      <c r="F3311" t="inlineStr">
        <is>
          <t>Kommuner</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42249-2024</t>
        </is>
      </c>
      <c r="B3312" s="1" t="n">
        <v>45562</v>
      </c>
      <c r="C3312" s="1" t="n">
        <v>45807</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42297-2024</t>
        </is>
      </c>
      <c r="B3313" s="1" t="n">
        <v>45562</v>
      </c>
      <c r="C3313" s="1" t="n">
        <v>45807</v>
      </c>
      <c r="D3313" t="inlineStr">
        <is>
          <t>VÄSTERBOTTENS LÄN</t>
        </is>
      </c>
      <c r="E3313" t="inlineStr">
        <is>
          <t>SKELLEFTEÅ</t>
        </is>
      </c>
      <c r="G3313" t="n">
        <v>14.4</v>
      </c>
      <c r="H3313" t="n">
        <v>0</v>
      </c>
      <c r="I3313" t="n">
        <v>0</v>
      </c>
      <c r="J3313" t="n">
        <v>0</v>
      </c>
      <c r="K3313" t="n">
        <v>0</v>
      </c>
      <c r="L3313" t="n">
        <v>0</v>
      </c>
      <c r="M3313" t="n">
        <v>0</v>
      </c>
      <c r="N3313" t="n">
        <v>0</v>
      </c>
      <c r="O3313" t="n">
        <v>0</v>
      </c>
      <c r="P3313" t="n">
        <v>0</v>
      </c>
      <c r="Q3313" t="n">
        <v>0</v>
      </c>
      <c r="R3313" s="2" t="inlineStr"/>
    </row>
    <row r="3314" ht="15" customHeight="1">
      <c r="A3314" t="inlineStr">
        <is>
          <t>A 42223-2024</t>
        </is>
      </c>
      <c r="B3314" s="1" t="n">
        <v>45562</v>
      </c>
      <c r="C3314" s="1" t="n">
        <v>45807</v>
      </c>
      <c r="D3314" t="inlineStr">
        <is>
          <t>VÄSTERBOTTENS LÄN</t>
        </is>
      </c>
      <c r="E3314" t="inlineStr">
        <is>
          <t>SKELLEFTEÅ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42216-2024</t>
        </is>
      </c>
      <c r="B3315" s="1" t="n">
        <v>45562</v>
      </c>
      <c r="C3315" s="1" t="n">
        <v>45807</v>
      </c>
      <c r="D3315" t="inlineStr">
        <is>
          <t>VÄSTERBOTTENS LÄN</t>
        </is>
      </c>
      <c r="E3315" t="inlineStr">
        <is>
          <t>SKELLEFTEÅ</t>
        </is>
      </c>
      <c r="F3315" t="inlineStr">
        <is>
          <t>Holmen skog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42248-2024</t>
        </is>
      </c>
      <c r="B3316" s="1" t="n">
        <v>45562</v>
      </c>
      <c r="C3316" s="1" t="n">
        <v>45807</v>
      </c>
      <c r="D3316" t="inlineStr">
        <is>
          <t>VÄSTERBOTTENS LÄN</t>
        </is>
      </c>
      <c r="E3316" t="inlineStr">
        <is>
          <t>SKELLEFTEÅ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42508-2024</t>
        </is>
      </c>
      <c r="B3317" s="1" t="n">
        <v>45565</v>
      </c>
      <c r="C3317" s="1" t="n">
        <v>45807</v>
      </c>
      <c r="D3317" t="inlineStr">
        <is>
          <t>VÄSTERBOTTENS LÄN</t>
        </is>
      </c>
      <c r="E3317" t="inlineStr">
        <is>
          <t>SKELLEFTEÅ</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42610-2024</t>
        </is>
      </c>
      <c r="B3318" s="1" t="n">
        <v>45565</v>
      </c>
      <c r="C3318" s="1" t="n">
        <v>45807</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42507-2024</t>
        </is>
      </c>
      <c r="B3319" s="1" t="n">
        <v>45565</v>
      </c>
      <c r="C3319" s="1" t="n">
        <v>45807</v>
      </c>
      <c r="D3319" t="inlineStr">
        <is>
          <t>VÄSTERBOTTENS LÄN</t>
        </is>
      </c>
      <c r="E3319" t="inlineStr">
        <is>
          <t>SKELLEFTEÅ</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42560-2024</t>
        </is>
      </c>
      <c r="B3320" s="1" t="n">
        <v>45565</v>
      </c>
      <c r="C3320" s="1" t="n">
        <v>45807</v>
      </c>
      <c r="D3320" t="inlineStr">
        <is>
          <t>VÄSTERBOTTENS LÄN</t>
        </is>
      </c>
      <c r="E3320" t="inlineStr">
        <is>
          <t>SKELLEFTEÅ</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42548-2024</t>
        </is>
      </c>
      <c r="B3321" s="1" t="n">
        <v>45565</v>
      </c>
      <c r="C3321" s="1" t="n">
        <v>45807</v>
      </c>
      <c r="D3321" t="inlineStr">
        <is>
          <t>VÄSTERBOTTENS LÄN</t>
        </is>
      </c>
      <c r="E3321" t="inlineStr">
        <is>
          <t>SKELLEFTEÅ</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42599-2024</t>
        </is>
      </c>
      <c r="B3322" s="1" t="n">
        <v>45565</v>
      </c>
      <c r="C3322" s="1" t="n">
        <v>45807</v>
      </c>
      <c r="D3322" t="inlineStr">
        <is>
          <t>VÄSTERBOTTENS LÄN</t>
        </is>
      </c>
      <c r="E3322" t="inlineStr">
        <is>
          <t>SKELLEFTEÅ</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42559-2024</t>
        </is>
      </c>
      <c r="B3323" s="1" t="n">
        <v>45565</v>
      </c>
      <c r="C3323" s="1" t="n">
        <v>45807</v>
      </c>
      <c r="D3323" t="inlineStr">
        <is>
          <t>VÄSTERBOTTENS LÄN</t>
        </is>
      </c>
      <c r="E3323" t="inlineStr">
        <is>
          <t>SKELLEFTEÅ</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42877-2024</t>
        </is>
      </c>
      <c r="B3324" s="1" t="n">
        <v>45566</v>
      </c>
      <c r="C3324" s="1" t="n">
        <v>45807</v>
      </c>
      <c r="D3324" t="inlineStr">
        <is>
          <t>VÄSTERBOTTENS LÄN</t>
        </is>
      </c>
      <c r="E3324" t="inlineStr">
        <is>
          <t>SKELLEFTEÅ</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42861-2024</t>
        </is>
      </c>
      <c r="B3325" s="1" t="n">
        <v>45566</v>
      </c>
      <c r="C3325" s="1" t="n">
        <v>45807</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42849-2024</t>
        </is>
      </c>
      <c r="B3326" s="1" t="n">
        <v>45566</v>
      </c>
      <c r="C3326" s="1" t="n">
        <v>45807</v>
      </c>
      <c r="D3326" t="inlineStr">
        <is>
          <t>VÄSTERBOTTENS LÄN</t>
        </is>
      </c>
      <c r="E3326" t="inlineStr">
        <is>
          <t>SKELLEFTEÅ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42821-2024</t>
        </is>
      </c>
      <c r="B3327" s="1" t="n">
        <v>45566</v>
      </c>
      <c r="C3327" s="1" t="n">
        <v>45807</v>
      </c>
      <c r="D3327" t="inlineStr">
        <is>
          <t>VÄSTERBOTTENS LÄN</t>
        </is>
      </c>
      <c r="E3327" t="inlineStr">
        <is>
          <t>SKELLEFTEÅ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42851-2024</t>
        </is>
      </c>
      <c r="B3328" s="1" t="n">
        <v>45566</v>
      </c>
      <c r="C3328" s="1" t="n">
        <v>45807</v>
      </c>
      <c r="D3328" t="inlineStr">
        <is>
          <t>VÄSTERBOTTENS LÄN</t>
        </is>
      </c>
      <c r="E3328" t="inlineStr">
        <is>
          <t>SKELLEFTEÅ</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42819-2024</t>
        </is>
      </c>
      <c r="B3329" s="1" t="n">
        <v>45566</v>
      </c>
      <c r="C3329" s="1" t="n">
        <v>45807</v>
      </c>
      <c r="D3329" t="inlineStr">
        <is>
          <t>VÄSTERBOTTENS LÄN</t>
        </is>
      </c>
      <c r="E3329" t="inlineStr">
        <is>
          <t>SKELLEFTEÅ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42852-2024</t>
        </is>
      </c>
      <c r="B3330" s="1" t="n">
        <v>45566</v>
      </c>
      <c r="C3330" s="1" t="n">
        <v>45807</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42848-2024</t>
        </is>
      </c>
      <c r="B3331" s="1" t="n">
        <v>45566</v>
      </c>
      <c r="C3331" s="1" t="n">
        <v>45807</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42820-2024</t>
        </is>
      </c>
      <c r="B3332" s="1" t="n">
        <v>45566</v>
      </c>
      <c r="C3332" s="1" t="n">
        <v>45807</v>
      </c>
      <c r="D3332" t="inlineStr">
        <is>
          <t>VÄSTERBOTTENS LÄN</t>
        </is>
      </c>
      <c r="E3332" t="inlineStr">
        <is>
          <t>SKELLEFTEÅ</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42758-2024</t>
        </is>
      </c>
      <c r="B3333" s="1" t="n">
        <v>45566</v>
      </c>
      <c r="C3333" s="1" t="n">
        <v>45807</v>
      </c>
      <c r="D3333" t="inlineStr">
        <is>
          <t>VÄSTERBOTTENS LÄN</t>
        </is>
      </c>
      <c r="E3333" t="inlineStr">
        <is>
          <t>SKELLEFTEÅ</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42791-2024</t>
        </is>
      </c>
      <c r="B3334" s="1" t="n">
        <v>45566</v>
      </c>
      <c r="C3334" s="1" t="n">
        <v>45807</v>
      </c>
      <c r="D3334" t="inlineStr">
        <is>
          <t>VÄSTERBOTTENS LÄN</t>
        </is>
      </c>
      <c r="E3334" t="inlineStr">
        <is>
          <t>SKELLEFTEÅ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42764-2024</t>
        </is>
      </c>
      <c r="B3335" s="1" t="n">
        <v>45566</v>
      </c>
      <c r="C3335" s="1" t="n">
        <v>45807</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42996-2024</t>
        </is>
      </c>
      <c r="B3336" s="1" t="n">
        <v>45567</v>
      </c>
      <c r="C3336" s="1" t="n">
        <v>45807</v>
      </c>
      <c r="D3336" t="inlineStr">
        <is>
          <t>VÄSTERBOTTENS LÄN</t>
        </is>
      </c>
      <c r="E3336" t="inlineStr">
        <is>
          <t>SKELLEFTEÅ</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42993-2024</t>
        </is>
      </c>
      <c r="B3337" s="1" t="n">
        <v>45567</v>
      </c>
      <c r="C3337" s="1" t="n">
        <v>45807</v>
      </c>
      <c r="D3337" t="inlineStr">
        <is>
          <t>VÄSTERBOTTENS LÄN</t>
        </is>
      </c>
      <c r="E3337" t="inlineStr">
        <is>
          <t>SKELLEFTEÅ</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42995-2024</t>
        </is>
      </c>
      <c r="B3338" s="1" t="n">
        <v>45567</v>
      </c>
      <c r="C3338" s="1" t="n">
        <v>45807</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43204-2024</t>
        </is>
      </c>
      <c r="B3339" s="1" t="n">
        <v>45567</v>
      </c>
      <c r="C3339" s="1" t="n">
        <v>45807</v>
      </c>
      <c r="D3339" t="inlineStr">
        <is>
          <t>VÄSTERBOTTENS LÄN</t>
        </is>
      </c>
      <c r="E3339" t="inlineStr">
        <is>
          <t>SKELLEFTEÅ</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43434-2024</t>
        </is>
      </c>
      <c r="B3340" s="1" t="n">
        <v>45568</v>
      </c>
      <c r="C3340" s="1" t="n">
        <v>45807</v>
      </c>
      <c r="D3340" t="inlineStr">
        <is>
          <t>VÄSTERBOTTENS LÄN</t>
        </is>
      </c>
      <c r="E3340" t="inlineStr">
        <is>
          <t>SKELLEFTEÅ</t>
        </is>
      </c>
      <c r="F3340" t="inlineStr">
        <is>
          <t>Holmen skog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43714-2024</t>
        </is>
      </c>
      <c r="B3341" s="1" t="n">
        <v>45569</v>
      </c>
      <c r="C3341" s="1" t="n">
        <v>45807</v>
      </c>
      <c r="D3341" t="inlineStr">
        <is>
          <t>VÄSTERBOTTENS LÄN</t>
        </is>
      </c>
      <c r="E3341" t="inlineStr">
        <is>
          <t>SKELLEFTEÅ</t>
        </is>
      </c>
      <c r="G3341" t="n">
        <v>12.2</v>
      </c>
      <c r="H3341" t="n">
        <v>0</v>
      </c>
      <c r="I3341" t="n">
        <v>0</v>
      </c>
      <c r="J3341" t="n">
        <v>0</v>
      </c>
      <c r="K3341" t="n">
        <v>0</v>
      </c>
      <c r="L3341" t="n">
        <v>0</v>
      </c>
      <c r="M3341" t="n">
        <v>0</v>
      </c>
      <c r="N3341" t="n">
        <v>0</v>
      </c>
      <c r="O3341" t="n">
        <v>0</v>
      </c>
      <c r="P3341" t="n">
        <v>0</v>
      </c>
      <c r="Q3341" t="n">
        <v>0</v>
      </c>
      <c r="R3341" s="2" t="inlineStr"/>
    </row>
    <row r="3342" ht="15" customHeight="1">
      <c r="A3342" t="inlineStr">
        <is>
          <t>A 43726-2024</t>
        </is>
      </c>
      <c r="B3342" s="1" t="n">
        <v>45569</v>
      </c>
      <c r="C3342" s="1" t="n">
        <v>45807</v>
      </c>
      <c r="D3342" t="inlineStr">
        <is>
          <t>VÄSTERBOTTENS LÄN</t>
        </is>
      </c>
      <c r="E3342" t="inlineStr">
        <is>
          <t>SKELLEFTEÅ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43701-2024</t>
        </is>
      </c>
      <c r="B3343" s="1" t="n">
        <v>45569</v>
      </c>
      <c r="C3343" s="1" t="n">
        <v>45807</v>
      </c>
      <c r="D3343" t="inlineStr">
        <is>
          <t>VÄSTERBOTTENS LÄN</t>
        </is>
      </c>
      <c r="E3343" t="inlineStr">
        <is>
          <t>SKELLEFTEÅ</t>
        </is>
      </c>
      <c r="F3343" t="inlineStr">
        <is>
          <t>Kommuner</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43705-2024</t>
        </is>
      </c>
      <c r="B3344" s="1" t="n">
        <v>45569</v>
      </c>
      <c r="C3344" s="1" t="n">
        <v>45807</v>
      </c>
      <c r="D3344" t="inlineStr">
        <is>
          <t>VÄSTERBOTTENS LÄN</t>
        </is>
      </c>
      <c r="E3344" t="inlineStr">
        <is>
          <t>SKELLEFTEÅ</t>
        </is>
      </c>
      <c r="F3344" t="inlineStr">
        <is>
          <t>Holmen skog AB</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43732-2024</t>
        </is>
      </c>
      <c r="B3345" s="1" t="n">
        <v>45569</v>
      </c>
      <c r="C3345" s="1" t="n">
        <v>45807</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43748-2024</t>
        </is>
      </c>
      <c r="B3346" s="1" t="n">
        <v>45569</v>
      </c>
      <c r="C3346" s="1" t="n">
        <v>45807</v>
      </c>
      <c r="D3346" t="inlineStr">
        <is>
          <t>VÄSTERBOTTENS LÄN</t>
        </is>
      </c>
      <c r="E3346" t="inlineStr">
        <is>
          <t>SKELLEFTEÅ</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43722-2024</t>
        </is>
      </c>
      <c r="B3347" s="1" t="n">
        <v>45569</v>
      </c>
      <c r="C3347" s="1" t="n">
        <v>45807</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43749-2024</t>
        </is>
      </c>
      <c r="B3348" s="1" t="n">
        <v>45569</v>
      </c>
      <c r="C3348" s="1" t="n">
        <v>45807</v>
      </c>
      <c r="D3348" t="inlineStr">
        <is>
          <t>VÄSTERBOTTENS LÄN</t>
        </is>
      </c>
      <c r="E3348" t="inlineStr">
        <is>
          <t>SKELLEFTEÅ</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43513-2024</t>
        </is>
      </c>
      <c r="B3349" s="1" t="n">
        <v>45569</v>
      </c>
      <c r="C3349" s="1" t="n">
        <v>45807</v>
      </c>
      <c r="D3349" t="inlineStr">
        <is>
          <t>VÄSTERBOTTENS LÄN</t>
        </is>
      </c>
      <c r="E3349" t="inlineStr">
        <is>
          <t>SKELLEFTEÅ</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43599-2024</t>
        </is>
      </c>
      <c r="B3350" s="1" t="n">
        <v>45569</v>
      </c>
      <c r="C3350" s="1" t="n">
        <v>45807</v>
      </c>
      <c r="D3350" t="inlineStr">
        <is>
          <t>VÄSTERBOTTENS LÄN</t>
        </is>
      </c>
      <c r="E3350" t="inlineStr">
        <is>
          <t>SKELLEFTEÅ</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43762-2024</t>
        </is>
      </c>
      <c r="B3351" s="1" t="n">
        <v>45569</v>
      </c>
      <c r="C3351" s="1" t="n">
        <v>45807</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43723-2024</t>
        </is>
      </c>
      <c r="B3352" s="1" t="n">
        <v>45569</v>
      </c>
      <c r="C3352" s="1" t="n">
        <v>45807</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43727-2024</t>
        </is>
      </c>
      <c r="B3353" s="1" t="n">
        <v>45569</v>
      </c>
      <c r="C3353" s="1" t="n">
        <v>45807</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43781-2024</t>
        </is>
      </c>
      <c r="B3354" s="1" t="n">
        <v>45570</v>
      </c>
      <c r="C3354" s="1" t="n">
        <v>45807</v>
      </c>
      <c r="D3354" t="inlineStr">
        <is>
          <t>VÄSTERBOTTENS LÄN</t>
        </is>
      </c>
      <c r="E3354" t="inlineStr">
        <is>
          <t>SKELLEFTEÅ</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43793-2024</t>
        </is>
      </c>
      <c r="B3355" s="1" t="n">
        <v>45571</v>
      </c>
      <c r="C3355" s="1" t="n">
        <v>45807</v>
      </c>
      <c r="D3355" t="inlineStr">
        <is>
          <t>VÄSTERBOTTENS LÄN</t>
        </is>
      </c>
      <c r="E3355" t="inlineStr">
        <is>
          <t>SKELLEFTEÅ</t>
        </is>
      </c>
      <c r="F3355" t="inlineStr">
        <is>
          <t>Sveaskog</t>
        </is>
      </c>
      <c r="G3355" t="n">
        <v>14.1</v>
      </c>
      <c r="H3355" t="n">
        <v>0</v>
      </c>
      <c r="I3355" t="n">
        <v>0</v>
      </c>
      <c r="J3355" t="n">
        <v>0</v>
      </c>
      <c r="K3355" t="n">
        <v>0</v>
      </c>
      <c r="L3355" t="n">
        <v>0</v>
      </c>
      <c r="M3355" t="n">
        <v>0</v>
      </c>
      <c r="N3355" t="n">
        <v>0</v>
      </c>
      <c r="O3355" t="n">
        <v>0</v>
      </c>
      <c r="P3355" t="n">
        <v>0</v>
      </c>
      <c r="Q3355" t="n">
        <v>0</v>
      </c>
      <c r="R3355" s="2" t="inlineStr"/>
    </row>
    <row r="3356" ht="15" customHeight="1">
      <c r="A3356" t="inlineStr">
        <is>
          <t>A 43954-2024</t>
        </is>
      </c>
      <c r="B3356" s="1" t="n">
        <v>45572</v>
      </c>
      <c r="C3356" s="1" t="n">
        <v>45807</v>
      </c>
      <c r="D3356" t="inlineStr">
        <is>
          <t>VÄSTERBOTTENS LÄN</t>
        </is>
      </c>
      <c r="E3356" t="inlineStr">
        <is>
          <t>SKELLEFTEÅ</t>
        </is>
      </c>
      <c r="F3356" t="inlineStr">
        <is>
          <t>Sveaskog</t>
        </is>
      </c>
      <c r="G3356" t="n">
        <v>24.1</v>
      </c>
      <c r="H3356" t="n">
        <v>0</v>
      </c>
      <c r="I3356" t="n">
        <v>0</v>
      </c>
      <c r="J3356" t="n">
        <v>0</v>
      </c>
      <c r="K3356" t="n">
        <v>0</v>
      </c>
      <c r="L3356" t="n">
        <v>0</v>
      </c>
      <c r="M3356" t="n">
        <v>0</v>
      </c>
      <c r="N3356" t="n">
        <v>0</v>
      </c>
      <c r="O3356" t="n">
        <v>0</v>
      </c>
      <c r="P3356" t="n">
        <v>0</v>
      </c>
      <c r="Q3356" t="n">
        <v>0</v>
      </c>
      <c r="R3356" s="2" t="inlineStr"/>
    </row>
    <row r="3357" ht="15" customHeight="1">
      <c r="A3357" t="inlineStr">
        <is>
          <t>A 44057-2024</t>
        </is>
      </c>
      <c r="B3357" s="1" t="n">
        <v>45572</v>
      </c>
      <c r="C3357" s="1" t="n">
        <v>45807</v>
      </c>
      <c r="D3357" t="inlineStr">
        <is>
          <t>VÄSTERBOTTENS LÄN</t>
        </is>
      </c>
      <c r="E3357" t="inlineStr">
        <is>
          <t>SKELLEFTEÅ</t>
        </is>
      </c>
      <c r="G3357" t="n">
        <v>13.2</v>
      </c>
      <c r="H3357" t="n">
        <v>0</v>
      </c>
      <c r="I3357" t="n">
        <v>0</v>
      </c>
      <c r="J3357" t="n">
        <v>0</v>
      </c>
      <c r="K3357" t="n">
        <v>0</v>
      </c>
      <c r="L3357" t="n">
        <v>0</v>
      </c>
      <c r="M3357" t="n">
        <v>0</v>
      </c>
      <c r="N3357" t="n">
        <v>0</v>
      </c>
      <c r="O3357" t="n">
        <v>0</v>
      </c>
      <c r="P3357" t="n">
        <v>0</v>
      </c>
      <c r="Q3357" t="n">
        <v>0</v>
      </c>
      <c r="R3357" s="2" t="inlineStr"/>
    </row>
    <row r="3358" ht="15" customHeight="1">
      <c r="A3358" t="inlineStr">
        <is>
          <t>A 43875-2024</t>
        </is>
      </c>
      <c r="B3358" s="1" t="n">
        <v>45572</v>
      </c>
      <c r="C3358" s="1" t="n">
        <v>45807</v>
      </c>
      <c r="D3358" t="inlineStr">
        <is>
          <t>VÄSTERBOTTENS LÄN</t>
        </is>
      </c>
      <c r="E3358" t="inlineStr">
        <is>
          <t>SKELLEFTEÅ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44100-2024</t>
        </is>
      </c>
      <c r="B3359" s="1" t="n">
        <v>45572</v>
      </c>
      <c r="C3359" s="1" t="n">
        <v>45807</v>
      </c>
      <c r="D3359" t="inlineStr">
        <is>
          <t>VÄSTERBOTTENS LÄN</t>
        </is>
      </c>
      <c r="E3359" t="inlineStr">
        <is>
          <t>SKELLEFTEÅ</t>
        </is>
      </c>
      <c r="F3359" t="inlineStr">
        <is>
          <t>Holmen skog AB</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44178-2024</t>
        </is>
      </c>
      <c r="B3360" s="1" t="n">
        <v>45572</v>
      </c>
      <c r="C3360" s="1" t="n">
        <v>45807</v>
      </c>
      <c r="D3360" t="inlineStr">
        <is>
          <t>VÄSTERBOTTENS LÄN</t>
        </is>
      </c>
      <c r="E3360" t="inlineStr">
        <is>
          <t>SKELLEFTEÅ</t>
        </is>
      </c>
      <c r="F3360" t="inlineStr">
        <is>
          <t>Sveaskog</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44239-2024</t>
        </is>
      </c>
      <c r="B3361" s="1" t="n">
        <v>45573</v>
      </c>
      <c r="C3361" s="1" t="n">
        <v>45807</v>
      </c>
      <c r="D3361" t="inlineStr">
        <is>
          <t>VÄSTERBOTTENS LÄN</t>
        </is>
      </c>
      <c r="E3361" t="inlineStr">
        <is>
          <t>SKELLEFTEÅ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44240-2024</t>
        </is>
      </c>
      <c r="B3362" s="1" t="n">
        <v>45573</v>
      </c>
      <c r="C3362" s="1" t="n">
        <v>45807</v>
      </c>
      <c r="D3362" t="inlineStr">
        <is>
          <t>VÄSTERBOTTENS LÄN</t>
        </is>
      </c>
      <c r="E3362" t="inlineStr">
        <is>
          <t>SKELLEFTEÅ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44480-2024</t>
        </is>
      </c>
      <c r="B3363" s="1" t="n">
        <v>45574</v>
      </c>
      <c r="C3363" s="1" t="n">
        <v>45807</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44501-2024</t>
        </is>
      </c>
      <c r="B3364" s="1" t="n">
        <v>45574</v>
      </c>
      <c r="C3364" s="1" t="n">
        <v>45807</v>
      </c>
      <c r="D3364" t="inlineStr">
        <is>
          <t>VÄSTERBOTTENS LÄN</t>
        </is>
      </c>
      <c r="E3364" t="inlineStr">
        <is>
          <t>SKELLEFTEÅ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44542-2024</t>
        </is>
      </c>
      <c r="B3365" s="1" t="n">
        <v>45574</v>
      </c>
      <c r="C3365" s="1" t="n">
        <v>45807</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44479-2024</t>
        </is>
      </c>
      <c r="B3366" s="1" t="n">
        <v>45574</v>
      </c>
      <c r="C3366" s="1" t="n">
        <v>45807</v>
      </c>
      <c r="D3366" t="inlineStr">
        <is>
          <t>VÄSTERBOTTENS LÄN</t>
        </is>
      </c>
      <c r="E3366" t="inlineStr">
        <is>
          <t>SKELLEFTEÅ</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44483-2024</t>
        </is>
      </c>
      <c r="B3367" s="1" t="n">
        <v>45574</v>
      </c>
      <c r="C3367" s="1" t="n">
        <v>45807</v>
      </c>
      <c r="D3367" t="inlineStr">
        <is>
          <t>VÄSTERBOTTENS LÄN</t>
        </is>
      </c>
      <c r="E3367" t="inlineStr">
        <is>
          <t>SKELLEFTEÅ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44779-2024</t>
        </is>
      </c>
      <c r="B3368" s="1" t="n">
        <v>45574</v>
      </c>
      <c r="C3368" s="1" t="n">
        <v>45807</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44829-2024</t>
        </is>
      </c>
      <c r="B3369" s="1" t="n">
        <v>45574</v>
      </c>
      <c r="C3369" s="1" t="n">
        <v>45807</v>
      </c>
      <c r="D3369" t="inlineStr">
        <is>
          <t>VÄSTERBOTTENS LÄN</t>
        </is>
      </c>
      <c r="E3369" t="inlineStr">
        <is>
          <t>SKELLEFTEÅ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44482-2024</t>
        </is>
      </c>
      <c r="B3370" s="1" t="n">
        <v>45574</v>
      </c>
      <c r="C3370" s="1" t="n">
        <v>45807</v>
      </c>
      <c r="D3370" t="inlineStr">
        <is>
          <t>VÄSTERBOTTENS LÄN</t>
        </is>
      </c>
      <c r="E3370" t="inlineStr">
        <is>
          <t>SKELLEFTEÅ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44510-2024</t>
        </is>
      </c>
      <c r="B3371" s="1" t="n">
        <v>45574</v>
      </c>
      <c r="C3371" s="1" t="n">
        <v>45807</v>
      </c>
      <c r="D3371" t="inlineStr">
        <is>
          <t>VÄSTERBOTTENS LÄN</t>
        </is>
      </c>
      <c r="E3371" t="inlineStr">
        <is>
          <t>SKELLEFTEÅ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45111-2024</t>
        </is>
      </c>
      <c r="B3372" s="1" t="n">
        <v>45575</v>
      </c>
      <c r="C3372" s="1" t="n">
        <v>45807</v>
      </c>
      <c r="D3372" t="inlineStr">
        <is>
          <t>VÄSTERBOTTENS LÄN</t>
        </is>
      </c>
      <c r="E3372" t="inlineStr">
        <is>
          <t>SKELLEFTEÅ</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45143-2024</t>
        </is>
      </c>
      <c r="B3373" s="1" t="n">
        <v>45575</v>
      </c>
      <c r="C3373" s="1" t="n">
        <v>45807</v>
      </c>
      <c r="D3373" t="inlineStr">
        <is>
          <t>VÄSTERBOTTENS LÄN</t>
        </is>
      </c>
      <c r="E3373" t="inlineStr">
        <is>
          <t>SKELLEFTEÅ</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45177-2024</t>
        </is>
      </c>
      <c r="B3374" s="1" t="n">
        <v>45575</v>
      </c>
      <c r="C3374" s="1" t="n">
        <v>45807</v>
      </c>
      <c r="D3374" t="inlineStr">
        <is>
          <t>VÄSTERBOTTENS LÄN</t>
        </is>
      </c>
      <c r="E3374" t="inlineStr">
        <is>
          <t>SKELLEFTEÅ</t>
        </is>
      </c>
      <c r="F3374" t="inlineStr">
        <is>
          <t>Kommuner</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45205-2024</t>
        </is>
      </c>
      <c r="B3375" s="1" t="n">
        <v>45575</v>
      </c>
      <c r="C3375" s="1" t="n">
        <v>45807</v>
      </c>
      <c r="D3375" t="inlineStr">
        <is>
          <t>VÄSTERBOTTENS LÄN</t>
        </is>
      </c>
      <c r="E3375" t="inlineStr">
        <is>
          <t>SKELLEFTEÅ</t>
        </is>
      </c>
      <c r="G3375" t="n">
        <v>10.9</v>
      </c>
      <c r="H3375" t="n">
        <v>0</v>
      </c>
      <c r="I3375" t="n">
        <v>0</v>
      </c>
      <c r="J3375" t="n">
        <v>0</v>
      </c>
      <c r="K3375" t="n">
        <v>0</v>
      </c>
      <c r="L3375" t="n">
        <v>0</v>
      </c>
      <c r="M3375" t="n">
        <v>0</v>
      </c>
      <c r="N3375" t="n">
        <v>0</v>
      </c>
      <c r="O3375" t="n">
        <v>0</v>
      </c>
      <c r="P3375" t="n">
        <v>0</v>
      </c>
      <c r="Q3375" t="n">
        <v>0</v>
      </c>
      <c r="R3375" s="2" t="inlineStr"/>
    </row>
    <row r="3376" ht="15" customHeight="1">
      <c r="A3376" t="inlineStr">
        <is>
          <t>A 44968-2024</t>
        </is>
      </c>
      <c r="B3376" s="1" t="n">
        <v>45575</v>
      </c>
      <c r="C3376" s="1" t="n">
        <v>45807</v>
      </c>
      <c r="D3376" t="inlineStr">
        <is>
          <t>VÄSTERBOTTENS LÄN</t>
        </is>
      </c>
      <c r="E3376" t="inlineStr">
        <is>
          <t>SKELLEFTEÅ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44867-2024</t>
        </is>
      </c>
      <c r="B3377" s="1" t="n">
        <v>45575</v>
      </c>
      <c r="C3377" s="1" t="n">
        <v>45807</v>
      </c>
      <c r="D3377" t="inlineStr">
        <is>
          <t>VÄSTERBOTTENS LÄN</t>
        </is>
      </c>
      <c r="E3377" t="inlineStr">
        <is>
          <t>SKELLEFTEÅ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45200-2024</t>
        </is>
      </c>
      <c r="B3378" s="1" t="n">
        <v>45575</v>
      </c>
      <c r="C3378" s="1" t="n">
        <v>45807</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45212-2024</t>
        </is>
      </c>
      <c r="B3379" s="1" t="n">
        <v>45575</v>
      </c>
      <c r="C3379" s="1" t="n">
        <v>45807</v>
      </c>
      <c r="D3379" t="inlineStr">
        <is>
          <t>VÄSTERBOTTENS LÄN</t>
        </is>
      </c>
      <c r="E3379" t="inlineStr">
        <is>
          <t>SKELLEFTEÅ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45240-2024</t>
        </is>
      </c>
      <c r="B3380" s="1" t="n">
        <v>45576</v>
      </c>
      <c r="C3380" s="1" t="n">
        <v>45807</v>
      </c>
      <c r="D3380" t="inlineStr">
        <is>
          <t>VÄSTERBOTTENS LÄN</t>
        </is>
      </c>
      <c r="E3380" t="inlineStr">
        <is>
          <t>SKELLEFTEÅ</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45294-2024</t>
        </is>
      </c>
      <c r="B3381" s="1" t="n">
        <v>45576</v>
      </c>
      <c r="C3381" s="1" t="n">
        <v>45807</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45418-2024</t>
        </is>
      </c>
      <c r="B3382" s="1" t="n">
        <v>45576</v>
      </c>
      <c r="C3382" s="1" t="n">
        <v>45807</v>
      </c>
      <c r="D3382" t="inlineStr">
        <is>
          <t>VÄSTERBOTTENS LÄN</t>
        </is>
      </c>
      <c r="E3382" t="inlineStr">
        <is>
          <t>SKELLEFTEÅ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45403-2024</t>
        </is>
      </c>
      <c r="B3383" s="1" t="n">
        <v>45576</v>
      </c>
      <c r="C3383" s="1" t="n">
        <v>45807</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45407-2024</t>
        </is>
      </c>
      <c r="B3384" s="1" t="n">
        <v>45576</v>
      </c>
      <c r="C3384" s="1" t="n">
        <v>45807</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45421-2024</t>
        </is>
      </c>
      <c r="B3385" s="1" t="n">
        <v>45576</v>
      </c>
      <c r="C3385" s="1" t="n">
        <v>45807</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45374-2024</t>
        </is>
      </c>
      <c r="B3386" s="1" t="n">
        <v>45576</v>
      </c>
      <c r="C3386" s="1" t="n">
        <v>45807</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45690-2024</t>
        </is>
      </c>
      <c r="B3387" s="1" t="n">
        <v>45579</v>
      </c>
      <c r="C3387" s="1" t="n">
        <v>45807</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45788-2024</t>
        </is>
      </c>
      <c r="B3388" s="1" t="n">
        <v>45579</v>
      </c>
      <c r="C3388" s="1" t="n">
        <v>45807</v>
      </c>
      <c r="D3388" t="inlineStr">
        <is>
          <t>VÄSTERBOTTENS LÄN</t>
        </is>
      </c>
      <c r="E3388" t="inlineStr">
        <is>
          <t>SKELLEFTEÅ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45757-2024</t>
        </is>
      </c>
      <c r="B3389" s="1" t="n">
        <v>45579</v>
      </c>
      <c r="C3389" s="1" t="n">
        <v>45807</v>
      </c>
      <c r="D3389" t="inlineStr">
        <is>
          <t>VÄSTERBOTTENS LÄN</t>
        </is>
      </c>
      <c r="E3389" t="inlineStr">
        <is>
          <t>SKELLEFTEÅ</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45643-2024</t>
        </is>
      </c>
      <c r="B3390" s="1" t="n">
        <v>45579</v>
      </c>
      <c r="C3390" s="1" t="n">
        <v>45807</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45622-2024</t>
        </is>
      </c>
      <c r="B3391" s="1" t="n">
        <v>45579</v>
      </c>
      <c r="C3391" s="1" t="n">
        <v>45807</v>
      </c>
      <c r="D3391" t="inlineStr">
        <is>
          <t>VÄSTERBOTTENS LÄN</t>
        </is>
      </c>
      <c r="E3391" t="inlineStr">
        <is>
          <t>SKELLEFTEÅ</t>
        </is>
      </c>
      <c r="F3391" t="inlineStr">
        <is>
          <t>Holmen skog AB</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45903-2024</t>
        </is>
      </c>
      <c r="B3392" s="1" t="n">
        <v>45580</v>
      </c>
      <c r="C3392" s="1" t="n">
        <v>45807</v>
      </c>
      <c r="D3392" t="inlineStr">
        <is>
          <t>VÄSTERBOTTENS LÄN</t>
        </is>
      </c>
      <c r="E3392" t="inlineStr">
        <is>
          <t>SKELLEFTEÅ</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45943-2024</t>
        </is>
      </c>
      <c r="B3393" s="1" t="n">
        <v>45580</v>
      </c>
      <c r="C3393" s="1" t="n">
        <v>45807</v>
      </c>
      <c r="D3393" t="inlineStr">
        <is>
          <t>VÄSTERBOTTENS LÄN</t>
        </is>
      </c>
      <c r="E3393" t="inlineStr">
        <is>
          <t>SKELLEFTEÅ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45955-2024</t>
        </is>
      </c>
      <c r="B3394" s="1" t="n">
        <v>45580</v>
      </c>
      <c r="C3394" s="1" t="n">
        <v>45807</v>
      </c>
      <c r="D3394" t="inlineStr">
        <is>
          <t>VÄSTERBOTTENS LÄN</t>
        </is>
      </c>
      <c r="E3394" t="inlineStr">
        <is>
          <t>SKELLEFTEÅ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45850-2024</t>
        </is>
      </c>
      <c r="B3395" s="1" t="n">
        <v>45580</v>
      </c>
      <c r="C3395" s="1" t="n">
        <v>45807</v>
      </c>
      <c r="D3395" t="inlineStr">
        <is>
          <t>VÄSTERBOTTENS LÄN</t>
        </is>
      </c>
      <c r="E3395" t="inlineStr">
        <is>
          <t>SKELLEFTEÅ</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45862-2024</t>
        </is>
      </c>
      <c r="B3396" s="1" t="n">
        <v>45580</v>
      </c>
      <c r="C3396" s="1" t="n">
        <v>45807</v>
      </c>
      <c r="D3396" t="inlineStr">
        <is>
          <t>VÄSTERBOTTENS LÄN</t>
        </is>
      </c>
      <c r="E3396" t="inlineStr">
        <is>
          <t>SKELLEFTEÅ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45981-2024</t>
        </is>
      </c>
      <c r="B3397" s="1" t="n">
        <v>45580</v>
      </c>
      <c r="C3397" s="1" t="n">
        <v>45807</v>
      </c>
      <c r="D3397" t="inlineStr">
        <is>
          <t>VÄSTERBOTTENS LÄN</t>
        </is>
      </c>
      <c r="E3397" t="inlineStr">
        <is>
          <t>SKELLEFTEÅ</t>
        </is>
      </c>
      <c r="F3397" t="inlineStr">
        <is>
          <t>Holmen skog AB</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46048-2024</t>
        </is>
      </c>
      <c r="B3398" s="1" t="n">
        <v>45580</v>
      </c>
      <c r="C3398" s="1" t="n">
        <v>45807</v>
      </c>
      <c r="D3398" t="inlineStr">
        <is>
          <t>VÄSTERBOTTENS LÄN</t>
        </is>
      </c>
      <c r="E3398" t="inlineStr">
        <is>
          <t>SKELLEFTEÅ</t>
        </is>
      </c>
      <c r="F3398" t="inlineStr">
        <is>
          <t>Sveaskog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46049-2024</t>
        </is>
      </c>
      <c r="B3399" s="1" t="n">
        <v>45580</v>
      </c>
      <c r="C3399" s="1" t="n">
        <v>45807</v>
      </c>
      <c r="D3399" t="inlineStr">
        <is>
          <t>VÄSTERBOTTENS LÄN</t>
        </is>
      </c>
      <c r="E3399" t="inlineStr">
        <is>
          <t>SKELLEFTEÅ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46047-2024</t>
        </is>
      </c>
      <c r="B3400" s="1" t="n">
        <v>45580</v>
      </c>
      <c r="C3400" s="1" t="n">
        <v>45807</v>
      </c>
      <c r="D3400" t="inlineStr">
        <is>
          <t>VÄSTERBOTTENS LÄN</t>
        </is>
      </c>
      <c r="E3400" t="inlineStr">
        <is>
          <t>SKELLEFTEÅ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46268-2024</t>
        </is>
      </c>
      <c r="B3401" s="1" t="n">
        <v>45581</v>
      </c>
      <c r="C3401" s="1" t="n">
        <v>45807</v>
      </c>
      <c r="D3401" t="inlineStr">
        <is>
          <t>VÄSTERBOTTENS LÄN</t>
        </is>
      </c>
      <c r="E3401" t="inlineStr">
        <is>
          <t>SKELLEFTEÅ</t>
        </is>
      </c>
      <c r="F3401" t="inlineStr">
        <is>
          <t>Holmen skog AB</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46089-2024</t>
        </is>
      </c>
      <c r="B3402" s="1" t="n">
        <v>45581</v>
      </c>
      <c r="C3402" s="1" t="n">
        <v>45807</v>
      </c>
      <c r="D3402" t="inlineStr">
        <is>
          <t>VÄSTERBOTTENS LÄN</t>
        </is>
      </c>
      <c r="E3402" t="inlineStr">
        <is>
          <t>SKELLEFTEÅ</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46116-2024</t>
        </is>
      </c>
      <c r="B3403" s="1" t="n">
        <v>45581</v>
      </c>
      <c r="C3403" s="1" t="n">
        <v>45807</v>
      </c>
      <c r="D3403" t="inlineStr">
        <is>
          <t>VÄSTERBOTTENS LÄN</t>
        </is>
      </c>
      <c r="E3403" t="inlineStr">
        <is>
          <t>SKELLEFTEÅ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46108-2024</t>
        </is>
      </c>
      <c r="B3404" s="1" t="n">
        <v>45581</v>
      </c>
      <c r="C3404" s="1" t="n">
        <v>45807</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46282-2024</t>
        </is>
      </c>
      <c r="B3405" s="1" t="n">
        <v>45581</v>
      </c>
      <c r="C3405" s="1" t="n">
        <v>45807</v>
      </c>
      <c r="D3405" t="inlineStr">
        <is>
          <t>VÄSTERBOTTENS LÄN</t>
        </is>
      </c>
      <c r="E3405" t="inlineStr">
        <is>
          <t>SKELLEFTEÅ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46201-2024</t>
        </is>
      </c>
      <c r="B3406" s="1" t="n">
        <v>45581</v>
      </c>
      <c r="C3406" s="1" t="n">
        <v>45807</v>
      </c>
      <c r="D3406" t="inlineStr">
        <is>
          <t>VÄSTERBOTTENS LÄN</t>
        </is>
      </c>
      <c r="E3406" t="inlineStr">
        <is>
          <t>SKELLEFTEÅ</t>
        </is>
      </c>
      <c r="G3406" t="n">
        <v>18.3</v>
      </c>
      <c r="H3406" t="n">
        <v>0</v>
      </c>
      <c r="I3406" t="n">
        <v>0</v>
      </c>
      <c r="J3406" t="n">
        <v>0</v>
      </c>
      <c r="K3406" t="n">
        <v>0</v>
      </c>
      <c r="L3406" t="n">
        <v>0</v>
      </c>
      <c r="M3406" t="n">
        <v>0</v>
      </c>
      <c r="N3406" t="n">
        <v>0</v>
      </c>
      <c r="O3406" t="n">
        <v>0</v>
      </c>
      <c r="P3406" t="n">
        <v>0</v>
      </c>
      <c r="Q3406" t="n">
        <v>0</v>
      </c>
      <c r="R3406" s="2" t="inlineStr"/>
    </row>
    <row r="3407" ht="15" customHeight="1">
      <c r="A3407" t="inlineStr">
        <is>
          <t>A 46304-2024</t>
        </is>
      </c>
      <c r="B3407" s="1" t="n">
        <v>45581</v>
      </c>
      <c r="C3407" s="1" t="n">
        <v>45807</v>
      </c>
      <c r="D3407" t="inlineStr">
        <is>
          <t>VÄSTERBOTTENS LÄN</t>
        </is>
      </c>
      <c r="E3407" t="inlineStr">
        <is>
          <t>SKELLEFTEÅ</t>
        </is>
      </c>
      <c r="F3407" t="inlineStr">
        <is>
          <t>Holmen skog AB</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46480-2024</t>
        </is>
      </c>
      <c r="B3408" s="1" t="n">
        <v>45582</v>
      </c>
      <c r="C3408" s="1" t="n">
        <v>45807</v>
      </c>
      <c r="D3408" t="inlineStr">
        <is>
          <t>VÄSTERBOTTENS LÄN</t>
        </is>
      </c>
      <c r="E3408" t="inlineStr">
        <is>
          <t>SKELLEFTEÅ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46482-2024</t>
        </is>
      </c>
      <c r="B3409" s="1" t="n">
        <v>45582</v>
      </c>
      <c r="C3409" s="1" t="n">
        <v>45807</v>
      </c>
      <c r="D3409" t="inlineStr">
        <is>
          <t>VÄSTERBOTTENS LÄN</t>
        </is>
      </c>
      <c r="E3409" t="inlineStr">
        <is>
          <t>SKELLEFTEÅ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46377-2024</t>
        </is>
      </c>
      <c r="B3410" s="1" t="n">
        <v>45582</v>
      </c>
      <c r="C3410" s="1" t="n">
        <v>45807</v>
      </c>
      <c r="D3410" t="inlineStr">
        <is>
          <t>VÄSTERBOTTENS LÄN</t>
        </is>
      </c>
      <c r="E3410" t="inlineStr">
        <is>
          <t>SKELLEFTEÅ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46557-2024</t>
        </is>
      </c>
      <c r="B3411" s="1" t="n">
        <v>45582</v>
      </c>
      <c r="C3411" s="1" t="n">
        <v>45807</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46565-2024</t>
        </is>
      </c>
      <c r="B3412" s="1" t="n">
        <v>45582</v>
      </c>
      <c r="C3412" s="1" t="n">
        <v>45807</v>
      </c>
      <c r="D3412" t="inlineStr">
        <is>
          <t>VÄSTERBOTTENS LÄN</t>
        </is>
      </c>
      <c r="E3412" t="inlineStr">
        <is>
          <t>SKELLEFTEÅ</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46736-2024</t>
        </is>
      </c>
      <c r="B3413" s="1" t="n">
        <v>45583</v>
      </c>
      <c r="C3413" s="1" t="n">
        <v>45807</v>
      </c>
      <c r="D3413" t="inlineStr">
        <is>
          <t>VÄSTERBOTTENS LÄN</t>
        </is>
      </c>
      <c r="E3413" t="inlineStr">
        <is>
          <t>SKELLEFTEÅ</t>
        </is>
      </c>
      <c r="F3413" t="inlineStr">
        <is>
          <t>Sveaskog</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46858-2024</t>
        </is>
      </c>
      <c r="B3414" s="1" t="n">
        <v>45583</v>
      </c>
      <c r="C3414" s="1" t="n">
        <v>45807</v>
      </c>
      <c r="D3414" t="inlineStr">
        <is>
          <t>VÄSTERBOTTENS LÄN</t>
        </is>
      </c>
      <c r="E3414" t="inlineStr">
        <is>
          <t>SKELLEFTEÅ</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46846-2024</t>
        </is>
      </c>
      <c r="B3415" s="1" t="n">
        <v>45583</v>
      </c>
      <c r="C3415" s="1" t="n">
        <v>45807</v>
      </c>
      <c r="D3415" t="inlineStr">
        <is>
          <t>VÄSTERBOTTENS LÄN</t>
        </is>
      </c>
      <c r="E3415" t="inlineStr">
        <is>
          <t>SKELLEFTEÅ</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46705-2024</t>
        </is>
      </c>
      <c r="B3416" s="1" t="n">
        <v>45583</v>
      </c>
      <c r="C3416" s="1" t="n">
        <v>45807</v>
      </c>
      <c r="D3416" t="inlineStr">
        <is>
          <t>VÄSTERBOTTENS LÄN</t>
        </is>
      </c>
      <c r="E3416" t="inlineStr">
        <is>
          <t>SKELLEFTEÅ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46721-2024</t>
        </is>
      </c>
      <c r="B3417" s="1" t="n">
        <v>45583</v>
      </c>
      <c r="C3417" s="1" t="n">
        <v>45807</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46731-2024</t>
        </is>
      </c>
      <c r="B3418" s="1" t="n">
        <v>45583</v>
      </c>
      <c r="C3418" s="1" t="n">
        <v>45807</v>
      </c>
      <c r="D3418" t="inlineStr">
        <is>
          <t>VÄSTERBOTTENS LÄN</t>
        </is>
      </c>
      <c r="E3418" t="inlineStr">
        <is>
          <t>SKELLEFTEÅ</t>
        </is>
      </c>
      <c r="F3418" t="inlineStr">
        <is>
          <t>Holmen skog AB</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46657-2024</t>
        </is>
      </c>
      <c r="B3419" s="1" t="n">
        <v>45583</v>
      </c>
      <c r="C3419" s="1" t="n">
        <v>45807</v>
      </c>
      <c r="D3419" t="inlineStr">
        <is>
          <t>VÄSTERBOTTENS LÄN</t>
        </is>
      </c>
      <c r="E3419" t="inlineStr">
        <is>
          <t>SKELLEFTEÅ</t>
        </is>
      </c>
      <c r="F3419" t="inlineStr">
        <is>
          <t>Holmen skog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46841-2024</t>
        </is>
      </c>
      <c r="B3420" s="1" t="n">
        <v>45583</v>
      </c>
      <c r="C3420" s="1" t="n">
        <v>45807</v>
      </c>
      <c r="D3420" t="inlineStr">
        <is>
          <t>VÄSTERBOTTENS LÄN</t>
        </is>
      </c>
      <c r="E3420" t="inlineStr">
        <is>
          <t>SKELLEFTEÅ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46853-2024</t>
        </is>
      </c>
      <c r="B3421" s="1" t="n">
        <v>45583</v>
      </c>
      <c r="C3421" s="1" t="n">
        <v>45807</v>
      </c>
      <c r="D3421" t="inlineStr">
        <is>
          <t>VÄSTERBOTTENS LÄN</t>
        </is>
      </c>
      <c r="E3421" t="inlineStr">
        <is>
          <t>SKELLEFTEÅ</t>
        </is>
      </c>
      <c r="F3421" t="inlineStr">
        <is>
          <t>Sveaskog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47062-2024</t>
        </is>
      </c>
      <c r="B3422" s="1" t="n">
        <v>45585</v>
      </c>
      <c r="C3422" s="1" t="n">
        <v>45807</v>
      </c>
      <c r="D3422" t="inlineStr">
        <is>
          <t>VÄSTERBOTTENS LÄN</t>
        </is>
      </c>
      <c r="E3422" t="inlineStr">
        <is>
          <t>SKELLEFTEÅ</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47282-2024</t>
        </is>
      </c>
      <c r="B3423" s="1" t="n">
        <v>45586</v>
      </c>
      <c r="C3423" s="1" t="n">
        <v>45807</v>
      </c>
      <c r="D3423" t="inlineStr">
        <is>
          <t>VÄSTERBOTTENS LÄN</t>
        </is>
      </c>
      <c r="E3423" t="inlineStr">
        <is>
          <t>SKELLEFTEÅ</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47045-2024</t>
        </is>
      </c>
      <c r="B3424" s="1" t="n">
        <v>45586</v>
      </c>
      <c r="C3424" s="1" t="n">
        <v>45807</v>
      </c>
      <c r="D3424" t="inlineStr">
        <is>
          <t>VÄSTERBOTTENS LÄN</t>
        </is>
      </c>
      <c r="E3424" t="inlineStr">
        <is>
          <t>SKELLEFTEÅ</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46968-2024</t>
        </is>
      </c>
      <c r="B3425" s="1" t="n">
        <v>45586</v>
      </c>
      <c r="C3425" s="1" t="n">
        <v>45807</v>
      </c>
      <c r="D3425" t="inlineStr">
        <is>
          <t>VÄSTERBOTTENS LÄN</t>
        </is>
      </c>
      <c r="E3425" t="inlineStr">
        <is>
          <t>SKELLEFTEÅ</t>
        </is>
      </c>
      <c r="F3425" t="inlineStr">
        <is>
          <t>Sveaskog</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47007-2024</t>
        </is>
      </c>
      <c r="B3426" s="1" t="n">
        <v>45586</v>
      </c>
      <c r="C3426" s="1" t="n">
        <v>45807</v>
      </c>
      <c r="D3426" t="inlineStr">
        <is>
          <t>VÄSTERBOTTENS LÄN</t>
        </is>
      </c>
      <c r="E3426" t="inlineStr">
        <is>
          <t>SKELLEFTEÅ</t>
        </is>
      </c>
      <c r="G3426" t="n">
        <v>22.2</v>
      </c>
      <c r="H3426" t="n">
        <v>0</v>
      </c>
      <c r="I3426" t="n">
        <v>0</v>
      </c>
      <c r="J3426" t="n">
        <v>0</v>
      </c>
      <c r="K3426" t="n">
        <v>0</v>
      </c>
      <c r="L3426" t="n">
        <v>0</v>
      </c>
      <c r="M3426" t="n">
        <v>0</v>
      </c>
      <c r="N3426" t="n">
        <v>0</v>
      </c>
      <c r="O3426" t="n">
        <v>0</v>
      </c>
      <c r="P3426" t="n">
        <v>0</v>
      </c>
      <c r="Q3426" t="n">
        <v>0</v>
      </c>
      <c r="R3426" s="2" t="inlineStr"/>
    </row>
    <row r="3427" ht="15" customHeight="1">
      <c r="A3427" t="inlineStr">
        <is>
          <t>A 47014-2024</t>
        </is>
      </c>
      <c r="B3427" s="1" t="n">
        <v>45586</v>
      </c>
      <c r="C3427" s="1" t="n">
        <v>45807</v>
      </c>
      <c r="D3427" t="inlineStr">
        <is>
          <t>VÄSTERBOTTENS LÄN</t>
        </is>
      </c>
      <c r="E3427" t="inlineStr">
        <is>
          <t>SKELLEFTEÅ</t>
        </is>
      </c>
      <c r="G3427" t="n">
        <v>14.7</v>
      </c>
      <c r="H3427" t="n">
        <v>0</v>
      </c>
      <c r="I3427" t="n">
        <v>0</v>
      </c>
      <c r="J3427" t="n">
        <v>0</v>
      </c>
      <c r="K3427" t="n">
        <v>0</v>
      </c>
      <c r="L3427" t="n">
        <v>0</v>
      </c>
      <c r="M3427" t="n">
        <v>0</v>
      </c>
      <c r="N3427" t="n">
        <v>0</v>
      </c>
      <c r="O3427" t="n">
        <v>0</v>
      </c>
      <c r="P3427" t="n">
        <v>0</v>
      </c>
      <c r="Q3427" t="n">
        <v>0</v>
      </c>
      <c r="R3427" s="2" t="inlineStr"/>
    </row>
    <row r="3428" ht="15" customHeight="1">
      <c r="A3428" t="inlineStr">
        <is>
          <t>A 47544-2024</t>
        </is>
      </c>
      <c r="B3428" s="1" t="n">
        <v>45587</v>
      </c>
      <c r="C3428" s="1" t="n">
        <v>45807</v>
      </c>
      <c r="D3428" t="inlineStr">
        <is>
          <t>VÄSTERBOTTENS LÄN</t>
        </is>
      </c>
      <c r="E3428" t="inlineStr">
        <is>
          <t>SKELLEFTEÅ</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47519-2024</t>
        </is>
      </c>
      <c r="B3429" s="1" t="n">
        <v>45587</v>
      </c>
      <c r="C3429" s="1" t="n">
        <v>45807</v>
      </c>
      <c r="D3429" t="inlineStr">
        <is>
          <t>VÄSTERBOTTENS LÄN</t>
        </is>
      </c>
      <c r="E3429" t="inlineStr">
        <is>
          <t>SKELLEFTEÅ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47496-2024</t>
        </is>
      </c>
      <c r="B3430" s="1" t="n">
        <v>45587</v>
      </c>
      <c r="C3430" s="1" t="n">
        <v>45807</v>
      </c>
      <c r="D3430" t="inlineStr">
        <is>
          <t>VÄSTERBOTTENS LÄN</t>
        </is>
      </c>
      <c r="E3430" t="inlineStr">
        <is>
          <t>SKELLEFTEÅ</t>
        </is>
      </c>
      <c r="F3430" t="inlineStr">
        <is>
          <t>Holmen skog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47514-2024</t>
        </is>
      </c>
      <c r="B3431" s="1" t="n">
        <v>45587</v>
      </c>
      <c r="C3431" s="1" t="n">
        <v>45807</v>
      </c>
      <c r="D3431" t="inlineStr">
        <is>
          <t>VÄSTERBOTTENS LÄN</t>
        </is>
      </c>
      <c r="E3431" t="inlineStr">
        <is>
          <t>SKELLEFTEÅ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47352-2024</t>
        </is>
      </c>
      <c r="B3432" s="1" t="n">
        <v>45587</v>
      </c>
      <c r="C3432" s="1" t="n">
        <v>45807</v>
      </c>
      <c r="D3432" t="inlineStr">
        <is>
          <t>VÄSTERBOTTENS LÄN</t>
        </is>
      </c>
      <c r="E3432" t="inlineStr">
        <is>
          <t>SKELLEFTEÅ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47668-2024</t>
        </is>
      </c>
      <c r="B3433" s="1" t="n">
        <v>45588</v>
      </c>
      <c r="C3433" s="1" t="n">
        <v>45807</v>
      </c>
      <c r="D3433" t="inlineStr">
        <is>
          <t>VÄSTERBOTTENS LÄN</t>
        </is>
      </c>
      <c r="E3433" t="inlineStr">
        <is>
          <t>SKELLEFTEÅ</t>
        </is>
      </c>
      <c r="F3433" t="inlineStr">
        <is>
          <t>Sveaskog</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47887-2024</t>
        </is>
      </c>
      <c r="B3434" s="1" t="n">
        <v>45588</v>
      </c>
      <c r="C3434" s="1" t="n">
        <v>45807</v>
      </c>
      <c r="D3434" t="inlineStr">
        <is>
          <t>VÄSTERBOTTENS LÄN</t>
        </is>
      </c>
      <c r="E3434" t="inlineStr">
        <is>
          <t>SKELLEFTEÅ</t>
        </is>
      </c>
      <c r="F3434" t="inlineStr">
        <is>
          <t>Sveaskog</t>
        </is>
      </c>
      <c r="G3434" t="n">
        <v>24.7</v>
      </c>
      <c r="H3434" t="n">
        <v>0</v>
      </c>
      <c r="I3434" t="n">
        <v>0</v>
      </c>
      <c r="J3434" t="n">
        <v>0</v>
      </c>
      <c r="K3434" t="n">
        <v>0</v>
      </c>
      <c r="L3434" t="n">
        <v>0</v>
      </c>
      <c r="M3434" t="n">
        <v>0</v>
      </c>
      <c r="N3434" t="n">
        <v>0</v>
      </c>
      <c r="O3434" t="n">
        <v>0</v>
      </c>
      <c r="P3434" t="n">
        <v>0</v>
      </c>
      <c r="Q3434" t="n">
        <v>0</v>
      </c>
      <c r="R3434" s="2" t="inlineStr"/>
    </row>
    <row r="3435" ht="15" customHeight="1">
      <c r="A3435" t="inlineStr">
        <is>
          <t>A 47686-2024</t>
        </is>
      </c>
      <c r="B3435" s="1" t="n">
        <v>45588</v>
      </c>
      <c r="C3435" s="1" t="n">
        <v>45807</v>
      </c>
      <c r="D3435" t="inlineStr">
        <is>
          <t>VÄSTERBOTTENS LÄN</t>
        </is>
      </c>
      <c r="E3435" t="inlineStr">
        <is>
          <t>SKELLEFTEÅ</t>
        </is>
      </c>
      <c r="F3435" t="inlineStr">
        <is>
          <t>Holmen skog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48074-2024</t>
        </is>
      </c>
      <c r="B3436" s="1" t="n">
        <v>45589</v>
      </c>
      <c r="C3436" s="1" t="n">
        <v>45807</v>
      </c>
      <c r="D3436" t="inlineStr">
        <is>
          <t>VÄSTERBOTTENS LÄN</t>
        </is>
      </c>
      <c r="E3436" t="inlineStr">
        <is>
          <t>SKELLEFTEÅ</t>
        </is>
      </c>
      <c r="F3436" t="inlineStr">
        <is>
          <t>Holmen skog AB</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48043-2024</t>
        </is>
      </c>
      <c r="B3437" s="1" t="n">
        <v>45589</v>
      </c>
      <c r="C3437" s="1" t="n">
        <v>45807</v>
      </c>
      <c r="D3437" t="inlineStr">
        <is>
          <t>VÄSTERBOTTENS LÄN</t>
        </is>
      </c>
      <c r="E3437" t="inlineStr">
        <is>
          <t>SKELLEFTEÅ</t>
        </is>
      </c>
      <c r="F3437" t="inlineStr">
        <is>
          <t>Holmen skog AB</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48116-2024</t>
        </is>
      </c>
      <c r="B3438" s="1" t="n">
        <v>45589</v>
      </c>
      <c r="C3438" s="1" t="n">
        <v>45807</v>
      </c>
      <c r="D3438" t="inlineStr">
        <is>
          <t>VÄSTERBOTTENS LÄN</t>
        </is>
      </c>
      <c r="E3438" t="inlineStr">
        <is>
          <t>SKELLEFTEÅ</t>
        </is>
      </c>
      <c r="F3438" t="inlineStr">
        <is>
          <t>Kommuner</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48203-2024</t>
        </is>
      </c>
      <c r="B3439" s="1" t="n">
        <v>45589</v>
      </c>
      <c r="C3439" s="1" t="n">
        <v>45807</v>
      </c>
      <c r="D3439" t="inlineStr">
        <is>
          <t>VÄSTERBOTTENS LÄN</t>
        </is>
      </c>
      <c r="E3439" t="inlineStr">
        <is>
          <t>SKELLEFTEÅ</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48093-2024</t>
        </is>
      </c>
      <c r="B3440" s="1" t="n">
        <v>45589</v>
      </c>
      <c r="C3440" s="1" t="n">
        <v>45807</v>
      </c>
      <c r="D3440" t="inlineStr">
        <is>
          <t>VÄSTERBOTTENS LÄN</t>
        </is>
      </c>
      <c r="E3440" t="inlineStr">
        <is>
          <t>SKELLEFTEÅ</t>
        </is>
      </c>
      <c r="F3440" t="inlineStr">
        <is>
          <t>Holmen skog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48204-2024</t>
        </is>
      </c>
      <c r="B3441" s="1" t="n">
        <v>45589</v>
      </c>
      <c r="C3441" s="1" t="n">
        <v>45807</v>
      </c>
      <c r="D3441" t="inlineStr">
        <is>
          <t>VÄSTERBOTTENS LÄN</t>
        </is>
      </c>
      <c r="E3441" t="inlineStr">
        <is>
          <t>SKELLEFTEÅ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48202-2024</t>
        </is>
      </c>
      <c r="B3442" s="1" t="n">
        <v>45589</v>
      </c>
      <c r="C3442" s="1" t="n">
        <v>45807</v>
      </c>
      <c r="D3442" t="inlineStr">
        <is>
          <t>VÄSTERBOTTENS LÄN</t>
        </is>
      </c>
      <c r="E3442" t="inlineStr">
        <is>
          <t>SKELLEFTEÅ</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48290-2024</t>
        </is>
      </c>
      <c r="B3443" s="1" t="n">
        <v>45590</v>
      </c>
      <c r="C3443" s="1" t="n">
        <v>45807</v>
      </c>
      <c r="D3443" t="inlineStr">
        <is>
          <t>VÄSTERBOTTENS LÄN</t>
        </is>
      </c>
      <c r="E3443" t="inlineStr">
        <is>
          <t>SKELLEFTEÅ</t>
        </is>
      </c>
      <c r="F3443" t="inlineStr">
        <is>
          <t>Sveaskog</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48391-2024</t>
        </is>
      </c>
      <c r="B3444" s="1" t="n">
        <v>45590</v>
      </c>
      <c r="C3444" s="1" t="n">
        <v>45807</v>
      </c>
      <c r="D3444" t="inlineStr">
        <is>
          <t>VÄSTERBOTTENS LÄN</t>
        </is>
      </c>
      <c r="E3444" t="inlineStr">
        <is>
          <t>SKELLEFTEÅ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48620-2024</t>
        </is>
      </c>
      <c r="B3445" s="1" t="n">
        <v>45593</v>
      </c>
      <c r="C3445" s="1" t="n">
        <v>45807</v>
      </c>
      <c r="D3445" t="inlineStr">
        <is>
          <t>VÄSTERBOTTENS LÄN</t>
        </is>
      </c>
      <c r="E3445" t="inlineStr">
        <is>
          <t>SKELLEFTEÅ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48786-2024</t>
        </is>
      </c>
      <c r="B3446" s="1" t="n">
        <v>45593</v>
      </c>
      <c r="C3446" s="1" t="n">
        <v>45807</v>
      </c>
      <c r="D3446" t="inlineStr">
        <is>
          <t>VÄSTERBOTTENS LÄN</t>
        </is>
      </c>
      <c r="E3446" t="inlineStr">
        <is>
          <t>SKELLEFTEÅ</t>
        </is>
      </c>
      <c r="F3446" t="inlineStr">
        <is>
          <t>Kommuner</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48610-2024</t>
        </is>
      </c>
      <c r="B3447" s="1" t="n">
        <v>45593</v>
      </c>
      <c r="C3447" s="1" t="n">
        <v>45807</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48799-2024</t>
        </is>
      </c>
      <c r="B3448" s="1" t="n">
        <v>45593</v>
      </c>
      <c r="C3448" s="1" t="n">
        <v>45807</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48744-2024</t>
        </is>
      </c>
      <c r="B3449" s="1" t="n">
        <v>45593</v>
      </c>
      <c r="C3449" s="1" t="n">
        <v>45807</v>
      </c>
      <c r="D3449" t="inlineStr">
        <is>
          <t>VÄSTERBOTTENS LÄN</t>
        </is>
      </c>
      <c r="E3449" t="inlineStr">
        <is>
          <t>SKELLEFTEÅ</t>
        </is>
      </c>
      <c r="F3449" t="inlineStr">
        <is>
          <t>Kommuner</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48878-2024</t>
        </is>
      </c>
      <c r="B3450" s="1" t="n">
        <v>45594</v>
      </c>
      <c r="C3450" s="1" t="n">
        <v>45807</v>
      </c>
      <c r="D3450" t="inlineStr">
        <is>
          <t>VÄSTERBOTTENS LÄN</t>
        </is>
      </c>
      <c r="E3450" t="inlineStr">
        <is>
          <t>SKELLEFTEÅ</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48866-2024</t>
        </is>
      </c>
      <c r="B3451" s="1" t="n">
        <v>45594</v>
      </c>
      <c r="C3451" s="1" t="n">
        <v>45807</v>
      </c>
      <c r="D3451" t="inlineStr">
        <is>
          <t>VÄSTERBOTTENS LÄN</t>
        </is>
      </c>
      <c r="E3451" t="inlineStr">
        <is>
          <t>SKELLEFTEÅ</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49120-2024</t>
        </is>
      </c>
      <c r="B3452" s="1" t="n">
        <v>45594</v>
      </c>
      <c r="C3452" s="1" t="n">
        <v>45807</v>
      </c>
      <c r="D3452" t="inlineStr">
        <is>
          <t>VÄSTERBOTTENS LÄN</t>
        </is>
      </c>
      <c r="E3452" t="inlineStr">
        <is>
          <t>SKELLEFTEÅ</t>
        </is>
      </c>
      <c r="F3452" t="inlineStr">
        <is>
          <t>Holmen skog AB</t>
        </is>
      </c>
      <c r="G3452" t="n">
        <v>37.2</v>
      </c>
      <c r="H3452" t="n">
        <v>0</v>
      </c>
      <c r="I3452" t="n">
        <v>0</v>
      </c>
      <c r="J3452" t="n">
        <v>0</v>
      </c>
      <c r="K3452" t="n">
        <v>0</v>
      </c>
      <c r="L3452" t="n">
        <v>0</v>
      </c>
      <c r="M3452" t="n">
        <v>0</v>
      </c>
      <c r="N3452" t="n">
        <v>0</v>
      </c>
      <c r="O3452" t="n">
        <v>0</v>
      </c>
      <c r="P3452" t="n">
        <v>0</v>
      </c>
      <c r="Q3452" t="n">
        <v>0</v>
      </c>
      <c r="R3452" s="2" t="inlineStr"/>
    </row>
    <row r="3453" ht="15" customHeight="1">
      <c r="A3453" t="inlineStr">
        <is>
          <t>A 48885-2024</t>
        </is>
      </c>
      <c r="B3453" s="1" t="n">
        <v>45594</v>
      </c>
      <c r="C3453" s="1" t="n">
        <v>45807</v>
      </c>
      <c r="D3453" t="inlineStr">
        <is>
          <t>VÄSTERBOTTENS LÄN</t>
        </is>
      </c>
      <c r="E3453" t="inlineStr">
        <is>
          <t>SKELLEFTEÅ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48891-2024</t>
        </is>
      </c>
      <c r="B3454" s="1" t="n">
        <v>45594</v>
      </c>
      <c r="C3454" s="1" t="n">
        <v>45807</v>
      </c>
      <c r="D3454" t="inlineStr">
        <is>
          <t>VÄSTERBOTTENS LÄN</t>
        </is>
      </c>
      <c r="E3454" t="inlineStr">
        <is>
          <t>SKELLEFTEÅ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49217-2024</t>
        </is>
      </c>
      <c r="B3455" s="1" t="n">
        <v>45595</v>
      </c>
      <c r="C3455" s="1" t="n">
        <v>45807</v>
      </c>
      <c r="D3455" t="inlineStr">
        <is>
          <t>VÄSTERBOTTENS LÄN</t>
        </is>
      </c>
      <c r="E3455" t="inlineStr">
        <is>
          <t>SKELLEFTEÅ</t>
        </is>
      </c>
      <c r="F3455" t="inlineStr">
        <is>
          <t>Holmen skog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49171-2024</t>
        </is>
      </c>
      <c r="B3456" s="1" t="n">
        <v>45595</v>
      </c>
      <c r="C3456" s="1" t="n">
        <v>45807</v>
      </c>
      <c r="D3456" t="inlineStr">
        <is>
          <t>VÄSTERBOTTENS LÄN</t>
        </is>
      </c>
      <c r="E3456" t="inlineStr">
        <is>
          <t>SKELLEFTEÅ</t>
        </is>
      </c>
      <c r="F3456" t="inlineStr">
        <is>
          <t>Sveaskog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49268-2024</t>
        </is>
      </c>
      <c r="B3457" s="1" t="n">
        <v>45595</v>
      </c>
      <c r="C3457" s="1" t="n">
        <v>45807</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49429-2024</t>
        </is>
      </c>
      <c r="B3458" s="1" t="n">
        <v>45595</v>
      </c>
      <c r="C3458" s="1" t="n">
        <v>45807</v>
      </c>
      <c r="D3458" t="inlineStr">
        <is>
          <t>VÄSTERBOTTENS LÄN</t>
        </is>
      </c>
      <c r="E3458" t="inlineStr">
        <is>
          <t>SKELLEFTEÅ</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49279-2024</t>
        </is>
      </c>
      <c r="B3459" s="1" t="n">
        <v>45595</v>
      </c>
      <c r="C3459" s="1" t="n">
        <v>45807</v>
      </c>
      <c r="D3459" t="inlineStr">
        <is>
          <t>VÄSTERBOTTENS LÄN</t>
        </is>
      </c>
      <c r="E3459" t="inlineStr">
        <is>
          <t>SKELLEFTEÅ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49356-2024</t>
        </is>
      </c>
      <c r="B3460" s="1" t="n">
        <v>45595</v>
      </c>
      <c r="C3460" s="1" t="n">
        <v>45807</v>
      </c>
      <c r="D3460" t="inlineStr">
        <is>
          <t>VÄSTERBOTTENS LÄN</t>
        </is>
      </c>
      <c r="E3460" t="inlineStr">
        <is>
          <t>SKELLEFTEÅ</t>
        </is>
      </c>
      <c r="F3460" t="inlineStr">
        <is>
          <t>Sveaskog</t>
        </is>
      </c>
      <c r="G3460" t="n">
        <v>12.8</v>
      </c>
      <c r="H3460" t="n">
        <v>0</v>
      </c>
      <c r="I3460" t="n">
        <v>0</v>
      </c>
      <c r="J3460" t="n">
        <v>0</v>
      </c>
      <c r="K3460" t="n">
        <v>0</v>
      </c>
      <c r="L3460" t="n">
        <v>0</v>
      </c>
      <c r="M3460" t="n">
        <v>0</v>
      </c>
      <c r="N3460" t="n">
        <v>0</v>
      </c>
      <c r="O3460" t="n">
        <v>0</v>
      </c>
      <c r="P3460" t="n">
        <v>0</v>
      </c>
      <c r="Q3460" t="n">
        <v>0</v>
      </c>
      <c r="R3460" s="2" t="inlineStr"/>
    </row>
    <row r="3461" ht="15" customHeight="1">
      <c r="A3461" t="inlineStr">
        <is>
          <t>A 49731-2024</t>
        </is>
      </c>
      <c r="B3461" s="1" t="n">
        <v>45596</v>
      </c>
      <c r="C3461" s="1" t="n">
        <v>45807</v>
      </c>
      <c r="D3461" t="inlineStr">
        <is>
          <t>VÄSTERBOTTENS LÄN</t>
        </is>
      </c>
      <c r="E3461" t="inlineStr">
        <is>
          <t>SKELLEFTEÅ</t>
        </is>
      </c>
      <c r="F3461" t="inlineStr">
        <is>
          <t>Sveaskog</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49844-2024</t>
        </is>
      </c>
      <c r="B3462" s="1" t="n">
        <v>45597</v>
      </c>
      <c r="C3462" s="1" t="n">
        <v>45807</v>
      </c>
      <c r="D3462" t="inlineStr">
        <is>
          <t>VÄSTERBOTTENS LÄN</t>
        </is>
      </c>
      <c r="E3462" t="inlineStr">
        <is>
          <t>SKELLEFTEÅ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49947-2024</t>
        </is>
      </c>
      <c r="B3463" s="1" t="n">
        <v>45597</v>
      </c>
      <c r="C3463" s="1" t="n">
        <v>45807</v>
      </c>
      <c r="D3463" t="inlineStr">
        <is>
          <t>VÄSTERBOTTENS LÄN</t>
        </is>
      </c>
      <c r="E3463" t="inlineStr">
        <is>
          <t>SKELLEFTEÅ</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49955-2024</t>
        </is>
      </c>
      <c r="B3464" s="1" t="n">
        <v>45597</v>
      </c>
      <c r="C3464" s="1" t="n">
        <v>45807</v>
      </c>
      <c r="D3464" t="inlineStr">
        <is>
          <t>VÄSTERBOTTENS LÄN</t>
        </is>
      </c>
      <c r="E3464" t="inlineStr">
        <is>
          <t>SKELLEFTEÅ</t>
        </is>
      </c>
      <c r="F3464" t="inlineStr">
        <is>
          <t>Sveaskog</t>
        </is>
      </c>
      <c r="G3464" t="n">
        <v>11.5</v>
      </c>
      <c r="H3464" t="n">
        <v>0</v>
      </c>
      <c r="I3464" t="n">
        <v>0</v>
      </c>
      <c r="J3464" t="n">
        <v>0</v>
      </c>
      <c r="K3464" t="n">
        <v>0</v>
      </c>
      <c r="L3464" t="n">
        <v>0</v>
      </c>
      <c r="M3464" t="n">
        <v>0</v>
      </c>
      <c r="N3464" t="n">
        <v>0</v>
      </c>
      <c r="O3464" t="n">
        <v>0</v>
      </c>
      <c r="P3464" t="n">
        <v>0</v>
      </c>
      <c r="Q3464" t="n">
        <v>0</v>
      </c>
      <c r="R3464" s="2" t="inlineStr"/>
    </row>
    <row r="3465" ht="15" customHeight="1">
      <c r="A3465" t="inlineStr">
        <is>
          <t>A 49811-2024</t>
        </is>
      </c>
      <c r="B3465" s="1" t="n">
        <v>45597</v>
      </c>
      <c r="C3465" s="1" t="n">
        <v>45807</v>
      </c>
      <c r="D3465" t="inlineStr">
        <is>
          <t>VÄSTERBOTTENS LÄN</t>
        </is>
      </c>
      <c r="E3465" t="inlineStr">
        <is>
          <t>SKELLEFTEÅ</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49981-2024</t>
        </is>
      </c>
      <c r="B3466" s="1" t="n">
        <v>45597</v>
      </c>
      <c r="C3466" s="1" t="n">
        <v>45807</v>
      </c>
      <c r="D3466" t="inlineStr">
        <is>
          <t>VÄSTERBOTTENS LÄN</t>
        </is>
      </c>
      <c r="E3466" t="inlineStr">
        <is>
          <t>SKELLEFTEÅ</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50082-2024</t>
        </is>
      </c>
      <c r="B3467" s="1" t="n">
        <v>45597</v>
      </c>
      <c r="C3467" s="1" t="n">
        <v>45807</v>
      </c>
      <c r="D3467" t="inlineStr">
        <is>
          <t>VÄSTERBOTTENS LÄN</t>
        </is>
      </c>
      <c r="E3467" t="inlineStr">
        <is>
          <t>SKELLEFTEÅ</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50059-2024</t>
        </is>
      </c>
      <c r="B3468" s="1" t="n">
        <v>45600</v>
      </c>
      <c r="C3468" s="1" t="n">
        <v>45807</v>
      </c>
      <c r="D3468" t="inlineStr">
        <is>
          <t>VÄSTERBOTTENS LÄN</t>
        </is>
      </c>
      <c r="E3468" t="inlineStr">
        <is>
          <t>SKELLEFTEÅ</t>
        </is>
      </c>
      <c r="F3468" t="inlineStr">
        <is>
          <t>Kommuner</t>
        </is>
      </c>
      <c r="G3468" t="n">
        <v>13.7</v>
      </c>
      <c r="H3468" t="n">
        <v>0</v>
      </c>
      <c r="I3468" t="n">
        <v>0</v>
      </c>
      <c r="J3468" t="n">
        <v>0</v>
      </c>
      <c r="K3468" t="n">
        <v>0</v>
      </c>
      <c r="L3468" t="n">
        <v>0</v>
      </c>
      <c r="M3468" t="n">
        <v>0</v>
      </c>
      <c r="N3468" t="n">
        <v>0</v>
      </c>
      <c r="O3468" t="n">
        <v>0</v>
      </c>
      <c r="P3468" t="n">
        <v>0</v>
      </c>
      <c r="Q3468" t="n">
        <v>0</v>
      </c>
      <c r="R3468" s="2" t="inlineStr"/>
    </row>
    <row r="3469" ht="15" customHeight="1">
      <c r="A3469" t="inlineStr">
        <is>
          <t>A 50070-2024</t>
        </is>
      </c>
      <c r="B3469" s="1" t="n">
        <v>45600</v>
      </c>
      <c r="C3469" s="1" t="n">
        <v>45807</v>
      </c>
      <c r="D3469" t="inlineStr">
        <is>
          <t>VÄSTERBOTTENS LÄN</t>
        </is>
      </c>
      <c r="E3469" t="inlineStr">
        <is>
          <t>SKELLEFTEÅ</t>
        </is>
      </c>
      <c r="F3469" t="inlineStr">
        <is>
          <t>Kommuner</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50058-2024</t>
        </is>
      </c>
      <c r="B3470" s="1" t="n">
        <v>45600</v>
      </c>
      <c r="C3470" s="1" t="n">
        <v>45807</v>
      </c>
      <c r="D3470" t="inlineStr">
        <is>
          <t>VÄSTERBOTTENS LÄN</t>
        </is>
      </c>
      <c r="E3470" t="inlineStr">
        <is>
          <t>SKELLEFTEÅ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50263-2024</t>
        </is>
      </c>
      <c r="B3471" s="1" t="n">
        <v>45600</v>
      </c>
      <c r="C3471" s="1" t="n">
        <v>45807</v>
      </c>
      <c r="D3471" t="inlineStr">
        <is>
          <t>VÄSTERBOTTENS LÄN</t>
        </is>
      </c>
      <c r="E3471" t="inlineStr">
        <is>
          <t>SKELLEFTEÅ</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50335-2024</t>
        </is>
      </c>
      <c r="B3472" s="1" t="n">
        <v>45600</v>
      </c>
      <c r="C3472" s="1" t="n">
        <v>45807</v>
      </c>
      <c r="D3472" t="inlineStr">
        <is>
          <t>VÄSTERBOTTENS LÄN</t>
        </is>
      </c>
      <c r="E3472" t="inlineStr">
        <is>
          <t>SKELLEFTEÅ</t>
        </is>
      </c>
      <c r="F3472" t="inlineStr">
        <is>
          <t>Holmen skog AB</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50232-2024</t>
        </is>
      </c>
      <c r="B3473" s="1" t="n">
        <v>45600</v>
      </c>
      <c r="C3473" s="1" t="n">
        <v>45807</v>
      </c>
      <c r="D3473" t="inlineStr">
        <is>
          <t>VÄSTERBOTTENS LÄN</t>
        </is>
      </c>
      <c r="E3473" t="inlineStr">
        <is>
          <t>SKELLEFTEÅ</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50276-2024</t>
        </is>
      </c>
      <c r="B3474" s="1" t="n">
        <v>45600</v>
      </c>
      <c r="C3474" s="1" t="n">
        <v>45807</v>
      </c>
      <c r="D3474" t="inlineStr">
        <is>
          <t>VÄSTERBOTTENS LÄN</t>
        </is>
      </c>
      <c r="E3474" t="inlineStr">
        <is>
          <t>SKELLEFTEÅ</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50288-2024</t>
        </is>
      </c>
      <c r="B3475" s="1" t="n">
        <v>45600</v>
      </c>
      <c r="C3475" s="1" t="n">
        <v>45807</v>
      </c>
      <c r="D3475" t="inlineStr">
        <is>
          <t>VÄSTERBOTTENS LÄN</t>
        </is>
      </c>
      <c r="E3475" t="inlineStr">
        <is>
          <t>SKELLEFTEÅ</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50322-2024</t>
        </is>
      </c>
      <c r="B3476" s="1" t="n">
        <v>45600</v>
      </c>
      <c r="C3476" s="1" t="n">
        <v>45807</v>
      </c>
      <c r="D3476" t="inlineStr">
        <is>
          <t>VÄSTERBOTTENS LÄN</t>
        </is>
      </c>
      <c r="E3476" t="inlineStr">
        <is>
          <t>SKELLEFTEÅ</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50515-2024</t>
        </is>
      </c>
      <c r="B3477" s="1" t="n">
        <v>45601</v>
      </c>
      <c r="C3477" s="1" t="n">
        <v>45807</v>
      </c>
      <c r="D3477" t="inlineStr">
        <is>
          <t>VÄSTERBOTTENS LÄN</t>
        </is>
      </c>
      <c r="E3477" t="inlineStr">
        <is>
          <t>SKELLEFTEÅ</t>
        </is>
      </c>
      <c r="F3477" t="inlineStr">
        <is>
          <t>Holmen skog AB</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50476-2024</t>
        </is>
      </c>
      <c r="B3478" s="1" t="n">
        <v>45601</v>
      </c>
      <c r="C3478" s="1" t="n">
        <v>45807</v>
      </c>
      <c r="D3478" t="inlineStr">
        <is>
          <t>VÄSTERBOTTENS LÄN</t>
        </is>
      </c>
      <c r="E3478" t="inlineStr">
        <is>
          <t>SKELLEFTEÅ</t>
        </is>
      </c>
      <c r="F3478" t="inlineStr">
        <is>
          <t>Holmen skog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50439-2024</t>
        </is>
      </c>
      <c r="B3479" s="1" t="n">
        <v>45601</v>
      </c>
      <c r="C3479" s="1" t="n">
        <v>45807</v>
      </c>
      <c r="D3479" t="inlineStr">
        <is>
          <t>VÄSTERBOTTENS LÄN</t>
        </is>
      </c>
      <c r="E3479" t="inlineStr">
        <is>
          <t>SKELLEFTEÅ</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50450-2024</t>
        </is>
      </c>
      <c r="B3480" s="1" t="n">
        <v>45601</v>
      </c>
      <c r="C3480" s="1" t="n">
        <v>45807</v>
      </c>
      <c r="D3480" t="inlineStr">
        <is>
          <t>VÄSTERBOTTENS LÄN</t>
        </is>
      </c>
      <c r="E3480" t="inlineStr">
        <is>
          <t>SKELLEFTEÅ</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50752-2024</t>
        </is>
      </c>
      <c r="B3481" s="1" t="n">
        <v>45602</v>
      </c>
      <c r="C3481" s="1" t="n">
        <v>45807</v>
      </c>
      <c r="D3481" t="inlineStr">
        <is>
          <t>VÄSTERBOTTENS LÄN</t>
        </is>
      </c>
      <c r="E3481" t="inlineStr">
        <is>
          <t>SKELLEFTEÅ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50795-2024</t>
        </is>
      </c>
      <c r="B3482" s="1" t="n">
        <v>45602</v>
      </c>
      <c r="C3482" s="1" t="n">
        <v>45807</v>
      </c>
      <c r="D3482" t="inlineStr">
        <is>
          <t>VÄSTERBOTTENS LÄN</t>
        </is>
      </c>
      <c r="E3482" t="inlineStr">
        <is>
          <t>SKELLEFTEÅ</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50862-2024</t>
        </is>
      </c>
      <c r="B3483" s="1" t="n">
        <v>45602</v>
      </c>
      <c r="C3483" s="1" t="n">
        <v>45807</v>
      </c>
      <c r="D3483" t="inlineStr">
        <is>
          <t>VÄSTERBOTTENS LÄN</t>
        </is>
      </c>
      <c r="E3483" t="inlineStr">
        <is>
          <t>SKELLEFTEÅ</t>
        </is>
      </c>
      <c r="F3483" t="inlineStr">
        <is>
          <t>Holmen skog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50894-2024</t>
        </is>
      </c>
      <c r="B3484" s="1" t="n">
        <v>45602</v>
      </c>
      <c r="C3484" s="1" t="n">
        <v>45807</v>
      </c>
      <c r="D3484" t="inlineStr">
        <is>
          <t>VÄSTERBOTTENS LÄN</t>
        </is>
      </c>
      <c r="E3484" t="inlineStr">
        <is>
          <t>SKELLEFTEÅ</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51006-2024</t>
        </is>
      </c>
      <c r="B3485" s="1" t="n">
        <v>45603</v>
      </c>
      <c r="C3485" s="1" t="n">
        <v>45807</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51179-2024</t>
        </is>
      </c>
      <c r="B3486" s="1" t="n">
        <v>45603</v>
      </c>
      <c r="C3486" s="1" t="n">
        <v>45807</v>
      </c>
      <c r="D3486" t="inlineStr">
        <is>
          <t>VÄSTERBOTTENS LÄN</t>
        </is>
      </c>
      <c r="E3486" t="inlineStr">
        <is>
          <t>SKELLEFTEÅ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51165-2024</t>
        </is>
      </c>
      <c r="B3487" s="1" t="n">
        <v>45603</v>
      </c>
      <c r="C3487" s="1" t="n">
        <v>45807</v>
      </c>
      <c r="D3487" t="inlineStr">
        <is>
          <t>VÄSTERBOTTENS LÄN</t>
        </is>
      </c>
      <c r="E3487" t="inlineStr">
        <is>
          <t>SKELLEFTEÅ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51116-2024</t>
        </is>
      </c>
      <c r="B3488" s="1" t="n">
        <v>45603</v>
      </c>
      <c r="C3488" s="1" t="n">
        <v>45807</v>
      </c>
      <c r="D3488" t="inlineStr">
        <is>
          <t>VÄSTERBOTTENS LÄN</t>
        </is>
      </c>
      <c r="E3488" t="inlineStr">
        <is>
          <t>SKELLEFTEÅ</t>
        </is>
      </c>
      <c r="F3488" t="inlineStr">
        <is>
          <t>Holmen skog AB</t>
        </is>
      </c>
      <c r="G3488" t="n">
        <v>12.1</v>
      </c>
      <c r="H3488" t="n">
        <v>0</v>
      </c>
      <c r="I3488" t="n">
        <v>0</v>
      </c>
      <c r="J3488" t="n">
        <v>0</v>
      </c>
      <c r="K3488" t="n">
        <v>0</v>
      </c>
      <c r="L3488" t="n">
        <v>0</v>
      </c>
      <c r="M3488" t="n">
        <v>0</v>
      </c>
      <c r="N3488" t="n">
        <v>0</v>
      </c>
      <c r="O3488" t="n">
        <v>0</v>
      </c>
      <c r="P3488" t="n">
        <v>0</v>
      </c>
      <c r="Q3488" t="n">
        <v>0</v>
      </c>
      <c r="R3488" s="2" t="inlineStr"/>
    </row>
    <row r="3489" ht="15" customHeight="1">
      <c r="A3489" t="inlineStr">
        <is>
          <t>A 51357-2024</t>
        </is>
      </c>
      <c r="B3489" s="1" t="n">
        <v>45603</v>
      </c>
      <c r="C3489" s="1" t="n">
        <v>45807</v>
      </c>
      <c r="D3489" t="inlineStr">
        <is>
          <t>VÄSTERBOTTENS LÄN</t>
        </is>
      </c>
      <c r="E3489" t="inlineStr">
        <is>
          <t>SKELLEFTEÅ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51348-2024</t>
        </is>
      </c>
      <c r="B3490" s="1" t="n">
        <v>45603</v>
      </c>
      <c r="C3490" s="1" t="n">
        <v>45807</v>
      </c>
      <c r="D3490" t="inlineStr">
        <is>
          <t>VÄSTERBOTTENS LÄN</t>
        </is>
      </c>
      <c r="E3490" t="inlineStr">
        <is>
          <t>SKELLEFTEÅ</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51332-2024</t>
        </is>
      </c>
      <c r="B3491" s="1" t="n">
        <v>45604</v>
      </c>
      <c r="C3491" s="1" t="n">
        <v>45807</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51356-2024</t>
        </is>
      </c>
      <c r="B3492" s="1" t="n">
        <v>45604</v>
      </c>
      <c r="C3492" s="1" t="n">
        <v>45807</v>
      </c>
      <c r="D3492" t="inlineStr">
        <is>
          <t>VÄSTERBOTTENS LÄN</t>
        </is>
      </c>
      <c r="E3492" t="inlineStr">
        <is>
          <t>SKELLEFTEÅ</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51363-2024</t>
        </is>
      </c>
      <c r="B3493" s="1" t="n">
        <v>45604</v>
      </c>
      <c r="C3493" s="1" t="n">
        <v>45807</v>
      </c>
      <c r="D3493" t="inlineStr">
        <is>
          <t>VÄSTERBOTTENS LÄN</t>
        </is>
      </c>
      <c r="E3493" t="inlineStr">
        <is>
          <t>SKELLEFTEÅ</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51382-2024</t>
        </is>
      </c>
      <c r="B3494" s="1" t="n">
        <v>45604</v>
      </c>
      <c r="C3494" s="1" t="n">
        <v>45807</v>
      </c>
      <c r="D3494" t="inlineStr">
        <is>
          <t>VÄSTERBOTTENS LÄN</t>
        </is>
      </c>
      <c r="E3494" t="inlineStr">
        <is>
          <t>SKELLEFTEÅ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51362-2024</t>
        </is>
      </c>
      <c r="B3495" s="1" t="n">
        <v>45604</v>
      </c>
      <c r="C3495" s="1" t="n">
        <v>45807</v>
      </c>
      <c r="D3495" t="inlineStr">
        <is>
          <t>VÄSTERBOTTENS LÄN</t>
        </is>
      </c>
      <c r="E3495" t="inlineStr">
        <is>
          <t>SKELLEFTEÅ</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51383-2024</t>
        </is>
      </c>
      <c r="B3496" s="1" t="n">
        <v>45604</v>
      </c>
      <c r="C3496" s="1" t="n">
        <v>45807</v>
      </c>
      <c r="D3496" t="inlineStr">
        <is>
          <t>VÄSTERBOTTENS LÄN</t>
        </is>
      </c>
      <c r="E3496" t="inlineStr">
        <is>
          <t>SKELLEFTEÅ</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51439-2024</t>
        </is>
      </c>
      <c r="B3497" s="1" t="n">
        <v>45604</v>
      </c>
      <c r="C3497" s="1" t="n">
        <v>45807</v>
      </c>
      <c r="D3497" t="inlineStr">
        <is>
          <t>VÄSTERBOTTENS LÄN</t>
        </is>
      </c>
      <c r="E3497" t="inlineStr">
        <is>
          <t>SKELLEFTEÅ</t>
        </is>
      </c>
      <c r="F3497" t="inlineStr">
        <is>
          <t>Holmen skog AB</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51592-2024</t>
        </is>
      </c>
      <c r="B3498" s="1" t="n">
        <v>45604</v>
      </c>
      <c r="C3498" s="1" t="n">
        <v>45807</v>
      </c>
      <c r="D3498" t="inlineStr">
        <is>
          <t>VÄSTERBOTTENS LÄN</t>
        </is>
      </c>
      <c r="E3498" t="inlineStr">
        <is>
          <t>SKELLEFTEÅ</t>
        </is>
      </c>
      <c r="F3498" t="inlineStr">
        <is>
          <t>Sveaskog</t>
        </is>
      </c>
      <c r="G3498" t="n">
        <v>15.1</v>
      </c>
      <c r="H3498" t="n">
        <v>0</v>
      </c>
      <c r="I3498" t="n">
        <v>0</v>
      </c>
      <c r="J3498" t="n">
        <v>0</v>
      </c>
      <c r="K3498" t="n">
        <v>0</v>
      </c>
      <c r="L3498" t="n">
        <v>0</v>
      </c>
      <c r="M3498" t="n">
        <v>0</v>
      </c>
      <c r="N3498" t="n">
        <v>0</v>
      </c>
      <c r="O3498" t="n">
        <v>0</v>
      </c>
      <c r="P3498" t="n">
        <v>0</v>
      </c>
      <c r="Q3498" t="n">
        <v>0</v>
      </c>
      <c r="R3498" s="2" t="inlineStr"/>
    </row>
    <row r="3499" ht="15" customHeight="1">
      <c r="A3499" t="inlineStr">
        <is>
          <t>A 51319-2024</t>
        </is>
      </c>
      <c r="B3499" s="1" t="n">
        <v>45604</v>
      </c>
      <c r="C3499" s="1" t="n">
        <v>45807</v>
      </c>
      <c r="D3499" t="inlineStr">
        <is>
          <t>VÄSTERBOTTENS LÄN</t>
        </is>
      </c>
      <c r="E3499" t="inlineStr">
        <is>
          <t>SKELLEFTEÅ</t>
        </is>
      </c>
      <c r="F3499" t="inlineStr">
        <is>
          <t>Kommuner</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51993-2024</t>
        </is>
      </c>
      <c r="B3500" s="1" t="n">
        <v>45607</v>
      </c>
      <c r="C3500" s="1" t="n">
        <v>45807</v>
      </c>
      <c r="D3500" t="inlineStr">
        <is>
          <t>VÄSTERBOTTENS LÄN</t>
        </is>
      </c>
      <c r="E3500" t="inlineStr">
        <is>
          <t>SKELLEFTEÅ</t>
        </is>
      </c>
      <c r="F3500" t="inlineStr">
        <is>
          <t>Kommuner</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51991-2024</t>
        </is>
      </c>
      <c r="B3501" s="1" t="n">
        <v>45607</v>
      </c>
      <c r="C3501" s="1" t="n">
        <v>45807</v>
      </c>
      <c r="D3501" t="inlineStr">
        <is>
          <t>VÄSTERBOTTENS LÄN</t>
        </is>
      </c>
      <c r="E3501" t="inlineStr">
        <is>
          <t>SKELLEFTEÅ</t>
        </is>
      </c>
      <c r="F3501" t="inlineStr">
        <is>
          <t>Kommuner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51810-2024</t>
        </is>
      </c>
      <c r="B3502" s="1" t="n">
        <v>45607</v>
      </c>
      <c r="C3502" s="1" t="n">
        <v>45807</v>
      </c>
      <c r="D3502" t="inlineStr">
        <is>
          <t>VÄSTERBOTTENS LÄN</t>
        </is>
      </c>
      <c r="E3502" t="inlineStr">
        <is>
          <t>SKELLEFTEÅ</t>
        </is>
      </c>
      <c r="G3502" t="n">
        <v>9.699999999999999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52157-2024</t>
        </is>
      </c>
      <c r="B3503" s="1" t="n">
        <v>45608</v>
      </c>
      <c r="C3503" s="1" t="n">
        <v>45807</v>
      </c>
      <c r="D3503" t="inlineStr">
        <is>
          <t>VÄSTERBOTTENS LÄN</t>
        </is>
      </c>
      <c r="E3503" t="inlineStr">
        <is>
          <t>SKELLEFTEÅ</t>
        </is>
      </c>
      <c r="F3503" t="inlineStr">
        <is>
          <t>Holmen skog AB</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52098-2024</t>
        </is>
      </c>
      <c r="B3504" s="1" t="n">
        <v>45608</v>
      </c>
      <c r="C3504" s="1" t="n">
        <v>45807</v>
      </c>
      <c r="D3504" t="inlineStr">
        <is>
          <t>VÄSTERBOTTENS LÄN</t>
        </is>
      </c>
      <c r="E3504" t="inlineStr">
        <is>
          <t>SKELLEFTEÅ</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52410-2024</t>
        </is>
      </c>
      <c r="B3505" s="1" t="n">
        <v>45608</v>
      </c>
      <c r="C3505" s="1" t="n">
        <v>45807</v>
      </c>
      <c r="D3505" t="inlineStr">
        <is>
          <t>VÄSTERBOTTENS LÄN</t>
        </is>
      </c>
      <c r="E3505" t="inlineStr">
        <is>
          <t>SKELLEFTEÅ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52245-2024</t>
        </is>
      </c>
      <c r="B3506" s="1" t="n">
        <v>45608</v>
      </c>
      <c r="C3506" s="1" t="n">
        <v>45807</v>
      </c>
      <c r="D3506" t="inlineStr">
        <is>
          <t>VÄSTERBOTTENS LÄN</t>
        </is>
      </c>
      <c r="E3506" t="inlineStr">
        <is>
          <t>SKELLEFTEÅ</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52417-2024</t>
        </is>
      </c>
      <c r="B3507" s="1" t="n">
        <v>45608</v>
      </c>
      <c r="C3507" s="1" t="n">
        <v>45807</v>
      </c>
      <c r="D3507" t="inlineStr">
        <is>
          <t>VÄSTERBOTTENS LÄN</t>
        </is>
      </c>
      <c r="E3507" t="inlineStr">
        <is>
          <t>SKELLEFTEÅ</t>
        </is>
      </c>
      <c r="G3507" t="n">
        <v>11.1</v>
      </c>
      <c r="H3507" t="n">
        <v>0</v>
      </c>
      <c r="I3507" t="n">
        <v>0</v>
      </c>
      <c r="J3507" t="n">
        <v>0</v>
      </c>
      <c r="K3507" t="n">
        <v>0</v>
      </c>
      <c r="L3507" t="n">
        <v>0</v>
      </c>
      <c r="M3507" t="n">
        <v>0</v>
      </c>
      <c r="N3507" t="n">
        <v>0</v>
      </c>
      <c r="O3507" t="n">
        <v>0</v>
      </c>
      <c r="P3507" t="n">
        <v>0</v>
      </c>
      <c r="Q3507" t="n">
        <v>0</v>
      </c>
      <c r="R3507" s="2" t="inlineStr"/>
    </row>
    <row r="3508" ht="15" customHeight="1">
      <c r="A3508" t="inlineStr">
        <is>
          <t>A 52218-2024</t>
        </is>
      </c>
      <c r="B3508" s="1" t="n">
        <v>45608</v>
      </c>
      <c r="C3508" s="1" t="n">
        <v>45807</v>
      </c>
      <c r="D3508" t="inlineStr">
        <is>
          <t>VÄSTERBOTTENS LÄN</t>
        </is>
      </c>
      <c r="E3508" t="inlineStr">
        <is>
          <t>SKELLEFTEÅ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52108-2024</t>
        </is>
      </c>
      <c r="B3509" s="1" t="n">
        <v>45608</v>
      </c>
      <c r="C3509" s="1" t="n">
        <v>45807</v>
      </c>
      <c r="D3509" t="inlineStr">
        <is>
          <t>VÄSTERBOTTENS LÄN</t>
        </is>
      </c>
      <c r="E3509" t="inlineStr">
        <is>
          <t>SKELLEFTEÅ</t>
        </is>
      </c>
      <c r="F3509" t="inlineStr">
        <is>
          <t>Holmen skog AB</t>
        </is>
      </c>
      <c r="G3509" t="n">
        <v>14.1</v>
      </c>
      <c r="H3509" t="n">
        <v>0</v>
      </c>
      <c r="I3509" t="n">
        <v>0</v>
      </c>
      <c r="J3509" t="n">
        <v>0</v>
      </c>
      <c r="K3509" t="n">
        <v>0</v>
      </c>
      <c r="L3509" t="n">
        <v>0</v>
      </c>
      <c r="M3509" t="n">
        <v>0</v>
      </c>
      <c r="N3509" t="n">
        <v>0</v>
      </c>
      <c r="O3509" t="n">
        <v>0</v>
      </c>
      <c r="P3509" t="n">
        <v>0</v>
      </c>
      <c r="Q3509" t="n">
        <v>0</v>
      </c>
      <c r="R3509" s="2" t="inlineStr"/>
    </row>
    <row r="3510" ht="15" customHeight="1">
      <c r="A3510" t="inlineStr">
        <is>
          <t>A 52509-2024</t>
        </is>
      </c>
      <c r="B3510" s="1" t="n">
        <v>45609</v>
      </c>
      <c r="C3510" s="1" t="n">
        <v>45807</v>
      </c>
      <c r="D3510" t="inlineStr">
        <is>
          <t>VÄSTERBOTTENS LÄN</t>
        </is>
      </c>
      <c r="E3510" t="inlineStr">
        <is>
          <t>SKELLEFTEÅ</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52587-2024</t>
        </is>
      </c>
      <c r="B3511" s="1" t="n">
        <v>45609</v>
      </c>
      <c r="C3511" s="1" t="n">
        <v>45807</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52620-2024</t>
        </is>
      </c>
      <c r="B3512" s="1" t="n">
        <v>45609</v>
      </c>
      <c r="C3512" s="1" t="n">
        <v>45807</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52693-2024</t>
        </is>
      </c>
      <c r="B3513" s="1" t="n">
        <v>45610</v>
      </c>
      <c r="C3513" s="1" t="n">
        <v>45807</v>
      </c>
      <c r="D3513" t="inlineStr">
        <is>
          <t>VÄSTERBOTTENS LÄN</t>
        </is>
      </c>
      <c r="E3513" t="inlineStr">
        <is>
          <t>SKELLEFTEÅ</t>
        </is>
      </c>
      <c r="F3513" t="inlineStr">
        <is>
          <t>Holmen skog AB</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52744-2024</t>
        </is>
      </c>
      <c r="B3514" s="1" t="n">
        <v>45610</v>
      </c>
      <c r="C3514" s="1" t="n">
        <v>45807</v>
      </c>
      <c r="D3514" t="inlineStr">
        <is>
          <t>VÄSTERBOTTENS LÄN</t>
        </is>
      </c>
      <c r="E3514" t="inlineStr">
        <is>
          <t>SKELLEFTEÅ</t>
        </is>
      </c>
      <c r="G3514" t="n">
        <v>10.6</v>
      </c>
      <c r="H3514" t="n">
        <v>0</v>
      </c>
      <c r="I3514" t="n">
        <v>0</v>
      </c>
      <c r="J3514" t="n">
        <v>0</v>
      </c>
      <c r="K3514" t="n">
        <v>0</v>
      </c>
      <c r="L3514" t="n">
        <v>0</v>
      </c>
      <c r="M3514" t="n">
        <v>0</v>
      </c>
      <c r="N3514" t="n">
        <v>0</v>
      </c>
      <c r="O3514" t="n">
        <v>0</v>
      </c>
      <c r="P3514" t="n">
        <v>0</v>
      </c>
      <c r="Q3514" t="n">
        <v>0</v>
      </c>
      <c r="R3514" s="2" t="inlineStr"/>
    </row>
    <row r="3515" ht="15" customHeight="1">
      <c r="A3515" t="inlineStr">
        <is>
          <t>A 52767-2024</t>
        </is>
      </c>
      <c r="B3515" s="1" t="n">
        <v>45610</v>
      </c>
      <c r="C3515" s="1" t="n">
        <v>45807</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52864-2024</t>
        </is>
      </c>
      <c r="B3516" s="1" t="n">
        <v>45610</v>
      </c>
      <c r="C3516" s="1" t="n">
        <v>45807</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52920-2024</t>
        </is>
      </c>
      <c r="B3517" s="1" t="n">
        <v>45610</v>
      </c>
      <c r="C3517" s="1" t="n">
        <v>45807</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52830-2024</t>
        </is>
      </c>
      <c r="B3518" s="1" t="n">
        <v>45610</v>
      </c>
      <c r="C3518" s="1" t="n">
        <v>45807</v>
      </c>
      <c r="D3518" t="inlineStr">
        <is>
          <t>VÄSTERBOTTENS LÄN</t>
        </is>
      </c>
      <c r="E3518" t="inlineStr">
        <is>
          <t>SKELLEFTEÅ</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52862-2024</t>
        </is>
      </c>
      <c r="B3519" s="1" t="n">
        <v>45610</v>
      </c>
      <c r="C3519" s="1" t="n">
        <v>45807</v>
      </c>
      <c r="D3519" t="inlineStr">
        <is>
          <t>VÄSTERBOTTENS LÄN</t>
        </is>
      </c>
      <c r="E3519" t="inlineStr">
        <is>
          <t>SKELLEFTEÅ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53000-2024</t>
        </is>
      </c>
      <c r="B3520" s="1" t="n">
        <v>45611</v>
      </c>
      <c r="C3520" s="1" t="n">
        <v>45807</v>
      </c>
      <c r="D3520" t="inlineStr">
        <is>
          <t>VÄSTERBOTTENS LÄN</t>
        </is>
      </c>
      <c r="E3520" t="inlineStr">
        <is>
          <t>SKELLEFTEÅ</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53124-2024</t>
        </is>
      </c>
      <c r="B3521" s="1" t="n">
        <v>45611</v>
      </c>
      <c r="C3521" s="1" t="n">
        <v>45807</v>
      </c>
      <c r="D3521" t="inlineStr">
        <is>
          <t>VÄSTERBOTTENS LÄN</t>
        </is>
      </c>
      <c r="E3521" t="inlineStr">
        <is>
          <t>SKELLEFTEÅ</t>
        </is>
      </c>
      <c r="F3521" t="inlineStr">
        <is>
          <t>Holmen skog AB</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53117-2024</t>
        </is>
      </c>
      <c r="B3522" s="1" t="n">
        <v>45611</v>
      </c>
      <c r="C3522" s="1" t="n">
        <v>45807</v>
      </c>
      <c r="D3522" t="inlineStr">
        <is>
          <t>VÄSTERBOTTENS LÄN</t>
        </is>
      </c>
      <c r="E3522" t="inlineStr">
        <is>
          <t>SKELLEFTEÅ</t>
        </is>
      </c>
      <c r="F3522" t="inlineStr">
        <is>
          <t>Kommuner</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52999-2024</t>
        </is>
      </c>
      <c r="B3523" s="1" t="n">
        <v>45611</v>
      </c>
      <c r="C3523" s="1" t="n">
        <v>45807</v>
      </c>
      <c r="D3523" t="inlineStr">
        <is>
          <t>VÄSTERBOTTENS LÄN</t>
        </is>
      </c>
      <c r="E3523" t="inlineStr">
        <is>
          <t>SKELLEFTEÅ</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53419-2024</t>
        </is>
      </c>
      <c r="B3524" s="1" t="n">
        <v>45614</v>
      </c>
      <c r="C3524" s="1" t="n">
        <v>45807</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53257-2024</t>
        </is>
      </c>
      <c r="B3525" s="1" t="n">
        <v>45614</v>
      </c>
      <c r="C3525" s="1" t="n">
        <v>45807</v>
      </c>
      <c r="D3525" t="inlineStr">
        <is>
          <t>VÄSTERBOTTENS LÄN</t>
        </is>
      </c>
      <c r="E3525" t="inlineStr">
        <is>
          <t>SKELLEFTEÅ</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53505-2024</t>
        </is>
      </c>
      <c r="B3526" s="1" t="n">
        <v>45614</v>
      </c>
      <c r="C3526" s="1" t="n">
        <v>45807</v>
      </c>
      <c r="D3526" t="inlineStr">
        <is>
          <t>VÄSTERBOTTENS LÄN</t>
        </is>
      </c>
      <c r="E3526" t="inlineStr">
        <is>
          <t>SKELLEFTEÅ</t>
        </is>
      </c>
      <c r="F3526" t="inlineStr">
        <is>
          <t>Holmen skog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53420-2024</t>
        </is>
      </c>
      <c r="B3527" s="1" t="n">
        <v>45614</v>
      </c>
      <c r="C3527" s="1" t="n">
        <v>45807</v>
      </c>
      <c r="D3527" t="inlineStr">
        <is>
          <t>VÄSTERBOTTENS LÄN</t>
        </is>
      </c>
      <c r="E3527" t="inlineStr">
        <is>
          <t>SKELLEFTEÅ</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53635-2024</t>
        </is>
      </c>
      <c r="B3528" s="1" t="n">
        <v>45614</v>
      </c>
      <c r="C3528" s="1" t="n">
        <v>45807</v>
      </c>
      <c r="D3528" t="inlineStr">
        <is>
          <t>VÄSTERBOTTENS LÄN</t>
        </is>
      </c>
      <c r="E3528" t="inlineStr">
        <is>
          <t>SKELLEFTEÅ</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53430-2024</t>
        </is>
      </c>
      <c r="B3529" s="1" t="n">
        <v>45614</v>
      </c>
      <c r="C3529" s="1" t="n">
        <v>45807</v>
      </c>
      <c r="D3529" t="inlineStr">
        <is>
          <t>VÄSTERBOTTENS LÄN</t>
        </is>
      </c>
      <c r="E3529" t="inlineStr">
        <is>
          <t>SKELLEFTEÅ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53426-2024</t>
        </is>
      </c>
      <c r="B3530" s="1" t="n">
        <v>45614</v>
      </c>
      <c r="C3530" s="1" t="n">
        <v>45807</v>
      </c>
      <c r="D3530" t="inlineStr">
        <is>
          <t>VÄSTERBOTTENS LÄN</t>
        </is>
      </c>
      <c r="E3530" t="inlineStr">
        <is>
          <t>SKELLEFTEÅ</t>
        </is>
      </c>
      <c r="G3530" t="n">
        <v>19.2</v>
      </c>
      <c r="H3530" t="n">
        <v>0</v>
      </c>
      <c r="I3530" t="n">
        <v>0</v>
      </c>
      <c r="J3530" t="n">
        <v>0</v>
      </c>
      <c r="K3530" t="n">
        <v>0</v>
      </c>
      <c r="L3530" t="n">
        <v>0</v>
      </c>
      <c r="M3530" t="n">
        <v>0</v>
      </c>
      <c r="N3530" t="n">
        <v>0</v>
      </c>
      <c r="O3530" t="n">
        <v>0</v>
      </c>
      <c r="P3530" t="n">
        <v>0</v>
      </c>
      <c r="Q3530" t="n">
        <v>0</v>
      </c>
      <c r="R3530" s="2" t="inlineStr"/>
    </row>
    <row r="3531" ht="15" customHeight="1">
      <c r="A3531" t="inlineStr">
        <is>
          <t>A 53445-2024</t>
        </is>
      </c>
      <c r="B3531" s="1" t="n">
        <v>45614</v>
      </c>
      <c r="C3531" s="1" t="n">
        <v>45807</v>
      </c>
      <c r="D3531" t="inlineStr">
        <is>
          <t>VÄSTERBOTTENS LÄN</t>
        </is>
      </c>
      <c r="E3531" t="inlineStr">
        <is>
          <t>SKELLEFTEÅ</t>
        </is>
      </c>
      <c r="F3531" t="inlineStr">
        <is>
          <t>Holmen skog AB</t>
        </is>
      </c>
      <c r="G3531" t="n">
        <v>14.3</v>
      </c>
      <c r="H3531" t="n">
        <v>0</v>
      </c>
      <c r="I3531" t="n">
        <v>0</v>
      </c>
      <c r="J3531" t="n">
        <v>0</v>
      </c>
      <c r="K3531" t="n">
        <v>0</v>
      </c>
      <c r="L3531" t="n">
        <v>0</v>
      </c>
      <c r="M3531" t="n">
        <v>0</v>
      </c>
      <c r="N3531" t="n">
        <v>0</v>
      </c>
      <c r="O3531" t="n">
        <v>0</v>
      </c>
      <c r="P3531" t="n">
        <v>0</v>
      </c>
      <c r="Q3531" t="n">
        <v>0</v>
      </c>
      <c r="R3531" s="2" t="inlineStr"/>
    </row>
    <row r="3532" ht="15" customHeight="1">
      <c r="A3532" t="inlineStr">
        <is>
          <t>A 53425-2024</t>
        </is>
      </c>
      <c r="B3532" s="1" t="n">
        <v>45614</v>
      </c>
      <c r="C3532" s="1" t="n">
        <v>45807</v>
      </c>
      <c r="D3532" t="inlineStr">
        <is>
          <t>VÄSTERBOTTENS LÄN</t>
        </is>
      </c>
      <c r="E3532" t="inlineStr">
        <is>
          <t>SKELLEFTEÅ</t>
        </is>
      </c>
      <c r="G3532" t="n">
        <v>29.4</v>
      </c>
      <c r="H3532" t="n">
        <v>0</v>
      </c>
      <c r="I3532" t="n">
        <v>0</v>
      </c>
      <c r="J3532" t="n">
        <v>0</v>
      </c>
      <c r="K3532" t="n">
        <v>0</v>
      </c>
      <c r="L3532" t="n">
        <v>0</v>
      </c>
      <c r="M3532" t="n">
        <v>0</v>
      </c>
      <c r="N3532" t="n">
        <v>0</v>
      </c>
      <c r="O3532" t="n">
        <v>0</v>
      </c>
      <c r="P3532" t="n">
        <v>0</v>
      </c>
      <c r="Q3532" t="n">
        <v>0</v>
      </c>
      <c r="R3532" s="2" t="inlineStr"/>
    </row>
    <row r="3533" ht="15" customHeight="1">
      <c r="A3533" t="inlineStr">
        <is>
          <t>A 53421-2024</t>
        </is>
      </c>
      <c r="B3533" s="1" t="n">
        <v>45614</v>
      </c>
      <c r="C3533" s="1" t="n">
        <v>45807</v>
      </c>
      <c r="D3533" t="inlineStr">
        <is>
          <t>VÄSTERBOTTENS LÄN</t>
        </is>
      </c>
      <c r="E3533" t="inlineStr">
        <is>
          <t>SKELLEFTEÅ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53716-2024</t>
        </is>
      </c>
      <c r="B3534" s="1" t="n">
        <v>45615</v>
      </c>
      <c r="C3534" s="1" t="n">
        <v>45807</v>
      </c>
      <c r="D3534" t="inlineStr">
        <is>
          <t>VÄSTERBOTTENS LÄN</t>
        </is>
      </c>
      <c r="E3534" t="inlineStr">
        <is>
          <t>SKELLEFTEÅ</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53720-2024</t>
        </is>
      </c>
      <c r="B3535" s="1" t="n">
        <v>45615</v>
      </c>
      <c r="C3535" s="1" t="n">
        <v>45807</v>
      </c>
      <c r="D3535" t="inlineStr">
        <is>
          <t>VÄSTERBOTTENS LÄN</t>
        </is>
      </c>
      <c r="E3535" t="inlineStr">
        <is>
          <t>SKELLEFTEÅ</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53725-2024</t>
        </is>
      </c>
      <c r="B3536" s="1" t="n">
        <v>45615</v>
      </c>
      <c r="C3536" s="1" t="n">
        <v>45807</v>
      </c>
      <c r="D3536" t="inlineStr">
        <is>
          <t>VÄSTERBOTTENS LÄN</t>
        </is>
      </c>
      <c r="E3536" t="inlineStr">
        <is>
          <t>SKELLEFTEÅ</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54159-2024</t>
        </is>
      </c>
      <c r="B3537" s="1" t="n">
        <v>45616</v>
      </c>
      <c r="C3537" s="1" t="n">
        <v>45807</v>
      </c>
      <c r="D3537" t="inlineStr">
        <is>
          <t>VÄSTERBOTTENS LÄN</t>
        </is>
      </c>
      <c r="E3537" t="inlineStr">
        <is>
          <t>SKELLEFTEÅ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54251-2024</t>
        </is>
      </c>
      <c r="B3538" s="1" t="n">
        <v>45616</v>
      </c>
      <c r="C3538" s="1" t="n">
        <v>45807</v>
      </c>
      <c r="D3538" t="inlineStr">
        <is>
          <t>VÄSTERBOTTENS LÄN</t>
        </is>
      </c>
      <c r="E3538" t="inlineStr">
        <is>
          <t>SKELLEFTEÅ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54162-2024</t>
        </is>
      </c>
      <c r="B3539" s="1" t="n">
        <v>45616</v>
      </c>
      <c r="C3539" s="1" t="n">
        <v>45807</v>
      </c>
      <c r="D3539" t="inlineStr">
        <is>
          <t>VÄSTERBOTTENS LÄN</t>
        </is>
      </c>
      <c r="E3539" t="inlineStr">
        <is>
          <t>SKELLEFTEÅ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54246-2024</t>
        </is>
      </c>
      <c r="B3540" s="1" t="n">
        <v>45616</v>
      </c>
      <c r="C3540" s="1" t="n">
        <v>45807</v>
      </c>
      <c r="D3540" t="inlineStr">
        <is>
          <t>VÄSTERBOTTENS LÄN</t>
        </is>
      </c>
      <c r="E3540" t="inlineStr">
        <is>
          <t>SKELLEFTEÅ</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54258-2024</t>
        </is>
      </c>
      <c r="B3541" s="1" t="n">
        <v>45616</v>
      </c>
      <c r="C3541" s="1" t="n">
        <v>45807</v>
      </c>
      <c r="D3541" t="inlineStr">
        <is>
          <t>VÄSTERBOTTENS LÄN</t>
        </is>
      </c>
      <c r="E3541" t="inlineStr">
        <is>
          <t>SKELLEFTEÅ</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54084-2024</t>
        </is>
      </c>
      <c r="B3542" s="1" t="n">
        <v>45616</v>
      </c>
      <c r="C3542" s="1" t="n">
        <v>45807</v>
      </c>
      <c r="D3542" t="inlineStr">
        <is>
          <t>VÄSTERBOTTENS LÄN</t>
        </is>
      </c>
      <c r="E3542" t="inlineStr">
        <is>
          <t>SKELLEFTEÅ</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54224-2024</t>
        </is>
      </c>
      <c r="B3543" s="1" t="n">
        <v>45616</v>
      </c>
      <c r="C3543" s="1" t="n">
        <v>45807</v>
      </c>
      <c r="D3543" t="inlineStr">
        <is>
          <t>VÄSTERBOTTENS LÄN</t>
        </is>
      </c>
      <c r="E3543" t="inlineStr">
        <is>
          <t>SKELLEFTEÅ</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54248-2024</t>
        </is>
      </c>
      <c r="B3544" s="1" t="n">
        <v>45616</v>
      </c>
      <c r="C3544" s="1" t="n">
        <v>45807</v>
      </c>
      <c r="D3544" t="inlineStr">
        <is>
          <t>VÄSTERBOTTENS LÄN</t>
        </is>
      </c>
      <c r="E3544" t="inlineStr">
        <is>
          <t>SKELLEFTEÅ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54264-2024</t>
        </is>
      </c>
      <c r="B3545" s="1" t="n">
        <v>45616</v>
      </c>
      <c r="C3545" s="1" t="n">
        <v>45807</v>
      </c>
      <c r="D3545" t="inlineStr">
        <is>
          <t>VÄSTERBOTTENS LÄN</t>
        </is>
      </c>
      <c r="E3545" t="inlineStr">
        <is>
          <t>SKELLEFTEÅ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54037-2024</t>
        </is>
      </c>
      <c r="B3546" s="1" t="n">
        <v>45616</v>
      </c>
      <c r="C3546" s="1" t="n">
        <v>45807</v>
      </c>
      <c r="D3546" t="inlineStr">
        <is>
          <t>VÄSTERBOTTENS LÄN</t>
        </is>
      </c>
      <c r="E3546" t="inlineStr">
        <is>
          <t>SKELLEFTEÅ</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54612-2024</t>
        </is>
      </c>
      <c r="B3547" s="1" t="n">
        <v>45617</v>
      </c>
      <c r="C3547" s="1" t="n">
        <v>45807</v>
      </c>
      <c r="D3547" t="inlineStr">
        <is>
          <t>VÄSTERBOTTENS LÄN</t>
        </is>
      </c>
      <c r="E3547" t="inlineStr">
        <is>
          <t>SKELLEFTEÅ</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54657-2024</t>
        </is>
      </c>
      <c r="B3548" s="1" t="n">
        <v>45617</v>
      </c>
      <c r="C3548" s="1" t="n">
        <v>45807</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54653-2024</t>
        </is>
      </c>
      <c r="B3549" s="1" t="n">
        <v>45618</v>
      </c>
      <c r="C3549" s="1" t="n">
        <v>45807</v>
      </c>
      <c r="D3549" t="inlineStr">
        <is>
          <t>VÄSTERBOTTENS LÄN</t>
        </is>
      </c>
      <c r="E3549" t="inlineStr">
        <is>
          <t>SKELLEFTEÅ</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54895-2024</t>
        </is>
      </c>
      <c r="B3550" s="1" t="n">
        <v>45618</v>
      </c>
      <c r="C3550" s="1" t="n">
        <v>45807</v>
      </c>
      <c r="D3550" t="inlineStr">
        <is>
          <t>VÄSTERBOTTENS LÄN</t>
        </is>
      </c>
      <c r="E3550" t="inlineStr">
        <is>
          <t>SKELLEFTEÅ</t>
        </is>
      </c>
      <c r="F3550" t="inlineStr">
        <is>
          <t>Holmen skog AB</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54880-2024</t>
        </is>
      </c>
      <c r="B3551" s="1" t="n">
        <v>45618</v>
      </c>
      <c r="C3551" s="1" t="n">
        <v>45807</v>
      </c>
      <c r="D3551" t="inlineStr">
        <is>
          <t>VÄSTERBOTTENS LÄN</t>
        </is>
      </c>
      <c r="E3551" t="inlineStr">
        <is>
          <t>SKELLEFTEÅ</t>
        </is>
      </c>
      <c r="F3551" t="inlineStr">
        <is>
          <t>Sveaskog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54662-2024</t>
        </is>
      </c>
      <c r="B3552" s="1" t="n">
        <v>45618</v>
      </c>
      <c r="C3552" s="1" t="n">
        <v>45807</v>
      </c>
      <c r="D3552" t="inlineStr">
        <is>
          <t>VÄSTERBOTTENS LÄN</t>
        </is>
      </c>
      <c r="E3552" t="inlineStr">
        <is>
          <t>SKELLEFTEÅ</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54874-2024</t>
        </is>
      </c>
      <c r="B3553" s="1" t="n">
        <v>45618</v>
      </c>
      <c r="C3553" s="1" t="n">
        <v>45807</v>
      </c>
      <c r="D3553" t="inlineStr">
        <is>
          <t>VÄSTERBOTTENS LÄN</t>
        </is>
      </c>
      <c r="E3553" t="inlineStr">
        <is>
          <t>SKELLEFTEÅ</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54660-2024</t>
        </is>
      </c>
      <c r="B3554" s="1" t="n">
        <v>45618</v>
      </c>
      <c r="C3554" s="1" t="n">
        <v>45807</v>
      </c>
      <c r="D3554" t="inlineStr">
        <is>
          <t>VÄSTERBOTTENS LÄN</t>
        </is>
      </c>
      <c r="E3554" t="inlineStr">
        <is>
          <t>SKELLEFTEÅ</t>
        </is>
      </c>
      <c r="F3554" t="inlineStr">
        <is>
          <t>Sveaskog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55253-2024</t>
        </is>
      </c>
      <c r="B3555" s="1" t="n">
        <v>45620</v>
      </c>
      <c r="C3555" s="1" t="n">
        <v>45807</v>
      </c>
      <c r="D3555" t="inlineStr">
        <is>
          <t>VÄSTERBOTTENS LÄN</t>
        </is>
      </c>
      <c r="E3555" t="inlineStr">
        <is>
          <t>SKELLEFTEÅ</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54971-2024</t>
        </is>
      </c>
      <c r="B3556" s="1" t="n">
        <v>45620</v>
      </c>
      <c r="C3556" s="1" t="n">
        <v>45807</v>
      </c>
      <c r="D3556" t="inlineStr">
        <is>
          <t>VÄSTERBOTTENS LÄN</t>
        </is>
      </c>
      <c r="E3556" t="inlineStr">
        <is>
          <t>SKELLEFTEÅ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54974-2024</t>
        </is>
      </c>
      <c r="B3557" s="1" t="n">
        <v>45620</v>
      </c>
      <c r="C3557" s="1" t="n">
        <v>45807</v>
      </c>
      <c r="D3557" t="inlineStr">
        <is>
          <t>VÄSTERBOTTENS LÄN</t>
        </is>
      </c>
      <c r="E3557" t="inlineStr">
        <is>
          <t>SKELLEFTEÅ</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55201-2024</t>
        </is>
      </c>
      <c r="B3558" s="1" t="n">
        <v>45620</v>
      </c>
      <c r="C3558" s="1" t="n">
        <v>45807</v>
      </c>
      <c r="D3558" t="inlineStr">
        <is>
          <t>VÄSTERBOTTENS LÄN</t>
        </is>
      </c>
      <c r="E3558" t="inlineStr">
        <is>
          <t>SKELLEFTEÅ</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55233-2024</t>
        </is>
      </c>
      <c r="B3559" s="1" t="n">
        <v>45620</v>
      </c>
      <c r="C3559" s="1" t="n">
        <v>45807</v>
      </c>
      <c r="D3559" t="inlineStr">
        <is>
          <t>VÄSTERBOTTENS LÄN</t>
        </is>
      </c>
      <c r="E3559" t="inlineStr">
        <is>
          <t>SKELLEFTEÅ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55241-2024</t>
        </is>
      </c>
      <c r="B3560" s="1" t="n">
        <v>45621</v>
      </c>
      <c r="C3560" s="1" t="n">
        <v>45807</v>
      </c>
      <c r="D3560" t="inlineStr">
        <is>
          <t>VÄSTERBOTTENS LÄN</t>
        </is>
      </c>
      <c r="E3560" t="inlineStr">
        <is>
          <t>SKELLEFTEÅ</t>
        </is>
      </c>
      <c r="F3560" t="inlineStr">
        <is>
          <t>Holmen skog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55269-2024</t>
        </is>
      </c>
      <c r="B3561" s="1" t="n">
        <v>45621</v>
      </c>
      <c r="C3561" s="1" t="n">
        <v>45807</v>
      </c>
      <c r="D3561" t="inlineStr">
        <is>
          <t>VÄSTERBOTTENS LÄN</t>
        </is>
      </c>
      <c r="E3561" t="inlineStr">
        <is>
          <t>SKELLEFTEÅ</t>
        </is>
      </c>
      <c r="F3561" t="inlineStr">
        <is>
          <t>Sveaskog</t>
        </is>
      </c>
      <c r="G3561" t="n">
        <v>9.6</v>
      </c>
      <c r="H3561" t="n">
        <v>0</v>
      </c>
      <c r="I3561" t="n">
        <v>0</v>
      </c>
      <c r="J3561" t="n">
        <v>0</v>
      </c>
      <c r="K3561" t="n">
        <v>0</v>
      </c>
      <c r="L3561" t="n">
        <v>0</v>
      </c>
      <c r="M3561" t="n">
        <v>0</v>
      </c>
      <c r="N3561" t="n">
        <v>0</v>
      </c>
      <c r="O3561" t="n">
        <v>0</v>
      </c>
      <c r="P3561" t="n">
        <v>0</v>
      </c>
      <c r="Q3561" t="n">
        <v>0</v>
      </c>
      <c r="R3561" s="2" t="inlineStr"/>
    </row>
    <row r="3562" ht="15" customHeight="1">
      <c r="A3562" t="inlineStr">
        <is>
          <t>A 55525-2024</t>
        </is>
      </c>
      <c r="B3562" s="1" t="n">
        <v>45621</v>
      </c>
      <c r="C3562" s="1" t="n">
        <v>45807</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55652-2024</t>
        </is>
      </c>
      <c r="B3563" s="1" t="n">
        <v>45621</v>
      </c>
      <c r="C3563" s="1" t="n">
        <v>45807</v>
      </c>
      <c r="D3563" t="inlineStr">
        <is>
          <t>VÄSTERBOTTENS LÄN</t>
        </is>
      </c>
      <c r="E3563" t="inlineStr">
        <is>
          <t>SKELLEFTEÅ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55654-2024</t>
        </is>
      </c>
      <c r="B3564" s="1" t="n">
        <v>45621</v>
      </c>
      <c r="C3564" s="1" t="n">
        <v>45807</v>
      </c>
      <c r="D3564" t="inlineStr">
        <is>
          <t>VÄSTERBOTTENS LÄN</t>
        </is>
      </c>
      <c r="E3564" t="inlineStr">
        <is>
          <t>SKELLEFTEÅ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55645-2024</t>
        </is>
      </c>
      <c r="B3565" s="1" t="n">
        <v>45621</v>
      </c>
      <c r="C3565" s="1" t="n">
        <v>45807</v>
      </c>
      <c r="D3565" t="inlineStr">
        <is>
          <t>VÄSTERBOTTENS LÄN</t>
        </is>
      </c>
      <c r="E3565" t="inlineStr">
        <is>
          <t>SKELLEFTEÅ</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55441-2024</t>
        </is>
      </c>
      <c r="B3566" s="1" t="n">
        <v>45622</v>
      </c>
      <c r="C3566" s="1" t="n">
        <v>45807</v>
      </c>
      <c r="D3566" t="inlineStr">
        <is>
          <t>VÄSTERBOTTENS LÄN</t>
        </is>
      </c>
      <c r="E3566" t="inlineStr">
        <is>
          <t>SKELLEFTEÅ</t>
        </is>
      </c>
      <c r="F3566" t="inlineStr">
        <is>
          <t>Holmen skog AB</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55398-2024</t>
        </is>
      </c>
      <c r="B3567" s="1" t="n">
        <v>45622</v>
      </c>
      <c r="C3567" s="1" t="n">
        <v>45807</v>
      </c>
      <c r="D3567" t="inlineStr">
        <is>
          <t>VÄSTERBOTTENS LÄN</t>
        </is>
      </c>
      <c r="E3567" t="inlineStr">
        <is>
          <t>SKELLEFTEÅ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55617-2024</t>
        </is>
      </c>
      <c r="B3568" s="1" t="n">
        <v>45622</v>
      </c>
      <c r="C3568" s="1" t="n">
        <v>45807</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55500-2024</t>
        </is>
      </c>
      <c r="B3569" s="1" t="n">
        <v>45622</v>
      </c>
      <c r="C3569" s="1" t="n">
        <v>45807</v>
      </c>
      <c r="D3569" t="inlineStr">
        <is>
          <t>VÄSTERBOTTENS LÄN</t>
        </is>
      </c>
      <c r="E3569" t="inlineStr">
        <is>
          <t>SKELLEFTEÅ</t>
        </is>
      </c>
      <c r="G3569" t="n">
        <v>11.2</v>
      </c>
      <c r="H3569" t="n">
        <v>0</v>
      </c>
      <c r="I3569" t="n">
        <v>0</v>
      </c>
      <c r="J3569" t="n">
        <v>0</v>
      </c>
      <c r="K3569" t="n">
        <v>0</v>
      </c>
      <c r="L3569" t="n">
        <v>0</v>
      </c>
      <c r="M3569" t="n">
        <v>0</v>
      </c>
      <c r="N3569" t="n">
        <v>0</v>
      </c>
      <c r="O3569" t="n">
        <v>0</v>
      </c>
      <c r="P3569" t="n">
        <v>0</v>
      </c>
      <c r="Q3569" t="n">
        <v>0</v>
      </c>
      <c r="R3569" s="2" t="inlineStr"/>
    </row>
    <row r="3570" ht="15" customHeight="1">
      <c r="A3570" t="inlineStr">
        <is>
          <t>A 55743-2024</t>
        </is>
      </c>
      <c r="B3570" s="1" t="n">
        <v>45623</v>
      </c>
      <c r="C3570" s="1" t="n">
        <v>45807</v>
      </c>
      <c r="D3570" t="inlineStr">
        <is>
          <t>VÄSTERBOTTENS LÄN</t>
        </is>
      </c>
      <c r="E3570" t="inlineStr">
        <is>
          <t>SKELLEFTEÅ</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55786-2024</t>
        </is>
      </c>
      <c r="B3571" s="1" t="n">
        <v>45623</v>
      </c>
      <c r="C3571" s="1" t="n">
        <v>45807</v>
      </c>
      <c r="D3571" t="inlineStr">
        <is>
          <t>VÄSTERBOTTENS LÄN</t>
        </is>
      </c>
      <c r="E3571" t="inlineStr">
        <is>
          <t>SKELLEFTEÅ</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55907-2024</t>
        </is>
      </c>
      <c r="B3572" s="1" t="n">
        <v>45623</v>
      </c>
      <c r="C3572" s="1" t="n">
        <v>45807</v>
      </c>
      <c r="D3572" t="inlineStr">
        <is>
          <t>VÄSTERBOTTENS LÄN</t>
        </is>
      </c>
      <c r="E3572" t="inlineStr">
        <is>
          <t>SKELLEFTEÅ</t>
        </is>
      </c>
      <c r="F3572" t="inlineStr">
        <is>
          <t>Holmen skog AB</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55940-2024</t>
        </is>
      </c>
      <c r="B3573" s="1" t="n">
        <v>45623</v>
      </c>
      <c r="C3573" s="1" t="n">
        <v>45807</v>
      </c>
      <c r="D3573" t="inlineStr">
        <is>
          <t>VÄSTERBOTTENS LÄN</t>
        </is>
      </c>
      <c r="E3573" t="inlineStr">
        <is>
          <t>SKELLEFTEÅ</t>
        </is>
      </c>
      <c r="F3573" t="inlineStr">
        <is>
          <t>Holmen skog AB</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56157-2024</t>
        </is>
      </c>
      <c r="B3574" s="1" t="n">
        <v>45623</v>
      </c>
      <c r="C3574" s="1" t="n">
        <v>45807</v>
      </c>
      <c r="D3574" t="inlineStr">
        <is>
          <t>VÄSTERBOTTENS LÄN</t>
        </is>
      </c>
      <c r="E3574" t="inlineStr">
        <is>
          <t>SKELLEFTEÅ</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56149-2024</t>
        </is>
      </c>
      <c r="B3575" s="1" t="n">
        <v>45623</v>
      </c>
      <c r="C3575" s="1" t="n">
        <v>45807</v>
      </c>
      <c r="D3575" t="inlineStr">
        <is>
          <t>VÄSTERBOTTENS LÄN</t>
        </is>
      </c>
      <c r="E3575" t="inlineStr">
        <is>
          <t>SKELLEFTEÅ</t>
        </is>
      </c>
      <c r="G3575" t="n">
        <v>11.9</v>
      </c>
      <c r="H3575" t="n">
        <v>0</v>
      </c>
      <c r="I3575" t="n">
        <v>0</v>
      </c>
      <c r="J3575" t="n">
        <v>0</v>
      </c>
      <c r="K3575" t="n">
        <v>0</v>
      </c>
      <c r="L3575" t="n">
        <v>0</v>
      </c>
      <c r="M3575" t="n">
        <v>0</v>
      </c>
      <c r="N3575" t="n">
        <v>0</v>
      </c>
      <c r="O3575" t="n">
        <v>0</v>
      </c>
      <c r="P3575" t="n">
        <v>0</v>
      </c>
      <c r="Q3575" t="n">
        <v>0</v>
      </c>
      <c r="R3575" s="2" t="inlineStr"/>
    </row>
    <row r="3576" ht="15" customHeight="1">
      <c r="A3576" t="inlineStr">
        <is>
          <t>A 56154-2024</t>
        </is>
      </c>
      <c r="B3576" s="1" t="n">
        <v>45623</v>
      </c>
      <c r="C3576" s="1" t="n">
        <v>45807</v>
      </c>
      <c r="D3576" t="inlineStr">
        <is>
          <t>VÄSTERBOTTENS LÄN</t>
        </is>
      </c>
      <c r="E3576" t="inlineStr">
        <is>
          <t>SKELLEFTEÅ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56105-2024</t>
        </is>
      </c>
      <c r="B3577" s="1" t="n">
        <v>45624</v>
      </c>
      <c r="C3577" s="1" t="n">
        <v>45807</v>
      </c>
      <c r="D3577" t="inlineStr">
        <is>
          <t>VÄSTERBOTTENS LÄN</t>
        </is>
      </c>
      <c r="E3577" t="inlineStr">
        <is>
          <t>SKELLEFTEÅ</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56186-2024</t>
        </is>
      </c>
      <c r="B3578" s="1" t="n">
        <v>45624</v>
      </c>
      <c r="C3578" s="1" t="n">
        <v>45807</v>
      </c>
      <c r="D3578" t="inlineStr">
        <is>
          <t>VÄSTERBOTTENS LÄN</t>
        </is>
      </c>
      <c r="E3578" t="inlineStr">
        <is>
          <t>SKELLEFTEÅ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56162-2024</t>
        </is>
      </c>
      <c r="B3579" s="1" t="n">
        <v>45624</v>
      </c>
      <c r="C3579" s="1" t="n">
        <v>45807</v>
      </c>
      <c r="D3579" t="inlineStr">
        <is>
          <t>VÄSTERBOTTENS LÄN</t>
        </is>
      </c>
      <c r="E3579" t="inlineStr">
        <is>
          <t>SKELLEFTEÅ</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56170-2024</t>
        </is>
      </c>
      <c r="B3580" s="1" t="n">
        <v>45624</v>
      </c>
      <c r="C3580" s="1" t="n">
        <v>45807</v>
      </c>
      <c r="D3580" t="inlineStr">
        <is>
          <t>VÄSTERBOTTENS LÄN</t>
        </is>
      </c>
      <c r="E3580" t="inlineStr">
        <is>
          <t>SKELLEFTEÅ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56183-2024</t>
        </is>
      </c>
      <c r="B3581" s="1" t="n">
        <v>45624</v>
      </c>
      <c r="C3581" s="1" t="n">
        <v>45807</v>
      </c>
      <c r="D3581" t="inlineStr">
        <is>
          <t>VÄSTERBOTTENS LÄN</t>
        </is>
      </c>
      <c r="E3581" t="inlineStr">
        <is>
          <t>SKELLEFTEÅ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56417-2024</t>
        </is>
      </c>
      <c r="B3582" s="1" t="n">
        <v>45625</v>
      </c>
      <c r="C3582" s="1" t="n">
        <v>45807</v>
      </c>
      <c r="D3582" t="inlineStr">
        <is>
          <t>VÄSTERBOTTENS LÄN</t>
        </is>
      </c>
      <c r="E3582" t="inlineStr">
        <is>
          <t>SKELLEFTEÅ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56501-2024</t>
        </is>
      </c>
      <c r="B3583" s="1" t="n">
        <v>45625</v>
      </c>
      <c r="C3583" s="1" t="n">
        <v>45807</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56530-2024</t>
        </is>
      </c>
      <c r="B3584" s="1" t="n">
        <v>45625</v>
      </c>
      <c r="C3584" s="1" t="n">
        <v>45807</v>
      </c>
      <c r="D3584" t="inlineStr">
        <is>
          <t>VÄSTERBOTTENS LÄN</t>
        </is>
      </c>
      <c r="E3584" t="inlineStr">
        <is>
          <t>SKELLEFTEÅ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56381-2024</t>
        </is>
      </c>
      <c r="B3585" s="1" t="n">
        <v>45625</v>
      </c>
      <c r="C3585" s="1" t="n">
        <v>45807</v>
      </c>
      <c r="D3585" t="inlineStr">
        <is>
          <t>VÄSTERBOTTENS LÄN</t>
        </is>
      </c>
      <c r="E3585" t="inlineStr">
        <is>
          <t>SKELLEFTEÅ</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56453-2024</t>
        </is>
      </c>
      <c r="B3586" s="1" t="n">
        <v>45625</v>
      </c>
      <c r="C3586" s="1" t="n">
        <v>45807</v>
      </c>
      <c r="D3586" t="inlineStr">
        <is>
          <t>VÄSTERBOTTENS LÄN</t>
        </is>
      </c>
      <c r="E3586" t="inlineStr">
        <is>
          <t>SKELLEFTEÅ</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56500-2024</t>
        </is>
      </c>
      <c r="B3587" s="1" t="n">
        <v>45625</v>
      </c>
      <c r="C3587" s="1" t="n">
        <v>45807</v>
      </c>
      <c r="D3587" t="inlineStr">
        <is>
          <t>VÄSTERBOTTENS LÄN</t>
        </is>
      </c>
      <c r="E3587" t="inlineStr">
        <is>
          <t>SKELLEFTEÅ</t>
        </is>
      </c>
      <c r="F3587" t="inlineStr">
        <is>
          <t>Holmen skog AB</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56529-2024</t>
        </is>
      </c>
      <c r="B3588" s="1" t="n">
        <v>45625</v>
      </c>
      <c r="C3588" s="1" t="n">
        <v>45807</v>
      </c>
      <c r="D3588" t="inlineStr">
        <is>
          <t>VÄSTERBOTTENS LÄN</t>
        </is>
      </c>
      <c r="E3588" t="inlineStr">
        <is>
          <t>SKELLEFTEÅ</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56533-2024</t>
        </is>
      </c>
      <c r="B3589" s="1" t="n">
        <v>45625</v>
      </c>
      <c r="C3589" s="1" t="n">
        <v>45807</v>
      </c>
      <c r="D3589" t="inlineStr">
        <is>
          <t>VÄSTERBOTTENS LÄN</t>
        </is>
      </c>
      <c r="E3589" t="inlineStr">
        <is>
          <t>SKELLEFTEÅ</t>
        </is>
      </c>
      <c r="G3589" t="n">
        <v>12.9</v>
      </c>
      <c r="H3589" t="n">
        <v>0</v>
      </c>
      <c r="I3589" t="n">
        <v>0</v>
      </c>
      <c r="J3589" t="n">
        <v>0</v>
      </c>
      <c r="K3589" t="n">
        <v>0</v>
      </c>
      <c r="L3589" t="n">
        <v>0</v>
      </c>
      <c r="M3589" t="n">
        <v>0</v>
      </c>
      <c r="N3589" t="n">
        <v>0</v>
      </c>
      <c r="O3589" t="n">
        <v>0</v>
      </c>
      <c r="P3589" t="n">
        <v>0</v>
      </c>
      <c r="Q3589" t="n">
        <v>0</v>
      </c>
      <c r="R3589" s="2" t="inlineStr"/>
    </row>
    <row r="3590" ht="15" customHeight="1">
      <c r="A3590" t="inlineStr">
        <is>
          <t>A 56444-2024</t>
        </is>
      </c>
      <c r="B3590" s="1" t="n">
        <v>45625</v>
      </c>
      <c r="C3590" s="1" t="n">
        <v>45807</v>
      </c>
      <c r="D3590" t="inlineStr">
        <is>
          <t>VÄSTERBOTTENS LÄN</t>
        </is>
      </c>
      <c r="E3590" t="inlineStr">
        <is>
          <t>SKELLEFTEÅ</t>
        </is>
      </c>
      <c r="F3590" t="inlineStr">
        <is>
          <t>Holmen skog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56560-2024</t>
        </is>
      </c>
      <c r="B3591" s="1" t="n">
        <v>45625</v>
      </c>
      <c r="C3591" s="1" t="n">
        <v>45807</v>
      </c>
      <c r="D3591" t="inlineStr">
        <is>
          <t>VÄSTERBOTTENS LÄN</t>
        </is>
      </c>
      <c r="E3591" t="inlineStr">
        <is>
          <t>SKELLEFTEÅ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56539-2024</t>
        </is>
      </c>
      <c r="B3592" s="1" t="n">
        <v>45625</v>
      </c>
      <c r="C3592" s="1" t="n">
        <v>45807</v>
      </c>
      <c r="D3592" t="inlineStr">
        <is>
          <t>VÄSTERBOTTENS LÄN</t>
        </is>
      </c>
      <c r="E3592" t="inlineStr">
        <is>
          <t>SKELLEFTEÅ</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56822-2024</t>
        </is>
      </c>
      <c r="B3593" s="1" t="n">
        <v>45628</v>
      </c>
      <c r="C3593" s="1" t="n">
        <v>45807</v>
      </c>
      <c r="D3593" t="inlineStr">
        <is>
          <t>VÄSTERBOTTENS LÄN</t>
        </is>
      </c>
      <c r="E3593" t="inlineStr">
        <is>
          <t>SKELLEFTEÅ</t>
        </is>
      </c>
      <c r="F3593" t="inlineStr">
        <is>
          <t>Holmen skog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56838-2024</t>
        </is>
      </c>
      <c r="B3594" s="1" t="n">
        <v>45628</v>
      </c>
      <c r="C3594" s="1" t="n">
        <v>45807</v>
      </c>
      <c r="D3594" t="inlineStr">
        <is>
          <t>VÄSTERBOTTENS LÄN</t>
        </is>
      </c>
      <c r="E3594" t="inlineStr">
        <is>
          <t>SKELLEFTEÅ</t>
        </is>
      </c>
      <c r="F3594" t="inlineStr">
        <is>
          <t>Holmen skog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56714-2024</t>
        </is>
      </c>
      <c r="B3595" s="1" t="n">
        <v>45628</v>
      </c>
      <c r="C3595" s="1" t="n">
        <v>45807</v>
      </c>
      <c r="D3595" t="inlineStr">
        <is>
          <t>VÄSTERBOTTENS LÄN</t>
        </is>
      </c>
      <c r="E3595" t="inlineStr">
        <is>
          <t>SKELLEFTEÅ</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56965-2024</t>
        </is>
      </c>
      <c r="B3596" s="1" t="n">
        <v>45628</v>
      </c>
      <c r="C3596" s="1" t="n">
        <v>45807</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56974-2024</t>
        </is>
      </c>
      <c r="B3597" s="1" t="n">
        <v>45628</v>
      </c>
      <c r="C3597" s="1" t="n">
        <v>45807</v>
      </c>
      <c r="D3597" t="inlineStr">
        <is>
          <t>VÄSTERBOTTENS LÄN</t>
        </is>
      </c>
      <c r="E3597" t="inlineStr">
        <is>
          <t>SKELLEFTEÅ</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56745-2024</t>
        </is>
      </c>
      <c r="B3598" s="1" t="n">
        <v>45628</v>
      </c>
      <c r="C3598" s="1" t="n">
        <v>45807</v>
      </c>
      <c r="D3598" t="inlineStr">
        <is>
          <t>VÄSTERBOTTENS LÄN</t>
        </is>
      </c>
      <c r="E3598" t="inlineStr">
        <is>
          <t>SKELLEFTEÅ</t>
        </is>
      </c>
      <c r="F3598" t="inlineStr">
        <is>
          <t>Holmen skog AB</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56923-2024</t>
        </is>
      </c>
      <c r="B3599" s="1" t="n">
        <v>45628</v>
      </c>
      <c r="C3599" s="1" t="n">
        <v>45807</v>
      </c>
      <c r="D3599" t="inlineStr">
        <is>
          <t>VÄSTERBOTTENS LÄN</t>
        </is>
      </c>
      <c r="E3599" t="inlineStr">
        <is>
          <t>SKELLEFTEÅ</t>
        </is>
      </c>
      <c r="F3599" t="inlineStr">
        <is>
          <t>Holmen skog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56797-2024</t>
        </is>
      </c>
      <c r="B3600" s="1" t="n">
        <v>45628</v>
      </c>
      <c r="C3600" s="1" t="n">
        <v>45807</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56806-2024</t>
        </is>
      </c>
      <c r="B3601" s="1" t="n">
        <v>45628</v>
      </c>
      <c r="C3601" s="1" t="n">
        <v>45807</v>
      </c>
      <c r="D3601" t="inlineStr">
        <is>
          <t>VÄSTERBOTTENS LÄN</t>
        </is>
      </c>
      <c r="E3601" t="inlineStr">
        <is>
          <t>SKELLEFTEÅ</t>
        </is>
      </c>
      <c r="F3601" t="inlineStr">
        <is>
          <t>Holmen skog AB</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56952-2024</t>
        </is>
      </c>
      <c r="B3602" s="1" t="n">
        <v>45628</v>
      </c>
      <c r="C3602" s="1" t="n">
        <v>45807</v>
      </c>
      <c r="D3602" t="inlineStr">
        <is>
          <t>VÄSTERBOTTENS LÄN</t>
        </is>
      </c>
      <c r="E3602" t="inlineStr">
        <is>
          <t>SKELLEFTEÅ</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56983-2024</t>
        </is>
      </c>
      <c r="B3603" s="1" t="n">
        <v>45628</v>
      </c>
      <c r="C3603" s="1" t="n">
        <v>45807</v>
      </c>
      <c r="D3603" t="inlineStr">
        <is>
          <t>VÄSTERBOTTENS LÄN</t>
        </is>
      </c>
      <c r="E3603" t="inlineStr">
        <is>
          <t>SKELLEFTEÅ</t>
        </is>
      </c>
      <c r="F3603" t="inlineStr">
        <is>
          <t>Holmen skog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57003-2024</t>
        </is>
      </c>
      <c r="B3604" s="1" t="n">
        <v>45628</v>
      </c>
      <c r="C3604" s="1" t="n">
        <v>45807</v>
      </c>
      <c r="D3604" t="inlineStr">
        <is>
          <t>VÄSTERBOTTENS LÄN</t>
        </is>
      </c>
      <c r="E3604" t="inlineStr">
        <is>
          <t>SKELLEFTEÅ</t>
        </is>
      </c>
      <c r="F3604" t="inlineStr">
        <is>
          <t>Holmen skog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57199-2024</t>
        </is>
      </c>
      <c r="B3605" s="1" t="n">
        <v>45628</v>
      </c>
      <c r="C3605" s="1" t="n">
        <v>45807</v>
      </c>
      <c r="D3605" t="inlineStr">
        <is>
          <t>VÄSTERBOTTENS LÄN</t>
        </is>
      </c>
      <c r="E3605" t="inlineStr">
        <is>
          <t>SKELLEFTEÅ</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57274-2024</t>
        </is>
      </c>
      <c r="B3606" s="1" t="n">
        <v>45629</v>
      </c>
      <c r="C3606" s="1" t="n">
        <v>45807</v>
      </c>
      <c r="D3606" t="inlineStr">
        <is>
          <t>VÄSTERBOTTENS LÄN</t>
        </is>
      </c>
      <c r="E3606" t="inlineStr">
        <is>
          <t>SKELLEFTEÅ</t>
        </is>
      </c>
      <c r="F3606" t="inlineStr">
        <is>
          <t>Holmen skog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57278-2024</t>
        </is>
      </c>
      <c r="B3607" s="1" t="n">
        <v>45629</v>
      </c>
      <c r="C3607" s="1" t="n">
        <v>45807</v>
      </c>
      <c r="D3607" t="inlineStr">
        <is>
          <t>VÄSTERBOTTENS LÄN</t>
        </is>
      </c>
      <c r="E3607" t="inlineStr">
        <is>
          <t>SKELLEFTEÅ</t>
        </is>
      </c>
      <c r="F3607" t="inlineStr">
        <is>
          <t>Holmen skog AB</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57182-2024</t>
        </is>
      </c>
      <c r="B3608" s="1" t="n">
        <v>45629</v>
      </c>
      <c r="C3608" s="1" t="n">
        <v>45807</v>
      </c>
      <c r="D3608" t="inlineStr">
        <is>
          <t>VÄSTERBOTTENS LÄN</t>
        </is>
      </c>
      <c r="E3608" t="inlineStr">
        <is>
          <t>SKELLEFTEÅ</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57186-2024</t>
        </is>
      </c>
      <c r="B3609" s="1" t="n">
        <v>45629</v>
      </c>
      <c r="C3609" s="1" t="n">
        <v>45807</v>
      </c>
      <c r="D3609" t="inlineStr">
        <is>
          <t>VÄSTERBOTTENS LÄN</t>
        </is>
      </c>
      <c r="E3609" t="inlineStr">
        <is>
          <t>SKELLEFTEÅ</t>
        </is>
      </c>
      <c r="F3609" t="inlineStr">
        <is>
          <t>Holmen skog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57245-2024</t>
        </is>
      </c>
      <c r="B3610" s="1" t="n">
        <v>45629</v>
      </c>
      <c r="C3610" s="1" t="n">
        <v>45807</v>
      </c>
      <c r="D3610" t="inlineStr">
        <is>
          <t>VÄSTERBOTTENS LÄN</t>
        </is>
      </c>
      <c r="E3610" t="inlineStr">
        <is>
          <t>SKELLEFTEÅ</t>
        </is>
      </c>
      <c r="F3610" t="inlineStr">
        <is>
          <t>Sveaskog</t>
        </is>
      </c>
      <c r="G3610" t="n">
        <v>15.6</v>
      </c>
      <c r="H3610" t="n">
        <v>0</v>
      </c>
      <c r="I3610" t="n">
        <v>0</v>
      </c>
      <c r="J3610" t="n">
        <v>0</v>
      </c>
      <c r="K3610" t="n">
        <v>0</v>
      </c>
      <c r="L3610" t="n">
        <v>0</v>
      </c>
      <c r="M3610" t="n">
        <v>0</v>
      </c>
      <c r="N3610" t="n">
        <v>0</v>
      </c>
      <c r="O3610" t="n">
        <v>0</v>
      </c>
      <c r="P3610" t="n">
        <v>0</v>
      </c>
      <c r="Q3610" t="n">
        <v>0</v>
      </c>
      <c r="R3610" s="2" t="inlineStr"/>
    </row>
    <row r="3611" ht="15" customHeight="1">
      <c r="A3611" t="inlineStr">
        <is>
          <t>A 57131-2024</t>
        </is>
      </c>
      <c r="B3611" s="1" t="n">
        <v>45629</v>
      </c>
      <c r="C3611" s="1" t="n">
        <v>45807</v>
      </c>
      <c r="D3611" t="inlineStr">
        <is>
          <t>VÄSTERBOTTENS LÄN</t>
        </is>
      </c>
      <c r="E3611" t="inlineStr">
        <is>
          <t>SKELLEFTEÅ</t>
        </is>
      </c>
      <c r="F3611" t="inlineStr">
        <is>
          <t>Holmen skog AB</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57340-2024</t>
        </is>
      </c>
      <c r="B3612" s="1" t="n">
        <v>45629</v>
      </c>
      <c r="C3612" s="1" t="n">
        <v>45807</v>
      </c>
      <c r="D3612" t="inlineStr">
        <is>
          <t>VÄSTERBOTTENS LÄN</t>
        </is>
      </c>
      <c r="E3612" t="inlineStr">
        <is>
          <t>SKELLEFTEÅ</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57479-2024</t>
        </is>
      </c>
      <c r="B3613" s="1" t="n">
        <v>45630</v>
      </c>
      <c r="C3613" s="1" t="n">
        <v>45807</v>
      </c>
      <c r="D3613" t="inlineStr">
        <is>
          <t>VÄSTERBOTTENS LÄN</t>
        </is>
      </c>
      <c r="E3613" t="inlineStr">
        <is>
          <t>SKELLEFTEÅ</t>
        </is>
      </c>
      <c r="F3613" t="inlineStr">
        <is>
          <t>Sveaskog</t>
        </is>
      </c>
      <c r="G3613" t="n">
        <v>16.4</v>
      </c>
      <c r="H3613" t="n">
        <v>0</v>
      </c>
      <c r="I3613" t="n">
        <v>0</v>
      </c>
      <c r="J3613" t="n">
        <v>0</v>
      </c>
      <c r="K3613" t="n">
        <v>0</v>
      </c>
      <c r="L3613" t="n">
        <v>0</v>
      </c>
      <c r="M3613" t="n">
        <v>0</v>
      </c>
      <c r="N3613" t="n">
        <v>0</v>
      </c>
      <c r="O3613" t="n">
        <v>0</v>
      </c>
      <c r="P3613" t="n">
        <v>0</v>
      </c>
      <c r="Q3613" t="n">
        <v>0</v>
      </c>
      <c r="R3613" s="2" t="inlineStr"/>
    </row>
    <row r="3614" ht="15" customHeight="1">
      <c r="A3614" t="inlineStr">
        <is>
          <t>A 57876-2024</t>
        </is>
      </c>
      <c r="B3614" s="1" t="n">
        <v>45631</v>
      </c>
      <c r="C3614" s="1" t="n">
        <v>45807</v>
      </c>
      <c r="D3614" t="inlineStr">
        <is>
          <t>VÄSTERBOTTENS LÄN</t>
        </is>
      </c>
      <c r="E3614" t="inlineStr">
        <is>
          <t>SKELLEFTEÅ</t>
        </is>
      </c>
      <c r="G3614" t="n">
        <v>14.8</v>
      </c>
      <c r="H3614" t="n">
        <v>0</v>
      </c>
      <c r="I3614" t="n">
        <v>0</v>
      </c>
      <c r="J3614" t="n">
        <v>0</v>
      </c>
      <c r="K3614" t="n">
        <v>0</v>
      </c>
      <c r="L3614" t="n">
        <v>0</v>
      </c>
      <c r="M3614" t="n">
        <v>0</v>
      </c>
      <c r="N3614" t="n">
        <v>0</v>
      </c>
      <c r="O3614" t="n">
        <v>0</v>
      </c>
      <c r="P3614" t="n">
        <v>0</v>
      </c>
      <c r="Q3614" t="n">
        <v>0</v>
      </c>
      <c r="R3614" s="2" t="inlineStr"/>
    </row>
    <row r="3615" ht="15" customHeight="1">
      <c r="A3615" t="inlineStr">
        <is>
          <t>A 57894-2024</t>
        </is>
      </c>
      <c r="B3615" s="1" t="n">
        <v>45631</v>
      </c>
      <c r="C3615" s="1" t="n">
        <v>45807</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57893-2024</t>
        </is>
      </c>
      <c r="B3616" s="1" t="n">
        <v>45631</v>
      </c>
      <c r="C3616" s="1" t="n">
        <v>45807</v>
      </c>
      <c r="D3616" t="inlineStr">
        <is>
          <t>VÄSTERBOTTENS LÄN</t>
        </is>
      </c>
      <c r="E3616" t="inlineStr">
        <is>
          <t>SKELLEFTEÅ</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58008-2024</t>
        </is>
      </c>
      <c r="B3617" s="1" t="n">
        <v>45631</v>
      </c>
      <c r="C3617" s="1" t="n">
        <v>45807</v>
      </c>
      <c r="D3617" t="inlineStr">
        <is>
          <t>VÄSTERBOTTENS LÄN</t>
        </is>
      </c>
      <c r="E3617" t="inlineStr">
        <is>
          <t>SKELLEFTEÅ</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58119-2024</t>
        </is>
      </c>
      <c r="B3618" s="1" t="n">
        <v>45632</v>
      </c>
      <c r="C3618" s="1" t="n">
        <v>45807</v>
      </c>
      <c r="D3618" t="inlineStr">
        <is>
          <t>VÄSTERBOTTENS LÄN</t>
        </is>
      </c>
      <c r="E3618" t="inlineStr">
        <is>
          <t>SKELLEFTEÅ</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58465-2024</t>
        </is>
      </c>
      <c r="B3619" s="1" t="n">
        <v>45635</v>
      </c>
      <c r="C3619" s="1" t="n">
        <v>45807</v>
      </c>
      <c r="D3619" t="inlineStr">
        <is>
          <t>VÄSTERBOTTENS LÄN</t>
        </is>
      </c>
      <c r="E3619" t="inlineStr">
        <is>
          <t>SKELLEFTEÅ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58557-2024</t>
        </is>
      </c>
      <c r="B3620" s="1" t="n">
        <v>45635</v>
      </c>
      <c r="C3620" s="1" t="n">
        <v>45807</v>
      </c>
      <c r="D3620" t="inlineStr">
        <is>
          <t>VÄSTERBOTTENS LÄN</t>
        </is>
      </c>
      <c r="E3620" t="inlineStr">
        <is>
          <t>SKELLEFTEÅ</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58595-2024</t>
        </is>
      </c>
      <c r="B3621" s="1" t="n">
        <v>45635</v>
      </c>
      <c r="C3621" s="1" t="n">
        <v>45807</v>
      </c>
      <c r="D3621" t="inlineStr">
        <is>
          <t>VÄSTERBOTTENS LÄN</t>
        </is>
      </c>
      <c r="E3621" t="inlineStr">
        <is>
          <t>SKELLEFTEÅ</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58480-2024</t>
        </is>
      </c>
      <c r="B3622" s="1" t="n">
        <v>45635</v>
      </c>
      <c r="C3622" s="1" t="n">
        <v>45807</v>
      </c>
      <c r="D3622" t="inlineStr">
        <is>
          <t>VÄSTERBOTTENS LÄN</t>
        </is>
      </c>
      <c r="E3622" t="inlineStr">
        <is>
          <t>SKELLEFTEÅ</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58542-2024</t>
        </is>
      </c>
      <c r="B3623" s="1" t="n">
        <v>45635</v>
      </c>
      <c r="C3623" s="1" t="n">
        <v>45807</v>
      </c>
      <c r="D3623" t="inlineStr">
        <is>
          <t>VÄSTERBOTTENS LÄN</t>
        </is>
      </c>
      <c r="E3623" t="inlineStr">
        <is>
          <t>SKELLEFTEÅ</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58775-2024</t>
        </is>
      </c>
      <c r="B3624" s="1" t="n">
        <v>45635</v>
      </c>
      <c r="C3624" s="1" t="n">
        <v>45807</v>
      </c>
      <c r="D3624" t="inlineStr">
        <is>
          <t>VÄSTERBOTTENS LÄN</t>
        </is>
      </c>
      <c r="E3624" t="inlineStr">
        <is>
          <t>SKELLEFTEÅ</t>
        </is>
      </c>
      <c r="F3624" t="inlineStr">
        <is>
          <t>Sveaskog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58776-2024</t>
        </is>
      </c>
      <c r="B3625" s="1" t="n">
        <v>45635</v>
      </c>
      <c r="C3625" s="1" t="n">
        <v>45807</v>
      </c>
      <c r="D3625" t="inlineStr">
        <is>
          <t>VÄSTERBOTTENS LÄN</t>
        </is>
      </c>
      <c r="E3625" t="inlineStr">
        <is>
          <t>SKELLEFTEÅ</t>
        </is>
      </c>
      <c r="F3625" t="inlineStr">
        <is>
          <t>Sveaskog</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58977-2024</t>
        </is>
      </c>
      <c r="B3626" s="1" t="n">
        <v>45635</v>
      </c>
      <c r="C3626" s="1" t="n">
        <v>45807</v>
      </c>
      <c r="D3626" t="inlineStr">
        <is>
          <t>VÄSTERBOTTENS LÄN</t>
        </is>
      </c>
      <c r="E3626" t="inlineStr">
        <is>
          <t>SKELLEFTEÅ</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58960-2024</t>
        </is>
      </c>
      <c r="B3627" s="1" t="n">
        <v>45635</v>
      </c>
      <c r="C3627" s="1" t="n">
        <v>45807</v>
      </c>
      <c r="D3627" t="inlineStr">
        <is>
          <t>VÄSTERBOTTENS LÄN</t>
        </is>
      </c>
      <c r="E3627" t="inlineStr">
        <is>
          <t>SKELLEFTEÅ</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58969-2024</t>
        </is>
      </c>
      <c r="B3628" s="1" t="n">
        <v>45635</v>
      </c>
      <c r="C3628" s="1" t="n">
        <v>45807</v>
      </c>
      <c r="D3628" t="inlineStr">
        <is>
          <t>VÄSTERBOTTENS LÄN</t>
        </is>
      </c>
      <c r="E3628" t="inlineStr">
        <is>
          <t>SKELLEFTEÅ</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58993-2024</t>
        </is>
      </c>
      <c r="B3629" s="1" t="n">
        <v>45636</v>
      </c>
      <c r="C3629" s="1" t="n">
        <v>45807</v>
      </c>
      <c r="D3629" t="inlineStr">
        <is>
          <t>VÄSTERBOTTENS LÄN</t>
        </is>
      </c>
      <c r="E3629" t="inlineStr">
        <is>
          <t>SKELLEFTEÅ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58939-2024</t>
        </is>
      </c>
      <c r="B3630" s="1" t="n">
        <v>45636</v>
      </c>
      <c r="C3630" s="1" t="n">
        <v>45807</v>
      </c>
      <c r="D3630" t="inlineStr">
        <is>
          <t>VÄSTERBOTTENS LÄN</t>
        </is>
      </c>
      <c r="E3630" t="inlineStr">
        <is>
          <t>SKELLEFTEÅ</t>
        </is>
      </c>
      <c r="G3630" t="n">
        <v>13.4</v>
      </c>
      <c r="H3630" t="n">
        <v>0</v>
      </c>
      <c r="I3630" t="n">
        <v>0</v>
      </c>
      <c r="J3630" t="n">
        <v>0</v>
      </c>
      <c r="K3630" t="n">
        <v>0</v>
      </c>
      <c r="L3630" t="n">
        <v>0</v>
      </c>
      <c r="M3630" t="n">
        <v>0</v>
      </c>
      <c r="N3630" t="n">
        <v>0</v>
      </c>
      <c r="O3630" t="n">
        <v>0</v>
      </c>
      <c r="P3630" t="n">
        <v>0</v>
      </c>
      <c r="Q3630" t="n">
        <v>0</v>
      </c>
      <c r="R3630" s="2" t="inlineStr"/>
    </row>
    <row r="3631" ht="15" customHeight="1">
      <c r="A3631" t="inlineStr">
        <is>
          <t>A 58902-2024</t>
        </is>
      </c>
      <c r="B3631" s="1" t="n">
        <v>45636</v>
      </c>
      <c r="C3631" s="1" t="n">
        <v>45807</v>
      </c>
      <c r="D3631" t="inlineStr">
        <is>
          <t>VÄSTERBOTTENS LÄN</t>
        </is>
      </c>
      <c r="E3631" t="inlineStr">
        <is>
          <t>SKELLEFTEÅ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58829-2024</t>
        </is>
      </c>
      <c r="B3632" s="1" t="n">
        <v>45636</v>
      </c>
      <c r="C3632" s="1" t="n">
        <v>45807</v>
      </c>
      <c r="D3632" t="inlineStr">
        <is>
          <t>VÄSTERBOTTENS LÄN</t>
        </is>
      </c>
      <c r="E3632" t="inlineStr">
        <is>
          <t>SKELLEFTEÅ</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59198-2024</t>
        </is>
      </c>
      <c r="B3633" s="1" t="n">
        <v>45636</v>
      </c>
      <c r="C3633" s="1" t="n">
        <v>45807</v>
      </c>
      <c r="D3633" t="inlineStr">
        <is>
          <t>VÄSTERBOTTENS LÄN</t>
        </is>
      </c>
      <c r="E3633" t="inlineStr">
        <is>
          <t>SKELLEFTEÅ</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58869-2024</t>
        </is>
      </c>
      <c r="B3634" s="1" t="n">
        <v>45636</v>
      </c>
      <c r="C3634" s="1" t="n">
        <v>45807</v>
      </c>
      <c r="D3634" t="inlineStr">
        <is>
          <t>VÄSTERBOTTENS LÄN</t>
        </is>
      </c>
      <c r="E3634" t="inlineStr">
        <is>
          <t>SKELLEFTEÅ</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58830-2024</t>
        </is>
      </c>
      <c r="B3635" s="1" t="n">
        <v>45636</v>
      </c>
      <c r="C3635" s="1" t="n">
        <v>45807</v>
      </c>
      <c r="D3635" t="inlineStr">
        <is>
          <t>VÄSTERBOTTENS LÄN</t>
        </is>
      </c>
      <c r="E3635" t="inlineStr">
        <is>
          <t>SKELLEFTEÅ</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59109-2024</t>
        </is>
      </c>
      <c r="B3636" s="1" t="n">
        <v>45637</v>
      </c>
      <c r="C3636" s="1" t="n">
        <v>45807</v>
      </c>
      <c r="D3636" t="inlineStr">
        <is>
          <t>VÄSTERBOTTENS LÄN</t>
        </is>
      </c>
      <c r="E3636" t="inlineStr">
        <is>
          <t>SKELLEFTEÅ</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59134-2024</t>
        </is>
      </c>
      <c r="B3637" s="1" t="n">
        <v>45637</v>
      </c>
      <c r="C3637" s="1" t="n">
        <v>45807</v>
      </c>
      <c r="D3637" t="inlineStr">
        <is>
          <t>VÄSTERBOTTENS LÄN</t>
        </is>
      </c>
      <c r="E3637" t="inlineStr">
        <is>
          <t>SKELLEFTEÅ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59123-2024</t>
        </is>
      </c>
      <c r="B3638" s="1" t="n">
        <v>45637</v>
      </c>
      <c r="C3638" s="1" t="n">
        <v>45807</v>
      </c>
      <c r="D3638" t="inlineStr">
        <is>
          <t>VÄSTERBOTTENS LÄN</t>
        </is>
      </c>
      <c r="E3638" t="inlineStr">
        <is>
          <t>SKELLEFTEÅ</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59188-2024</t>
        </is>
      </c>
      <c r="B3639" s="1" t="n">
        <v>45637</v>
      </c>
      <c r="C3639" s="1" t="n">
        <v>45807</v>
      </c>
      <c r="D3639" t="inlineStr">
        <is>
          <t>VÄSTERBOTTENS LÄN</t>
        </is>
      </c>
      <c r="E3639" t="inlineStr">
        <is>
          <t>SKELLEFTEÅ</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59316-2024</t>
        </is>
      </c>
      <c r="B3640" s="1" t="n">
        <v>45637</v>
      </c>
      <c r="C3640" s="1" t="n">
        <v>45807</v>
      </c>
      <c r="D3640" t="inlineStr">
        <is>
          <t>VÄSTERBOTTENS LÄN</t>
        </is>
      </c>
      <c r="E3640" t="inlineStr">
        <is>
          <t>SKELLEFTEÅ</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59324-2024</t>
        </is>
      </c>
      <c r="B3641" s="1" t="n">
        <v>45637</v>
      </c>
      <c r="C3641" s="1" t="n">
        <v>45807</v>
      </c>
      <c r="D3641" t="inlineStr">
        <is>
          <t>VÄSTERBOTTENS LÄN</t>
        </is>
      </c>
      <c r="E3641" t="inlineStr">
        <is>
          <t>SKELLEFTEÅ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59608-2024</t>
        </is>
      </c>
      <c r="B3642" s="1" t="n">
        <v>45638</v>
      </c>
      <c r="C3642" s="1" t="n">
        <v>45807</v>
      </c>
      <c r="D3642" t="inlineStr">
        <is>
          <t>VÄSTERBOTTENS LÄN</t>
        </is>
      </c>
      <c r="E3642" t="inlineStr">
        <is>
          <t>SKELLEFTEÅ</t>
        </is>
      </c>
      <c r="F3642" t="inlineStr">
        <is>
          <t>Sveaskog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59606-2024</t>
        </is>
      </c>
      <c r="B3643" s="1" t="n">
        <v>45638</v>
      </c>
      <c r="C3643" s="1" t="n">
        <v>45807</v>
      </c>
      <c r="D3643" t="inlineStr">
        <is>
          <t>VÄSTERBOTTENS LÄN</t>
        </is>
      </c>
      <c r="E3643" t="inlineStr">
        <is>
          <t>SKELLEFTEÅ</t>
        </is>
      </c>
      <c r="F3643" t="inlineStr">
        <is>
          <t>Sveaskog</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59442-2024</t>
        </is>
      </c>
      <c r="B3644" s="1" t="n">
        <v>45638</v>
      </c>
      <c r="C3644" s="1" t="n">
        <v>45807</v>
      </c>
      <c r="D3644" t="inlineStr">
        <is>
          <t>VÄSTERBOTTENS LÄN</t>
        </is>
      </c>
      <c r="E3644" t="inlineStr">
        <is>
          <t>SKELLEFTEÅ</t>
        </is>
      </c>
      <c r="F3644" t="inlineStr">
        <is>
          <t>Holmen skog AB</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59633-2024</t>
        </is>
      </c>
      <c r="B3645" s="1" t="n">
        <v>45638</v>
      </c>
      <c r="C3645" s="1" t="n">
        <v>45807</v>
      </c>
      <c r="D3645" t="inlineStr">
        <is>
          <t>VÄSTERBOTTENS LÄN</t>
        </is>
      </c>
      <c r="E3645" t="inlineStr">
        <is>
          <t>SKELLEFTEÅ</t>
        </is>
      </c>
      <c r="F3645" t="inlineStr">
        <is>
          <t>Sveaskog</t>
        </is>
      </c>
      <c r="G3645" t="n">
        <v>11.5</v>
      </c>
      <c r="H3645" t="n">
        <v>0</v>
      </c>
      <c r="I3645" t="n">
        <v>0</v>
      </c>
      <c r="J3645" t="n">
        <v>0</v>
      </c>
      <c r="K3645" t="n">
        <v>0</v>
      </c>
      <c r="L3645" t="n">
        <v>0</v>
      </c>
      <c r="M3645" t="n">
        <v>0</v>
      </c>
      <c r="N3645" t="n">
        <v>0</v>
      </c>
      <c r="O3645" t="n">
        <v>0</v>
      </c>
      <c r="P3645" t="n">
        <v>0</v>
      </c>
      <c r="Q3645" t="n">
        <v>0</v>
      </c>
      <c r="R3645" s="2" t="inlineStr"/>
    </row>
    <row r="3646" ht="15" customHeight="1">
      <c r="A3646" t="inlineStr">
        <is>
          <t>A 59443-2024</t>
        </is>
      </c>
      <c r="B3646" s="1" t="n">
        <v>45638</v>
      </c>
      <c r="C3646" s="1" t="n">
        <v>45807</v>
      </c>
      <c r="D3646" t="inlineStr">
        <is>
          <t>VÄSTERBOTTENS LÄN</t>
        </is>
      </c>
      <c r="E3646" t="inlineStr">
        <is>
          <t>SKELLEFTEÅ</t>
        </is>
      </c>
      <c r="F3646" t="inlineStr">
        <is>
          <t>Sveaskog</t>
        </is>
      </c>
      <c r="G3646" t="n">
        <v>11.7</v>
      </c>
      <c r="H3646" t="n">
        <v>0</v>
      </c>
      <c r="I3646" t="n">
        <v>0</v>
      </c>
      <c r="J3646" t="n">
        <v>0</v>
      </c>
      <c r="K3646" t="n">
        <v>0</v>
      </c>
      <c r="L3646" t="n">
        <v>0</v>
      </c>
      <c r="M3646" t="n">
        <v>0</v>
      </c>
      <c r="N3646" t="n">
        <v>0</v>
      </c>
      <c r="O3646" t="n">
        <v>0</v>
      </c>
      <c r="P3646" t="n">
        <v>0</v>
      </c>
      <c r="Q3646" t="n">
        <v>0</v>
      </c>
      <c r="R3646" s="2" t="inlineStr"/>
    </row>
    <row r="3647" ht="15" customHeight="1">
      <c r="A3647" t="inlineStr">
        <is>
          <t>A 59516-2024</t>
        </is>
      </c>
      <c r="B3647" s="1" t="n">
        <v>45638</v>
      </c>
      <c r="C3647" s="1" t="n">
        <v>45807</v>
      </c>
      <c r="D3647" t="inlineStr">
        <is>
          <t>VÄSTERBOTTENS LÄN</t>
        </is>
      </c>
      <c r="E3647" t="inlineStr">
        <is>
          <t>SKELLEFTEÅ</t>
        </is>
      </c>
      <c r="F3647" t="inlineStr">
        <is>
          <t>Holmen skog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59425-2024</t>
        </is>
      </c>
      <c r="B3648" s="1" t="n">
        <v>45638</v>
      </c>
      <c r="C3648" s="1" t="n">
        <v>45807</v>
      </c>
      <c r="D3648" t="inlineStr">
        <is>
          <t>VÄSTERBOTTENS LÄN</t>
        </is>
      </c>
      <c r="E3648" t="inlineStr">
        <is>
          <t>SKELLEFTEÅ</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59689-2024</t>
        </is>
      </c>
      <c r="B3649" s="1" t="n">
        <v>45639</v>
      </c>
      <c r="C3649" s="1" t="n">
        <v>45807</v>
      </c>
      <c r="D3649" t="inlineStr">
        <is>
          <t>VÄSTERBOTTENS LÄN</t>
        </is>
      </c>
      <c r="E3649" t="inlineStr">
        <is>
          <t>SKELLEFTEÅ</t>
        </is>
      </c>
      <c r="F3649" t="inlineStr">
        <is>
          <t>Holmen skog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59664-2024</t>
        </is>
      </c>
      <c r="B3650" s="1" t="n">
        <v>45639</v>
      </c>
      <c r="C3650" s="1" t="n">
        <v>45807</v>
      </c>
      <c r="D3650" t="inlineStr">
        <is>
          <t>VÄSTERBOTTENS LÄN</t>
        </is>
      </c>
      <c r="E3650" t="inlineStr">
        <is>
          <t>SKELLEFTEÅ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59660-2024</t>
        </is>
      </c>
      <c r="B3651" s="1" t="n">
        <v>45639</v>
      </c>
      <c r="C3651" s="1" t="n">
        <v>45807</v>
      </c>
      <c r="D3651" t="inlineStr">
        <is>
          <t>VÄSTERBOTTENS LÄN</t>
        </is>
      </c>
      <c r="E3651" t="inlineStr">
        <is>
          <t>SKELLEFTEÅ</t>
        </is>
      </c>
      <c r="F3651" t="inlineStr">
        <is>
          <t>Sveaskog</t>
        </is>
      </c>
      <c r="G3651" t="n">
        <v>13.9</v>
      </c>
      <c r="H3651" t="n">
        <v>0</v>
      </c>
      <c r="I3651" t="n">
        <v>0</v>
      </c>
      <c r="J3651" t="n">
        <v>0</v>
      </c>
      <c r="K3651" t="n">
        <v>0</v>
      </c>
      <c r="L3651" t="n">
        <v>0</v>
      </c>
      <c r="M3651" t="n">
        <v>0</v>
      </c>
      <c r="N3651" t="n">
        <v>0</v>
      </c>
      <c r="O3651" t="n">
        <v>0</v>
      </c>
      <c r="P3651" t="n">
        <v>0</v>
      </c>
      <c r="Q3651" t="n">
        <v>0</v>
      </c>
      <c r="R3651" s="2" t="inlineStr"/>
    </row>
    <row r="3652" ht="15" customHeight="1">
      <c r="A3652" t="inlineStr">
        <is>
          <t>A 59663-2024</t>
        </is>
      </c>
      <c r="B3652" s="1" t="n">
        <v>45639</v>
      </c>
      <c r="C3652" s="1" t="n">
        <v>45807</v>
      </c>
      <c r="D3652" t="inlineStr">
        <is>
          <t>VÄSTERBOTTENS LÄN</t>
        </is>
      </c>
      <c r="E3652" t="inlineStr">
        <is>
          <t>SKELLEFTEÅ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59783-2024</t>
        </is>
      </c>
      <c r="B3653" s="1" t="n">
        <v>45639</v>
      </c>
      <c r="C3653" s="1" t="n">
        <v>45807</v>
      </c>
      <c r="D3653" t="inlineStr">
        <is>
          <t>VÄSTERBOTTENS LÄN</t>
        </is>
      </c>
      <c r="E3653" t="inlineStr">
        <is>
          <t>SKELLEFTEÅ</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59640-2024</t>
        </is>
      </c>
      <c r="B3654" s="1" t="n">
        <v>45639</v>
      </c>
      <c r="C3654" s="1" t="n">
        <v>45807</v>
      </c>
      <c r="D3654" t="inlineStr">
        <is>
          <t>VÄSTERBOTTENS LÄN</t>
        </is>
      </c>
      <c r="E3654" t="inlineStr">
        <is>
          <t>SKELLEFTEÅ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59956-2024</t>
        </is>
      </c>
      <c r="B3655" s="1" t="n">
        <v>45639</v>
      </c>
      <c r="C3655" s="1" t="n">
        <v>45807</v>
      </c>
      <c r="D3655" t="inlineStr">
        <is>
          <t>VÄSTERBOTTENS LÄN</t>
        </is>
      </c>
      <c r="E3655" t="inlineStr">
        <is>
          <t>SKELLEFTEÅ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59711-2024</t>
        </is>
      </c>
      <c r="B3656" s="1" t="n">
        <v>45639</v>
      </c>
      <c r="C3656" s="1" t="n">
        <v>45807</v>
      </c>
      <c r="D3656" t="inlineStr">
        <is>
          <t>VÄSTERBOTTENS LÄN</t>
        </is>
      </c>
      <c r="E3656" t="inlineStr">
        <is>
          <t>SKELLEFTEÅ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59918-2024</t>
        </is>
      </c>
      <c r="B3657" s="1" t="n">
        <v>45641</v>
      </c>
      <c r="C3657" s="1" t="n">
        <v>45807</v>
      </c>
      <c r="D3657" t="inlineStr">
        <is>
          <t>VÄSTERBOTTENS LÄN</t>
        </is>
      </c>
      <c r="E3657" t="inlineStr">
        <is>
          <t>SKELLEFTEÅ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60210-2024</t>
        </is>
      </c>
      <c r="B3658" s="1" t="n">
        <v>45642</v>
      </c>
      <c r="C3658" s="1" t="n">
        <v>45807</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60134-2024</t>
        </is>
      </c>
      <c r="B3659" s="1" t="n">
        <v>45642</v>
      </c>
      <c r="C3659" s="1" t="n">
        <v>45807</v>
      </c>
      <c r="D3659" t="inlineStr">
        <is>
          <t>VÄSTERBOTTENS LÄN</t>
        </is>
      </c>
      <c r="E3659" t="inlineStr">
        <is>
          <t>SKELLEFTEÅ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60116-2024</t>
        </is>
      </c>
      <c r="B3660" s="1" t="n">
        <v>45642</v>
      </c>
      <c r="C3660" s="1" t="n">
        <v>45807</v>
      </c>
      <c r="D3660" t="inlineStr">
        <is>
          <t>VÄSTERBOTTENS LÄN</t>
        </is>
      </c>
      <c r="E3660" t="inlineStr">
        <is>
          <t>SKELLEFTEÅ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60209-2024</t>
        </is>
      </c>
      <c r="B3661" s="1" t="n">
        <v>45642</v>
      </c>
      <c r="C3661" s="1" t="n">
        <v>45807</v>
      </c>
      <c r="D3661" t="inlineStr">
        <is>
          <t>VÄSTERBOTTENS LÄN</t>
        </is>
      </c>
      <c r="E3661" t="inlineStr">
        <is>
          <t>SKELLEFTEÅ</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59993-2024</t>
        </is>
      </c>
      <c r="B3662" s="1" t="n">
        <v>45642</v>
      </c>
      <c r="C3662" s="1" t="n">
        <v>45807</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59940-2024</t>
        </is>
      </c>
      <c r="B3663" s="1" t="n">
        <v>45642</v>
      </c>
      <c r="C3663" s="1" t="n">
        <v>45807</v>
      </c>
      <c r="D3663" t="inlineStr">
        <is>
          <t>VÄSTERBOTTENS LÄN</t>
        </is>
      </c>
      <c r="E3663" t="inlineStr">
        <is>
          <t>SKELLEFTEÅ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59932-2024</t>
        </is>
      </c>
      <c r="B3664" s="1" t="n">
        <v>45642</v>
      </c>
      <c r="C3664" s="1" t="n">
        <v>45807</v>
      </c>
      <c r="D3664" t="inlineStr">
        <is>
          <t>VÄSTERBOTTENS LÄN</t>
        </is>
      </c>
      <c r="E3664" t="inlineStr">
        <is>
          <t>SKELLEFTEÅ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59937-2024</t>
        </is>
      </c>
      <c r="B3665" s="1" t="n">
        <v>45642</v>
      </c>
      <c r="C3665" s="1" t="n">
        <v>45807</v>
      </c>
      <c r="D3665" t="inlineStr">
        <is>
          <t>VÄSTERBOTTENS LÄN</t>
        </is>
      </c>
      <c r="E3665" t="inlineStr">
        <is>
          <t>SKELLEFTEÅ</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59931-2024</t>
        </is>
      </c>
      <c r="B3666" s="1" t="n">
        <v>45642</v>
      </c>
      <c r="C3666" s="1" t="n">
        <v>45807</v>
      </c>
      <c r="D3666" t="inlineStr">
        <is>
          <t>VÄSTERBOTTENS LÄN</t>
        </is>
      </c>
      <c r="E3666" t="inlineStr">
        <is>
          <t>SKELLEFTEÅ</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60294-2024</t>
        </is>
      </c>
      <c r="B3667" s="1" t="n">
        <v>45643</v>
      </c>
      <c r="C3667" s="1" t="n">
        <v>45807</v>
      </c>
      <c r="D3667" t="inlineStr">
        <is>
          <t>VÄSTERBOTTENS LÄN</t>
        </is>
      </c>
      <c r="E3667" t="inlineStr">
        <is>
          <t>SKELLEFTEÅ</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60518-2024</t>
        </is>
      </c>
      <c r="B3668" s="1" t="n">
        <v>45643</v>
      </c>
      <c r="C3668" s="1" t="n">
        <v>45807</v>
      </c>
      <c r="D3668" t="inlineStr">
        <is>
          <t>VÄSTERBOTTENS LÄN</t>
        </is>
      </c>
      <c r="E3668" t="inlineStr">
        <is>
          <t>SKELLEFTEÅ</t>
        </is>
      </c>
      <c r="G3668" t="n">
        <v>9.9</v>
      </c>
      <c r="H3668" t="n">
        <v>0</v>
      </c>
      <c r="I3668" t="n">
        <v>0</v>
      </c>
      <c r="J3668" t="n">
        <v>0</v>
      </c>
      <c r="K3668" t="n">
        <v>0</v>
      </c>
      <c r="L3668" t="n">
        <v>0</v>
      </c>
      <c r="M3668" t="n">
        <v>0</v>
      </c>
      <c r="N3668" t="n">
        <v>0</v>
      </c>
      <c r="O3668" t="n">
        <v>0</v>
      </c>
      <c r="P3668" t="n">
        <v>0</v>
      </c>
      <c r="Q3668" t="n">
        <v>0</v>
      </c>
      <c r="R3668" s="2" t="inlineStr"/>
    </row>
    <row r="3669" ht="15" customHeight="1">
      <c r="A3669" t="inlineStr">
        <is>
          <t>A 60293-2024</t>
        </is>
      </c>
      <c r="B3669" s="1" t="n">
        <v>45643</v>
      </c>
      <c r="C3669" s="1" t="n">
        <v>45807</v>
      </c>
      <c r="D3669" t="inlineStr">
        <is>
          <t>VÄSTERBOTTENS LÄN</t>
        </is>
      </c>
      <c r="E3669" t="inlineStr">
        <is>
          <t>SKELLEFTEÅ</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60324-2024</t>
        </is>
      </c>
      <c r="B3670" s="1" t="n">
        <v>45643</v>
      </c>
      <c r="C3670" s="1" t="n">
        <v>45807</v>
      </c>
      <c r="D3670" t="inlineStr">
        <is>
          <t>VÄSTERBOTTENS LÄN</t>
        </is>
      </c>
      <c r="E3670" t="inlineStr">
        <is>
          <t>SKELLEFTEÅ</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60861-2024</t>
        </is>
      </c>
      <c r="B3671" s="1" t="n">
        <v>45644</v>
      </c>
      <c r="C3671" s="1" t="n">
        <v>45807</v>
      </c>
      <c r="D3671" t="inlineStr">
        <is>
          <t>VÄSTERBOTTENS LÄN</t>
        </is>
      </c>
      <c r="E3671" t="inlineStr">
        <is>
          <t>SKELLEFTEÅ</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60982-2024</t>
        </is>
      </c>
      <c r="B3672" s="1" t="n">
        <v>45645</v>
      </c>
      <c r="C3672" s="1" t="n">
        <v>45807</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61030-2024</t>
        </is>
      </c>
      <c r="B3673" s="1" t="n">
        <v>45645</v>
      </c>
      <c r="C3673" s="1" t="n">
        <v>45807</v>
      </c>
      <c r="D3673" t="inlineStr">
        <is>
          <t>VÄSTERBOTTENS LÄN</t>
        </is>
      </c>
      <c r="E3673" t="inlineStr">
        <is>
          <t>SKELLEFTEÅ</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61097-2024</t>
        </is>
      </c>
      <c r="B3674" s="1" t="n">
        <v>45645</v>
      </c>
      <c r="C3674" s="1" t="n">
        <v>45807</v>
      </c>
      <c r="D3674" t="inlineStr">
        <is>
          <t>VÄSTERBOTTENS LÄN</t>
        </is>
      </c>
      <c r="E3674" t="inlineStr">
        <is>
          <t>SKELLEFTEÅ</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60992-2024</t>
        </is>
      </c>
      <c r="B3675" s="1" t="n">
        <v>45645</v>
      </c>
      <c r="C3675" s="1" t="n">
        <v>45807</v>
      </c>
      <c r="D3675" t="inlineStr">
        <is>
          <t>VÄSTERBOTTENS LÄN</t>
        </is>
      </c>
      <c r="E3675" t="inlineStr">
        <is>
          <t>SKELLEFTEÅ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61378-2024</t>
        </is>
      </c>
      <c r="B3676" s="1" t="n">
        <v>45645</v>
      </c>
      <c r="C3676" s="1" t="n">
        <v>45807</v>
      </c>
      <c r="D3676" t="inlineStr">
        <is>
          <t>VÄSTERBOTTENS LÄN</t>
        </is>
      </c>
      <c r="E3676" t="inlineStr">
        <is>
          <t>SKELLEFTEÅ</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61437-2024</t>
        </is>
      </c>
      <c r="B3677" s="1" t="n">
        <v>45645</v>
      </c>
      <c r="C3677" s="1" t="n">
        <v>45807</v>
      </c>
      <c r="D3677" t="inlineStr">
        <is>
          <t>VÄSTERBOTTENS LÄN</t>
        </is>
      </c>
      <c r="E3677" t="inlineStr">
        <is>
          <t>SKELLEFTEÅ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61112-2024</t>
        </is>
      </c>
      <c r="B3678" s="1" t="n">
        <v>45645</v>
      </c>
      <c r="C3678" s="1" t="n">
        <v>45807</v>
      </c>
      <c r="D3678" t="inlineStr">
        <is>
          <t>VÄSTERBOTTENS LÄN</t>
        </is>
      </c>
      <c r="E3678" t="inlineStr">
        <is>
          <t>SKELLEFTEÅ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61433-2024</t>
        </is>
      </c>
      <c r="B3679" s="1" t="n">
        <v>45645</v>
      </c>
      <c r="C3679" s="1" t="n">
        <v>45807</v>
      </c>
      <c r="D3679" t="inlineStr">
        <is>
          <t>VÄSTERBOTTENS LÄN</t>
        </is>
      </c>
      <c r="E3679" t="inlineStr">
        <is>
          <t>SKELLEFTEÅ</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61257-2024</t>
        </is>
      </c>
      <c r="B3680" s="1" t="n">
        <v>45645</v>
      </c>
      <c r="C3680" s="1" t="n">
        <v>45807</v>
      </c>
      <c r="D3680" t="inlineStr">
        <is>
          <t>VÄSTERBOTTENS LÄN</t>
        </is>
      </c>
      <c r="E3680" t="inlineStr">
        <is>
          <t>SKELLEFTEÅ</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61359-2024</t>
        </is>
      </c>
      <c r="B3681" s="1" t="n">
        <v>45645</v>
      </c>
      <c r="C3681" s="1" t="n">
        <v>45807</v>
      </c>
      <c r="D3681" t="inlineStr">
        <is>
          <t>VÄSTERBOTTENS LÄN</t>
        </is>
      </c>
      <c r="E3681" t="inlineStr">
        <is>
          <t>SKELLEFTEÅ</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61429-2024</t>
        </is>
      </c>
      <c r="B3682" s="1" t="n">
        <v>45645</v>
      </c>
      <c r="C3682" s="1" t="n">
        <v>45807</v>
      </c>
      <c r="D3682" t="inlineStr">
        <is>
          <t>VÄSTERBOTTENS LÄN</t>
        </is>
      </c>
      <c r="E3682" t="inlineStr">
        <is>
          <t>SKELLEFTEÅ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61238-2024</t>
        </is>
      </c>
      <c r="B3683" s="1" t="n">
        <v>45645</v>
      </c>
      <c r="C3683" s="1" t="n">
        <v>45807</v>
      </c>
      <c r="D3683" t="inlineStr">
        <is>
          <t>VÄSTERBOTTENS LÄN</t>
        </is>
      </c>
      <c r="E3683" t="inlineStr">
        <is>
          <t>SKELLEFTEÅ</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61421-2024</t>
        </is>
      </c>
      <c r="B3684" s="1" t="n">
        <v>45645</v>
      </c>
      <c r="C3684" s="1" t="n">
        <v>45807</v>
      </c>
      <c r="D3684" t="inlineStr">
        <is>
          <t>VÄSTERBOTTENS LÄN</t>
        </is>
      </c>
      <c r="E3684" t="inlineStr">
        <is>
          <t>SKELLEFTEÅ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61438-2024</t>
        </is>
      </c>
      <c r="B3685" s="1" t="n">
        <v>45645</v>
      </c>
      <c r="C3685" s="1" t="n">
        <v>45807</v>
      </c>
      <c r="D3685" t="inlineStr">
        <is>
          <t>VÄSTERBOTTENS LÄN</t>
        </is>
      </c>
      <c r="E3685" t="inlineStr">
        <is>
          <t>SKELLEFTEÅ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61327-2024</t>
        </is>
      </c>
      <c r="B3686" s="1" t="n">
        <v>45646</v>
      </c>
      <c r="C3686" s="1" t="n">
        <v>45807</v>
      </c>
      <c r="D3686" t="inlineStr">
        <is>
          <t>VÄSTERBOTTENS LÄN</t>
        </is>
      </c>
      <c r="E3686" t="inlineStr">
        <is>
          <t>SKELLEFTEÅ</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61479-2024</t>
        </is>
      </c>
      <c r="B3687" s="1" t="n">
        <v>45646</v>
      </c>
      <c r="C3687" s="1" t="n">
        <v>45807</v>
      </c>
      <c r="D3687" t="inlineStr">
        <is>
          <t>VÄSTERBOTTENS LÄN</t>
        </is>
      </c>
      <c r="E3687" t="inlineStr">
        <is>
          <t>SKELLEFTEÅ</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61584-2024</t>
        </is>
      </c>
      <c r="B3688" s="1" t="n">
        <v>45646</v>
      </c>
      <c r="C3688" s="1" t="n">
        <v>45807</v>
      </c>
      <c r="D3688" t="inlineStr">
        <is>
          <t>VÄSTERBOTTENS LÄN</t>
        </is>
      </c>
      <c r="E3688" t="inlineStr">
        <is>
          <t>SKELLEFTEÅ</t>
        </is>
      </c>
      <c r="F3688" t="inlineStr">
        <is>
          <t>Sveaskog</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61983-2024</t>
        </is>
      </c>
      <c r="B3689" s="1" t="n">
        <v>45646</v>
      </c>
      <c r="C3689" s="1" t="n">
        <v>45807</v>
      </c>
      <c r="D3689" t="inlineStr">
        <is>
          <t>VÄSTERBOTTENS LÄN</t>
        </is>
      </c>
      <c r="E3689" t="inlineStr">
        <is>
          <t>SKELLEFTEÅ</t>
        </is>
      </c>
      <c r="F3689" t="inlineStr">
        <is>
          <t>Kommuner</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61551-2024</t>
        </is>
      </c>
      <c r="B3690" s="1" t="n">
        <v>45646</v>
      </c>
      <c r="C3690" s="1" t="n">
        <v>45807</v>
      </c>
      <c r="D3690" t="inlineStr">
        <is>
          <t>VÄSTERBOTTENS LÄN</t>
        </is>
      </c>
      <c r="E3690" t="inlineStr">
        <is>
          <t>SKELLEFTEÅ</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61559-2024</t>
        </is>
      </c>
      <c r="B3691" s="1" t="n">
        <v>45646</v>
      </c>
      <c r="C3691" s="1" t="n">
        <v>45807</v>
      </c>
      <c r="D3691" t="inlineStr">
        <is>
          <t>VÄSTERBOTTENS LÄN</t>
        </is>
      </c>
      <c r="E3691" t="inlineStr">
        <is>
          <t>SKELLEFTEÅ</t>
        </is>
      </c>
      <c r="F3691" t="inlineStr">
        <is>
          <t>Sveaskog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61988-2024</t>
        </is>
      </c>
      <c r="B3692" s="1" t="n">
        <v>45646</v>
      </c>
      <c r="C3692" s="1" t="n">
        <v>45807</v>
      </c>
      <c r="D3692" t="inlineStr">
        <is>
          <t>VÄSTERBOTTENS LÄN</t>
        </is>
      </c>
      <c r="E3692" t="inlineStr">
        <is>
          <t>SKELLEFTEÅ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61697-2024</t>
        </is>
      </c>
      <c r="B3693" s="1" t="n">
        <v>45647</v>
      </c>
      <c r="C3693" s="1" t="n">
        <v>45807</v>
      </c>
      <c r="D3693" t="inlineStr">
        <is>
          <t>VÄSTERBOTTENS LÄN</t>
        </is>
      </c>
      <c r="E3693" t="inlineStr">
        <is>
          <t>SKELLEFTEÅ</t>
        </is>
      </c>
      <c r="G3693" t="n">
        <v>16.7</v>
      </c>
      <c r="H3693" t="n">
        <v>0</v>
      </c>
      <c r="I3693" t="n">
        <v>0</v>
      </c>
      <c r="J3693" t="n">
        <v>0</v>
      </c>
      <c r="K3693" t="n">
        <v>0</v>
      </c>
      <c r="L3693" t="n">
        <v>0</v>
      </c>
      <c r="M3693" t="n">
        <v>0</v>
      </c>
      <c r="N3693" t="n">
        <v>0</v>
      </c>
      <c r="O3693" t="n">
        <v>0</v>
      </c>
      <c r="P3693" t="n">
        <v>0</v>
      </c>
      <c r="Q3693" t="n">
        <v>0</v>
      </c>
      <c r="R3693" s="2" t="inlineStr"/>
    </row>
    <row r="3694" ht="15" customHeight="1">
      <c r="A3694" t="inlineStr">
        <is>
          <t>A 160-2025</t>
        </is>
      </c>
      <c r="B3694" s="1" t="n">
        <v>45649</v>
      </c>
      <c r="C3694" s="1" t="n">
        <v>45807</v>
      </c>
      <c r="D3694" t="inlineStr">
        <is>
          <t>VÄSTERBOTTENS LÄN</t>
        </is>
      </c>
      <c r="E3694" t="inlineStr">
        <is>
          <t>SKELLEFTEÅ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61989-2024</t>
        </is>
      </c>
      <c r="B3695" s="1" t="n">
        <v>45653</v>
      </c>
      <c r="C3695" s="1" t="n">
        <v>45807</v>
      </c>
      <c r="D3695" t="inlineStr">
        <is>
          <t>VÄSTERBOTTENS LÄN</t>
        </is>
      </c>
      <c r="E3695" t="inlineStr">
        <is>
          <t>SKELLEFTEÅ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61993-2024</t>
        </is>
      </c>
      <c r="B3696" s="1" t="n">
        <v>45653</v>
      </c>
      <c r="C3696" s="1" t="n">
        <v>45807</v>
      </c>
      <c r="D3696" t="inlineStr">
        <is>
          <t>VÄSTERBOTTENS LÄN</t>
        </is>
      </c>
      <c r="E3696" t="inlineStr">
        <is>
          <t>SKELLEFTEÅ</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62052-2024</t>
        </is>
      </c>
      <c r="B3697" s="1" t="n">
        <v>45656</v>
      </c>
      <c r="C3697" s="1" t="n">
        <v>45807</v>
      </c>
      <c r="D3697" t="inlineStr">
        <is>
          <t>VÄSTERBOTTENS LÄN</t>
        </is>
      </c>
      <c r="E3697" t="inlineStr">
        <is>
          <t>SKELLEFTEÅ</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62056-2024</t>
        </is>
      </c>
      <c r="B3698" s="1" t="n">
        <v>45656</v>
      </c>
      <c r="C3698" s="1" t="n">
        <v>45807</v>
      </c>
      <c r="D3698" t="inlineStr">
        <is>
          <t>VÄSTERBOTTENS LÄN</t>
        </is>
      </c>
      <c r="E3698" t="inlineStr">
        <is>
          <t>SKELLEFTEÅ</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62061-2024</t>
        </is>
      </c>
      <c r="B3699" s="1" t="n">
        <v>45656</v>
      </c>
      <c r="C3699" s="1" t="n">
        <v>45807</v>
      </c>
      <c r="D3699" t="inlineStr">
        <is>
          <t>VÄSTERBOTTENS LÄN</t>
        </is>
      </c>
      <c r="E3699" t="inlineStr">
        <is>
          <t>SKELLEFTEÅ</t>
        </is>
      </c>
      <c r="F3699" t="inlineStr">
        <is>
          <t>Sveaskog</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62063-2024</t>
        </is>
      </c>
      <c r="B3700" s="1" t="n">
        <v>45656</v>
      </c>
      <c r="C3700" s="1" t="n">
        <v>45807</v>
      </c>
      <c r="D3700" t="inlineStr">
        <is>
          <t>VÄSTERBOTTENS LÄN</t>
        </is>
      </c>
      <c r="E3700" t="inlineStr">
        <is>
          <t>SKELLEFTEÅ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62047-2024</t>
        </is>
      </c>
      <c r="B3701" s="1" t="n">
        <v>45656</v>
      </c>
      <c r="C3701" s="1" t="n">
        <v>45807</v>
      </c>
      <c r="D3701" t="inlineStr">
        <is>
          <t>VÄSTERBOTTENS LÄN</t>
        </is>
      </c>
      <c r="E3701" t="inlineStr">
        <is>
          <t>SKELLEFTEÅ</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62023-2024</t>
        </is>
      </c>
      <c r="B3702" s="1" t="n">
        <v>45656</v>
      </c>
      <c r="C3702" s="1" t="n">
        <v>45807</v>
      </c>
      <c r="D3702" t="inlineStr">
        <is>
          <t>VÄSTERBOTTENS LÄN</t>
        </is>
      </c>
      <c r="E3702" t="inlineStr">
        <is>
          <t>SKELLEFTEÅ</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62064-2024</t>
        </is>
      </c>
      <c r="B3703" s="1" t="n">
        <v>45656</v>
      </c>
      <c r="C3703" s="1" t="n">
        <v>45807</v>
      </c>
      <c r="D3703" t="inlineStr">
        <is>
          <t>VÄSTERBOTTENS LÄN</t>
        </is>
      </c>
      <c r="E3703" t="inlineStr">
        <is>
          <t>SKELLEFTEÅ</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62060-2024</t>
        </is>
      </c>
      <c r="B3704" s="1" t="n">
        <v>45656</v>
      </c>
      <c r="C3704" s="1" t="n">
        <v>45807</v>
      </c>
      <c r="D3704" t="inlineStr">
        <is>
          <t>VÄSTERBOTTENS LÄN</t>
        </is>
      </c>
      <c r="E3704" t="inlineStr">
        <is>
          <t>SKELLEFTEÅ</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62066-2024</t>
        </is>
      </c>
      <c r="B3705" s="1" t="n">
        <v>45656</v>
      </c>
      <c r="C3705" s="1" t="n">
        <v>45807</v>
      </c>
      <c r="D3705" t="inlineStr">
        <is>
          <t>VÄSTERBOTTENS LÄN</t>
        </is>
      </c>
      <c r="E3705" t="inlineStr">
        <is>
          <t>SKELLEFTEÅ</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62058-2024</t>
        </is>
      </c>
      <c r="B3706" s="1" t="n">
        <v>45656</v>
      </c>
      <c r="C3706" s="1" t="n">
        <v>45807</v>
      </c>
      <c r="D3706" t="inlineStr">
        <is>
          <t>VÄSTERBOTTENS LÄN</t>
        </is>
      </c>
      <c r="E3706" t="inlineStr">
        <is>
          <t>SKELLEFTEÅ</t>
        </is>
      </c>
      <c r="F3706" t="inlineStr">
        <is>
          <t>Sveaskog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277-2025</t>
        </is>
      </c>
      <c r="B3707" s="1" t="n">
        <v>45660</v>
      </c>
      <c r="C3707" s="1" t="n">
        <v>45807</v>
      </c>
      <c r="D3707" t="inlineStr">
        <is>
          <t>VÄSTERBOTTENS LÄN</t>
        </is>
      </c>
      <c r="E3707" t="inlineStr">
        <is>
          <t>SKELLEFTEÅ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544-2025</t>
        </is>
      </c>
      <c r="B3708" s="1" t="n">
        <v>45660</v>
      </c>
      <c r="C3708" s="1" t="n">
        <v>45807</v>
      </c>
      <c r="D3708" t="inlineStr">
        <is>
          <t>VÄSTERBOTTENS LÄN</t>
        </is>
      </c>
      <c r="E3708" t="inlineStr">
        <is>
          <t>SKELLEFTEÅ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274-2025</t>
        </is>
      </c>
      <c r="B3709" s="1" t="n">
        <v>45660</v>
      </c>
      <c r="C3709" s="1" t="n">
        <v>45807</v>
      </c>
      <c r="D3709" t="inlineStr">
        <is>
          <t>VÄSTERBOTTENS LÄN</t>
        </is>
      </c>
      <c r="E3709" t="inlineStr">
        <is>
          <t>SKELLEFTEÅ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560-2025</t>
        </is>
      </c>
      <c r="B3710" s="1" t="n">
        <v>45660</v>
      </c>
      <c r="C3710" s="1" t="n">
        <v>45807</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573-2025</t>
        </is>
      </c>
      <c r="B3711" s="1" t="n">
        <v>45660</v>
      </c>
      <c r="C3711" s="1" t="n">
        <v>45807</v>
      </c>
      <c r="D3711" t="inlineStr">
        <is>
          <t>VÄSTERBOTTENS LÄN</t>
        </is>
      </c>
      <c r="E3711" t="inlineStr">
        <is>
          <t>SKELLEFTEÅ</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642-2025</t>
        </is>
      </c>
      <c r="B3712" s="1" t="n">
        <v>45660</v>
      </c>
      <c r="C3712" s="1" t="n">
        <v>45807</v>
      </c>
      <c r="D3712" t="inlineStr">
        <is>
          <t>VÄSTERBOTTENS LÄN</t>
        </is>
      </c>
      <c r="E3712" t="inlineStr">
        <is>
          <t>SKELLEFTEÅ</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580-2025</t>
        </is>
      </c>
      <c r="B3713" s="1" t="n">
        <v>45660</v>
      </c>
      <c r="C3713" s="1" t="n">
        <v>45807</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275-2025</t>
        </is>
      </c>
      <c r="B3714" s="1" t="n">
        <v>45660</v>
      </c>
      <c r="C3714" s="1" t="n">
        <v>45807</v>
      </c>
      <c r="D3714" t="inlineStr">
        <is>
          <t>VÄSTERBOTTENS LÄN</t>
        </is>
      </c>
      <c r="E3714" t="inlineStr">
        <is>
          <t>SKELLEFTEÅ</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901-2025</t>
        </is>
      </c>
      <c r="B3715" s="1" t="n">
        <v>45664</v>
      </c>
      <c r="C3715" s="1" t="n">
        <v>45807</v>
      </c>
      <c r="D3715" t="inlineStr">
        <is>
          <t>VÄSTERBOTTENS LÄN</t>
        </is>
      </c>
      <c r="E3715" t="inlineStr">
        <is>
          <t>SKELLEFTEÅ</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713-2025</t>
        </is>
      </c>
      <c r="B3716" s="1" t="n">
        <v>45664</v>
      </c>
      <c r="C3716" s="1" t="n">
        <v>45807</v>
      </c>
      <c r="D3716" t="inlineStr">
        <is>
          <t>VÄSTERBOTTENS LÄN</t>
        </is>
      </c>
      <c r="E3716" t="inlineStr">
        <is>
          <t>SKELLEFTEÅ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641-2025</t>
        </is>
      </c>
      <c r="B3717" s="1" t="n">
        <v>45664</v>
      </c>
      <c r="C3717" s="1" t="n">
        <v>45807</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1004-2025</t>
        </is>
      </c>
      <c r="B3718" s="1" t="n">
        <v>45665</v>
      </c>
      <c r="C3718" s="1" t="n">
        <v>45807</v>
      </c>
      <c r="D3718" t="inlineStr">
        <is>
          <t>VÄSTERBOTTENS LÄN</t>
        </is>
      </c>
      <c r="E3718" t="inlineStr">
        <is>
          <t>SKELLEFTEÅ</t>
        </is>
      </c>
      <c r="G3718" t="n">
        <v>12.1</v>
      </c>
      <c r="H3718" t="n">
        <v>0</v>
      </c>
      <c r="I3718" t="n">
        <v>0</v>
      </c>
      <c r="J3718" t="n">
        <v>0</v>
      </c>
      <c r="K3718" t="n">
        <v>0</v>
      </c>
      <c r="L3718" t="n">
        <v>0</v>
      </c>
      <c r="M3718" t="n">
        <v>0</v>
      </c>
      <c r="N3718" t="n">
        <v>0</v>
      </c>
      <c r="O3718" t="n">
        <v>0</v>
      </c>
      <c r="P3718" t="n">
        <v>0</v>
      </c>
      <c r="Q3718" t="n">
        <v>0</v>
      </c>
      <c r="R3718" s="2" t="inlineStr"/>
    </row>
    <row r="3719" ht="15" customHeight="1">
      <c r="A3719" t="inlineStr">
        <is>
          <t>A 1022-2025</t>
        </is>
      </c>
      <c r="B3719" s="1" t="n">
        <v>45665</v>
      </c>
      <c r="C3719" s="1" t="n">
        <v>45807</v>
      </c>
      <c r="D3719" t="inlineStr">
        <is>
          <t>VÄSTERBOTTENS LÄN</t>
        </is>
      </c>
      <c r="E3719" t="inlineStr">
        <is>
          <t>SKELLEFTEÅ</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862-2025</t>
        </is>
      </c>
      <c r="B3720" s="1" t="n">
        <v>45665</v>
      </c>
      <c r="C3720" s="1" t="n">
        <v>45807</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714-2025</t>
        </is>
      </c>
      <c r="B3721" s="1" t="n">
        <v>45665</v>
      </c>
      <c r="C3721" s="1" t="n">
        <v>45807</v>
      </c>
      <c r="D3721" t="inlineStr">
        <is>
          <t>VÄSTERBOTTENS LÄN</t>
        </is>
      </c>
      <c r="E3721" t="inlineStr">
        <is>
          <t>SKELLEFTEÅ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867-2025</t>
        </is>
      </c>
      <c r="B3722" s="1" t="n">
        <v>45665</v>
      </c>
      <c r="C3722" s="1" t="n">
        <v>45807</v>
      </c>
      <c r="D3722" t="inlineStr">
        <is>
          <t>VÄSTERBOTTENS LÄN</t>
        </is>
      </c>
      <c r="E3722" t="inlineStr">
        <is>
          <t>SKELLEFTEÅ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908-2025</t>
        </is>
      </c>
      <c r="B3723" s="1" t="n">
        <v>45665</v>
      </c>
      <c r="C3723" s="1" t="n">
        <v>45807</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787-2025</t>
        </is>
      </c>
      <c r="B3724" s="1" t="n">
        <v>45665</v>
      </c>
      <c r="C3724" s="1" t="n">
        <v>45807</v>
      </c>
      <c r="D3724" t="inlineStr">
        <is>
          <t>VÄSTERBOTTENS LÄN</t>
        </is>
      </c>
      <c r="E3724" t="inlineStr">
        <is>
          <t>SKELLEFTEÅ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1025-2025</t>
        </is>
      </c>
      <c r="B3725" s="1" t="n">
        <v>45665</v>
      </c>
      <c r="C3725" s="1" t="n">
        <v>45807</v>
      </c>
      <c r="D3725" t="inlineStr">
        <is>
          <t>VÄSTERBOTTENS LÄN</t>
        </is>
      </c>
      <c r="E3725" t="inlineStr">
        <is>
          <t>SKELLEFTEÅ</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1328-2025</t>
        </is>
      </c>
      <c r="B3726" s="1" t="n">
        <v>45666</v>
      </c>
      <c r="C3726" s="1" t="n">
        <v>45807</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951-2025</t>
        </is>
      </c>
      <c r="B3727" s="1" t="n">
        <v>45666</v>
      </c>
      <c r="C3727" s="1" t="n">
        <v>45807</v>
      </c>
      <c r="D3727" t="inlineStr">
        <is>
          <t>VÄSTERBOTTENS LÄN</t>
        </is>
      </c>
      <c r="E3727" t="inlineStr">
        <is>
          <t>SKELLEFTEÅ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1336-2025</t>
        </is>
      </c>
      <c r="B3728" s="1" t="n">
        <v>45666</v>
      </c>
      <c r="C3728" s="1" t="n">
        <v>45807</v>
      </c>
      <c r="D3728" t="inlineStr">
        <is>
          <t>VÄSTERBOTTENS LÄN</t>
        </is>
      </c>
      <c r="E3728" t="inlineStr">
        <is>
          <t>SKELLEFTEÅ</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1113-2025</t>
        </is>
      </c>
      <c r="B3729" s="1" t="n">
        <v>45666</v>
      </c>
      <c r="C3729" s="1" t="n">
        <v>45807</v>
      </c>
      <c r="D3729" t="inlineStr">
        <is>
          <t>VÄSTERBOTTENS LÄN</t>
        </is>
      </c>
      <c r="E3729" t="inlineStr">
        <is>
          <t>SKELLEFTEÅ</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964-2025</t>
        </is>
      </c>
      <c r="B3730" s="1" t="n">
        <v>45666</v>
      </c>
      <c r="C3730" s="1" t="n">
        <v>45807</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948-2025</t>
        </is>
      </c>
      <c r="B3731" s="1" t="n">
        <v>45666</v>
      </c>
      <c r="C3731" s="1" t="n">
        <v>45807</v>
      </c>
      <c r="D3731" t="inlineStr">
        <is>
          <t>VÄSTERBOTTENS LÄN</t>
        </is>
      </c>
      <c r="E3731" t="inlineStr">
        <is>
          <t>SKELLEFTEÅ</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1244-2025</t>
        </is>
      </c>
      <c r="B3732" s="1" t="n">
        <v>45667</v>
      </c>
      <c r="C3732" s="1" t="n">
        <v>45807</v>
      </c>
      <c r="D3732" t="inlineStr">
        <is>
          <t>VÄSTERBOTTENS LÄN</t>
        </is>
      </c>
      <c r="E3732" t="inlineStr">
        <is>
          <t>SKELLEFTEÅ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1233-2025</t>
        </is>
      </c>
      <c r="B3733" s="1" t="n">
        <v>45667</v>
      </c>
      <c r="C3733" s="1" t="n">
        <v>45807</v>
      </c>
      <c r="D3733" t="inlineStr">
        <is>
          <t>VÄSTERBOTTENS LÄN</t>
        </is>
      </c>
      <c r="E3733" t="inlineStr">
        <is>
          <t>SKELLEFTEÅ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1249-2025</t>
        </is>
      </c>
      <c r="B3734" s="1" t="n">
        <v>45667</v>
      </c>
      <c r="C3734" s="1" t="n">
        <v>45807</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1253-2025</t>
        </is>
      </c>
      <c r="B3735" s="1" t="n">
        <v>45667</v>
      </c>
      <c r="C3735" s="1" t="n">
        <v>45807</v>
      </c>
      <c r="D3735" t="inlineStr">
        <is>
          <t>VÄSTERBOTTENS LÄN</t>
        </is>
      </c>
      <c r="E3735" t="inlineStr">
        <is>
          <t>SKELLEFTEÅ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1251-2025</t>
        </is>
      </c>
      <c r="B3736" s="1" t="n">
        <v>45667</v>
      </c>
      <c r="C3736" s="1" t="n">
        <v>45807</v>
      </c>
      <c r="D3736" t="inlineStr">
        <is>
          <t>VÄSTERBOTTENS LÄN</t>
        </is>
      </c>
      <c r="E3736" t="inlineStr">
        <is>
          <t>SKELLEFTEÅ</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1278-2025</t>
        </is>
      </c>
      <c r="B3737" s="1" t="n">
        <v>45667</v>
      </c>
      <c r="C3737" s="1" t="n">
        <v>45807</v>
      </c>
      <c r="D3737" t="inlineStr">
        <is>
          <t>VÄSTERBOTTENS LÄN</t>
        </is>
      </c>
      <c r="E3737" t="inlineStr">
        <is>
          <t>SKELLEFTEÅ</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1404-2025</t>
        </is>
      </c>
      <c r="B3738" s="1" t="n">
        <v>45667</v>
      </c>
      <c r="C3738" s="1" t="n">
        <v>45807</v>
      </c>
      <c r="D3738" t="inlineStr">
        <is>
          <t>VÄSTERBOTTENS LÄN</t>
        </is>
      </c>
      <c r="E3738" t="inlineStr">
        <is>
          <t>SKELLEFTEÅ</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1362-2025</t>
        </is>
      </c>
      <c r="B3739" s="1" t="n">
        <v>45667</v>
      </c>
      <c r="C3739" s="1" t="n">
        <v>45807</v>
      </c>
      <c r="D3739" t="inlineStr">
        <is>
          <t>VÄSTERBOTTENS LÄN</t>
        </is>
      </c>
      <c r="E3739" t="inlineStr">
        <is>
          <t>SKELLEFTEÅ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1402-2025</t>
        </is>
      </c>
      <c r="B3740" s="1" t="n">
        <v>45667</v>
      </c>
      <c r="C3740" s="1" t="n">
        <v>45807</v>
      </c>
      <c r="D3740" t="inlineStr">
        <is>
          <t>VÄSTERBOTTENS LÄN</t>
        </is>
      </c>
      <c r="E3740" t="inlineStr">
        <is>
          <t>SKELLEFTEÅ</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1367-2025</t>
        </is>
      </c>
      <c r="B3741" s="1" t="n">
        <v>45667</v>
      </c>
      <c r="C3741" s="1" t="n">
        <v>45807</v>
      </c>
      <c r="D3741" t="inlineStr">
        <is>
          <t>VÄSTERBOTTENS LÄN</t>
        </is>
      </c>
      <c r="E3741" t="inlineStr">
        <is>
          <t>SKELLEFTEÅ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1246-2025</t>
        </is>
      </c>
      <c r="B3742" s="1" t="n">
        <v>45667</v>
      </c>
      <c r="C3742" s="1" t="n">
        <v>45807</v>
      </c>
      <c r="D3742" t="inlineStr">
        <is>
          <t>VÄSTERBOTTENS LÄN</t>
        </is>
      </c>
      <c r="E3742" t="inlineStr">
        <is>
          <t>SKELLEFTEÅ</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1321-2025</t>
        </is>
      </c>
      <c r="B3743" s="1" t="n">
        <v>45667</v>
      </c>
      <c r="C3743" s="1" t="n">
        <v>45807</v>
      </c>
      <c r="D3743" t="inlineStr">
        <is>
          <t>VÄSTERBOTTENS LÄN</t>
        </is>
      </c>
      <c r="E3743" t="inlineStr">
        <is>
          <t>SKELLEFTEÅ</t>
        </is>
      </c>
      <c r="F3743" t="inlineStr">
        <is>
          <t>Holmen skog AB</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1610-2025</t>
        </is>
      </c>
      <c r="B3744" s="1" t="n">
        <v>45668</v>
      </c>
      <c r="C3744" s="1" t="n">
        <v>45807</v>
      </c>
      <c r="D3744" t="inlineStr">
        <is>
          <t>VÄSTERBOTTENS LÄN</t>
        </is>
      </c>
      <c r="E3744" t="inlineStr">
        <is>
          <t>SKELLEFTEÅ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1667-2025</t>
        </is>
      </c>
      <c r="B3745" s="1" t="n">
        <v>45670</v>
      </c>
      <c r="C3745" s="1" t="n">
        <v>45807</v>
      </c>
      <c r="D3745" t="inlineStr">
        <is>
          <t>VÄSTERBOTTENS LÄN</t>
        </is>
      </c>
      <c r="E3745" t="inlineStr">
        <is>
          <t>SKELLEFTEÅ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1627-2025</t>
        </is>
      </c>
      <c r="B3746" s="1" t="n">
        <v>45670</v>
      </c>
      <c r="C3746" s="1" t="n">
        <v>45807</v>
      </c>
      <c r="D3746" t="inlineStr">
        <is>
          <t>VÄSTERBOTTENS LÄN</t>
        </is>
      </c>
      <c r="E3746" t="inlineStr">
        <is>
          <t>SKELLEFTEÅ</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1577-2025</t>
        </is>
      </c>
      <c r="B3747" s="1" t="n">
        <v>45670</v>
      </c>
      <c r="C3747" s="1" t="n">
        <v>45807</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1989-2025</t>
        </is>
      </c>
      <c r="B3748" s="1" t="n">
        <v>45671</v>
      </c>
      <c r="C3748" s="1" t="n">
        <v>45807</v>
      </c>
      <c r="D3748" t="inlineStr">
        <is>
          <t>VÄSTERBOTTENS LÄN</t>
        </is>
      </c>
      <c r="E3748" t="inlineStr">
        <is>
          <t>SKELLEFTEÅ</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1980-2025</t>
        </is>
      </c>
      <c r="B3749" s="1" t="n">
        <v>45671</v>
      </c>
      <c r="C3749" s="1" t="n">
        <v>45807</v>
      </c>
      <c r="D3749" t="inlineStr">
        <is>
          <t>VÄSTERBOTTENS LÄN</t>
        </is>
      </c>
      <c r="E3749" t="inlineStr">
        <is>
          <t>SKELLEFTEÅ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1959-2025</t>
        </is>
      </c>
      <c r="B3750" s="1" t="n">
        <v>45671</v>
      </c>
      <c r="C3750" s="1" t="n">
        <v>45807</v>
      </c>
      <c r="D3750" t="inlineStr">
        <is>
          <t>VÄSTERBOTTENS LÄN</t>
        </is>
      </c>
      <c r="E3750" t="inlineStr">
        <is>
          <t>SKELLEFTEÅ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1955-2025</t>
        </is>
      </c>
      <c r="B3751" s="1" t="n">
        <v>45671</v>
      </c>
      <c r="C3751" s="1" t="n">
        <v>45807</v>
      </c>
      <c r="D3751" t="inlineStr">
        <is>
          <t>VÄSTERBOTTENS LÄN</t>
        </is>
      </c>
      <c r="E3751" t="inlineStr">
        <is>
          <t>SKELLEFTEÅ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1987-2025</t>
        </is>
      </c>
      <c r="B3752" s="1" t="n">
        <v>45671</v>
      </c>
      <c r="C3752" s="1" t="n">
        <v>45807</v>
      </c>
      <c r="D3752" t="inlineStr">
        <is>
          <t>VÄSTERBOTTENS LÄN</t>
        </is>
      </c>
      <c r="E3752" t="inlineStr">
        <is>
          <t>SKELLEFTEÅ</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1966-2025</t>
        </is>
      </c>
      <c r="B3753" s="1" t="n">
        <v>45671</v>
      </c>
      <c r="C3753" s="1" t="n">
        <v>45807</v>
      </c>
      <c r="D3753" t="inlineStr">
        <is>
          <t>VÄSTERBOTTENS LÄN</t>
        </is>
      </c>
      <c r="E3753" t="inlineStr">
        <is>
          <t>SKELLEFTEÅ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1936-2025</t>
        </is>
      </c>
      <c r="B3754" s="1" t="n">
        <v>45671</v>
      </c>
      <c r="C3754" s="1" t="n">
        <v>45807</v>
      </c>
      <c r="D3754" t="inlineStr">
        <is>
          <t>VÄSTERBOTTENS LÄN</t>
        </is>
      </c>
      <c r="E3754" t="inlineStr">
        <is>
          <t>SKELLEFTEÅ</t>
        </is>
      </c>
      <c r="G3754" t="n">
        <v>21.5</v>
      </c>
      <c r="H3754" t="n">
        <v>0</v>
      </c>
      <c r="I3754" t="n">
        <v>0</v>
      </c>
      <c r="J3754" t="n">
        <v>0</v>
      </c>
      <c r="K3754" t="n">
        <v>0</v>
      </c>
      <c r="L3754" t="n">
        <v>0</v>
      </c>
      <c r="M3754" t="n">
        <v>0</v>
      </c>
      <c r="N3754" t="n">
        <v>0</v>
      </c>
      <c r="O3754" t="n">
        <v>0</v>
      </c>
      <c r="P3754" t="n">
        <v>0</v>
      </c>
      <c r="Q3754" t="n">
        <v>0</v>
      </c>
      <c r="R3754" s="2" t="inlineStr"/>
    </row>
    <row r="3755" ht="15" customHeight="1">
      <c r="A3755" t="inlineStr">
        <is>
          <t>A 1746-2025</t>
        </is>
      </c>
      <c r="B3755" s="1" t="n">
        <v>45671</v>
      </c>
      <c r="C3755" s="1" t="n">
        <v>45807</v>
      </c>
      <c r="D3755" t="inlineStr">
        <is>
          <t>VÄSTERBOTTENS LÄN</t>
        </is>
      </c>
      <c r="E3755" t="inlineStr">
        <is>
          <t>SKELLEFTEÅ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1791-2025</t>
        </is>
      </c>
      <c r="B3756" s="1" t="n">
        <v>45671</v>
      </c>
      <c r="C3756" s="1" t="n">
        <v>45807</v>
      </c>
      <c r="D3756" t="inlineStr">
        <is>
          <t>VÄSTERBOTTENS LÄN</t>
        </is>
      </c>
      <c r="E3756" t="inlineStr">
        <is>
          <t>SKELLEFTEÅ</t>
        </is>
      </c>
      <c r="F3756" t="inlineStr">
        <is>
          <t>Holmen skog AB</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1904-2025</t>
        </is>
      </c>
      <c r="B3757" s="1" t="n">
        <v>45671</v>
      </c>
      <c r="C3757" s="1" t="n">
        <v>45807</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1964-2025</t>
        </is>
      </c>
      <c r="B3758" s="1" t="n">
        <v>45672</v>
      </c>
      <c r="C3758" s="1" t="n">
        <v>45807</v>
      </c>
      <c r="D3758" t="inlineStr">
        <is>
          <t>VÄSTERBOTTENS LÄN</t>
        </is>
      </c>
      <c r="E3758" t="inlineStr">
        <is>
          <t>SKELLEFTEÅ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2070-2025</t>
        </is>
      </c>
      <c r="B3759" s="1" t="n">
        <v>45672</v>
      </c>
      <c r="C3759" s="1" t="n">
        <v>45807</v>
      </c>
      <c r="D3759" t="inlineStr">
        <is>
          <t>VÄSTERBOTTENS LÄN</t>
        </is>
      </c>
      <c r="E3759" t="inlineStr">
        <is>
          <t>SKELLEFTEÅ</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2019-2025</t>
        </is>
      </c>
      <c r="B3760" s="1" t="n">
        <v>45672</v>
      </c>
      <c r="C3760" s="1" t="n">
        <v>45807</v>
      </c>
      <c r="D3760" t="inlineStr">
        <is>
          <t>VÄSTERBOTTENS LÄN</t>
        </is>
      </c>
      <c r="E3760" t="inlineStr">
        <is>
          <t>SKELLEFTEÅ</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1946-2025</t>
        </is>
      </c>
      <c r="B3761" s="1" t="n">
        <v>45672</v>
      </c>
      <c r="C3761" s="1" t="n">
        <v>45807</v>
      </c>
      <c r="D3761" t="inlineStr">
        <is>
          <t>VÄSTERBOTTENS LÄN</t>
        </is>
      </c>
      <c r="E3761" t="inlineStr">
        <is>
          <t>SKELLEFTEÅ</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2087-2025</t>
        </is>
      </c>
      <c r="B3762" s="1" t="n">
        <v>45672</v>
      </c>
      <c r="C3762" s="1" t="n">
        <v>45807</v>
      </c>
      <c r="D3762" t="inlineStr">
        <is>
          <t>VÄSTERBOTTENS LÄN</t>
        </is>
      </c>
      <c r="E3762" t="inlineStr">
        <is>
          <t>SKELLEFTEÅ</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2171-2025</t>
        </is>
      </c>
      <c r="B3763" s="1" t="n">
        <v>45673</v>
      </c>
      <c r="C3763" s="1" t="n">
        <v>45807</v>
      </c>
      <c r="D3763" t="inlineStr">
        <is>
          <t>VÄSTERBOTTENS LÄN</t>
        </is>
      </c>
      <c r="E3763" t="inlineStr">
        <is>
          <t>SKELLEFTEÅ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2279-2025</t>
        </is>
      </c>
      <c r="B3764" s="1" t="n">
        <v>45673</v>
      </c>
      <c r="C3764" s="1" t="n">
        <v>45807</v>
      </c>
      <c r="D3764" t="inlineStr">
        <is>
          <t>VÄSTERBOTTENS LÄN</t>
        </is>
      </c>
      <c r="E3764" t="inlineStr">
        <is>
          <t>SKELLEFTEÅ</t>
        </is>
      </c>
      <c r="F3764" t="inlineStr">
        <is>
          <t>Holmen skog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2354-2025</t>
        </is>
      </c>
      <c r="B3765" s="1" t="n">
        <v>45673</v>
      </c>
      <c r="C3765" s="1" t="n">
        <v>45807</v>
      </c>
      <c r="D3765" t="inlineStr">
        <is>
          <t>VÄSTERBOTTENS LÄN</t>
        </is>
      </c>
      <c r="E3765" t="inlineStr">
        <is>
          <t>SKELLEFTEÅ</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2308-2025</t>
        </is>
      </c>
      <c r="B3766" s="1" t="n">
        <v>45673</v>
      </c>
      <c r="C3766" s="1" t="n">
        <v>45807</v>
      </c>
      <c r="D3766" t="inlineStr">
        <is>
          <t>VÄSTERBOTTENS LÄN</t>
        </is>
      </c>
      <c r="E3766" t="inlineStr">
        <is>
          <t>SKELLEFTEÅ</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2454-2025</t>
        </is>
      </c>
      <c r="B3767" s="1" t="n">
        <v>45673</v>
      </c>
      <c r="C3767" s="1" t="n">
        <v>45807</v>
      </c>
      <c r="D3767" t="inlineStr">
        <is>
          <t>VÄSTERBOTTENS LÄN</t>
        </is>
      </c>
      <c r="E3767" t="inlineStr">
        <is>
          <t>SKELLEFTEÅ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2326-2025</t>
        </is>
      </c>
      <c r="B3768" s="1" t="n">
        <v>45673</v>
      </c>
      <c r="C3768" s="1" t="n">
        <v>45807</v>
      </c>
      <c r="D3768" t="inlineStr">
        <is>
          <t>VÄSTERBOTTENS LÄN</t>
        </is>
      </c>
      <c r="E3768" t="inlineStr">
        <is>
          <t>SKELLEFTEÅ</t>
        </is>
      </c>
      <c r="F3768" t="inlineStr">
        <is>
          <t>Holmen skog AB</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2355-2025</t>
        </is>
      </c>
      <c r="B3769" s="1" t="n">
        <v>45673</v>
      </c>
      <c r="C3769" s="1" t="n">
        <v>45807</v>
      </c>
      <c r="D3769" t="inlineStr">
        <is>
          <t>VÄSTERBOTTENS LÄN</t>
        </is>
      </c>
      <c r="E3769" t="inlineStr">
        <is>
          <t>SKELLEFTEÅ</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2383-2025</t>
        </is>
      </c>
      <c r="B3770" s="1" t="n">
        <v>45674</v>
      </c>
      <c r="C3770" s="1" t="n">
        <v>45807</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2602-2025</t>
        </is>
      </c>
      <c r="B3771" s="1" t="n">
        <v>45674</v>
      </c>
      <c r="C3771" s="1" t="n">
        <v>45807</v>
      </c>
      <c r="D3771" t="inlineStr">
        <is>
          <t>VÄSTERBOTTENS LÄN</t>
        </is>
      </c>
      <c r="E3771" t="inlineStr">
        <is>
          <t>SKELLEFTEÅ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2548-2025</t>
        </is>
      </c>
      <c r="B3772" s="1" t="n">
        <v>45674</v>
      </c>
      <c r="C3772" s="1" t="n">
        <v>45807</v>
      </c>
      <c r="D3772" t="inlineStr">
        <is>
          <t>VÄSTERBOTTENS LÄN</t>
        </is>
      </c>
      <c r="E3772" t="inlineStr">
        <is>
          <t>SKELLEFTEÅ</t>
        </is>
      </c>
      <c r="F3772" t="inlineStr">
        <is>
          <t>Kommuner</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2519-2025</t>
        </is>
      </c>
      <c r="B3773" s="1" t="n">
        <v>45674</v>
      </c>
      <c r="C3773" s="1" t="n">
        <v>45807</v>
      </c>
      <c r="D3773" t="inlineStr">
        <is>
          <t>VÄSTERBOTTENS LÄN</t>
        </is>
      </c>
      <c r="E3773" t="inlineStr">
        <is>
          <t>SKELLEFTEÅ</t>
        </is>
      </c>
      <c r="F3773" t="inlineStr">
        <is>
          <t>Kommuner</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2522-2025</t>
        </is>
      </c>
      <c r="B3774" s="1" t="n">
        <v>45674</v>
      </c>
      <c r="C3774" s="1" t="n">
        <v>45807</v>
      </c>
      <c r="D3774" t="inlineStr">
        <is>
          <t>VÄSTERBOTTENS LÄN</t>
        </is>
      </c>
      <c r="E3774" t="inlineStr">
        <is>
          <t>SKELLEFTEÅ</t>
        </is>
      </c>
      <c r="F3774" t="inlineStr">
        <is>
          <t>Kommuner</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2393-2025</t>
        </is>
      </c>
      <c r="B3775" s="1" t="n">
        <v>45674</v>
      </c>
      <c r="C3775" s="1" t="n">
        <v>45807</v>
      </c>
      <c r="D3775" t="inlineStr">
        <is>
          <t>VÄSTERBOTTENS LÄN</t>
        </is>
      </c>
      <c r="E3775" t="inlineStr">
        <is>
          <t>SKELLEFTEÅ</t>
        </is>
      </c>
      <c r="G3775" t="n">
        <v>10.2</v>
      </c>
      <c r="H3775" t="n">
        <v>0</v>
      </c>
      <c r="I3775" t="n">
        <v>0</v>
      </c>
      <c r="J3775" t="n">
        <v>0</v>
      </c>
      <c r="K3775" t="n">
        <v>0</v>
      </c>
      <c r="L3775" t="n">
        <v>0</v>
      </c>
      <c r="M3775" t="n">
        <v>0</v>
      </c>
      <c r="N3775" t="n">
        <v>0</v>
      </c>
      <c r="O3775" t="n">
        <v>0</v>
      </c>
      <c r="P3775" t="n">
        <v>0</v>
      </c>
      <c r="Q3775" t="n">
        <v>0</v>
      </c>
      <c r="R3775" s="2" t="inlineStr"/>
    </row>
    <row r="3776" ht="15" customHeight="1">
      <c r="A3776" t="inlineStr">
        <is>
          <t>A 2811-2025</t>
        </is>
      </c>
      <c r="B3776" s="1" t="n">
        <v>45677</v>
      </c>
      <c r="C3776" s="1" t="n">
        <v>45807</v>
      </c>
      <c r="D3776" t="inlineStr">
        <is>
          <t>VÄSTERBOTTENS LÄN</t>
        </is>
      </c>
      <c r="E3776" t="inlineStr">
        <is>
          <t>SKELLEFTEÅ</t>
        </is>
      </c>
      <c r="F3776" t="inlineStr">
        <is>
          <t>Holmen skog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3084-2025</t>
        </is>
      </c>
      <c r="B3777" s="1" t="n">
        <v>45678</v>
      </c>
      <c r="C3777" s="1" t="n">
        <v>45807</v>
      </c>
      <c r="D3777" t="inlineStr">
        <is>
          <t>VÄSTERBOTTENS LÄN</t>
        </is>
      </c>
      <c r="E3777" t="inlineStr">
        <is>
          <t>SKELLEFTEÅ</t>
        </is>
      </c>
      <c r="G3777" t="n">
        <v>11.7</v>
      </c>
      <c r="H3777" t="n">
        <v>0</v>
      </c>
      <c r="I3777" t="n">
        <v>0</v>
      </c>
      <c r="J3777" t="n">
        <v>0</v>
      </c>
      <c r="K3777" t="n">
        <v>0</v>
      </c>
      <c r="L3777" t="n">
        <v>0</v>
      </c>
      <c r="M3777" t="n">
        <v>0</v>
      </c>
      <c r="N3777" t="n">
        <v>0</v>
      </c>
      <c r="O3777" t="n">
        <v>0</v>
      </c>
      <c r="P3777" t="n">
        <v>0</v>
      </c>
      <c r="Q3777" t="n">
        <v>0</v>
      </c>
      <c r="R3777" s="2" t="inlineStr"/>
    </row>
    <row r="3778" ht="15" customHeight="1">
      <c r="A3778" t="inlineStr">
        <is>
          <t>A 2949-2025</t>
        </is>
      </c>
      <c r="B3778" s="1" t="n">
        <v>45678</v>
      </c>
      <c r="C3778" s="1" t="n">
        <v>45807</v>
      </c>
      <c r="D3778" t="inlineStr">
        <is>
          <t>VÄSTERBOTTENS LÄN</t>
        </is>
      </c>
      <c r="E3778" t="inlineStr">
        <is>
          <t>SKELLEFTEÅ</t>
        </is>
      </c>
      <c r="F3778" t="inlineStr">
        <is>
          <t>Holmen skog AB</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2966-2025</t>
        </is>
      </c>
      <c r="B3779" s="1" t="n">
        <v>45678</v>
      </c>
      <c r="C3779" s="1" t="n">
        <v>45807</v>
      </c>
      <c r="D3779" t="inlineStr">
        <is>
          <t>VÄSTERBOTTENS LÄN</t>
        </is>
      </c>
      <c r="E3779" t="inlineStr">
        <is>
          <t>SKELLEFTEÅ</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3026-2025</t>
        </is>
      </c>
      <c r="B3780" s="1" t="n">
        <v>45678</v>
      </c>
      <c r="C3780" s="1" t="n">
        <v>45807</v>
      </c>
      <c r="D3780" t="inlineStr">
        <is>
          <t>VÄSTERBOTTENS LÄN</t>
        </is>
      </c>
      <c r="E3780" t="inlineStr">
        <is>
          <t>SKELLEFTEÅ</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2967-2025</t>
        </is>
      </c>
      <c r="B3781" s="1" t="n">
        <v>45678</v>
      </c>
      <c r="C3781" s="1" t="n">
        <v>45807</v>
      </c>
      <c r="D3781" t="inlineStr">
        <is>
          <t>VÄSTERBOTTENS LÄN</t>
        </is>
      </c>
      <c r="E3781" t="inlineStr">
        <is>
          <t>SKELLEFTEÅ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2963-2025</t>
        </is>
      </c>
      <c r="B3782" s="1" t="n">
        <v>45678</v>
      </c>
      <c r="C3782" s="1" t="n">
        <v>45807</v>
      </c>
      <c r="D3782" t="inlineStr">
        <is>
          <t>VÄSTERBOTTENS LÄN</t>
        </is>
      </c>
      <c r="E3782" t="inlineStr">
        <is>
          <t>SKELLEFTEÅ</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3153-2025</t>
        </is>
      </c>
      <c r="B3783" s="1" t="n">
        <v>45679</v>
      </c>
      <c r="C3783" s="1" t="n">
        <v>45807</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3193-2025</t>
        </is>
      </c>
      <c r="B3784" s="1" t="n">
        <v>45679</v>
      </c>
      <c r="C3784" s="1" t="n">
        <v>45807</v>
      </c>
      <c r="D3784" t="inlineStr">
        <is>
          <t>VÄSTERBOTTENS LÄN</t>
        </is>
      </c>
      <c r="E3784" t="inlineStr">
        <is>
          <t>SKELLEFTEÅ</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3164-2025</t>
        </is>
      </c>
      <c r="B3785" s="1" t="n">
        <v>45679</v>
      </c>
      <c r="C3785" s="1" t="n">
        <v>45807</v>
      </c>
      <c r="D3785" t="inlineStr">
        <is>
          <t>VÄSTERBOTTENS LÄN</t>
        </is>
      </c>
      <c r="E3785" t="inlineStr">
        <is>
          <t>SKELLEFTEÅ</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3209-2025</t>
        </is>
      </c>
      <c r="B3786" s="1" t="n">
        <v>45679</v>
      </c>
      <c r="C3786" s="1" t="n">
        <v>45807</v>
      </c>
      <c r="D3786" t="inlineStr">
        <is>
          <t>VÄSTERBOTTENS LÄN</t>
        </is>
      </c>
      <c r="E3786" t="inlineStr">
        <is>
          <t>SKELLEFTEÅ</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3370-2025</t>
        </is>
      </c>
      <c r="B3787" s="1" t="n">
        <v>45679</v>
      </c>
      <c r="C3787" s="1" t="n">
        <v>45807</v>
      </c>
      <c r="D3787" t="inlineStr">
        <is>
          <t>VÄSTERBOTTENS LÄN</t>
        </is>
      </c>
      <c r="E3787" t="inlineStr">
        <is>
          <t>SKELLEFTEÅ</t>
        </is>
      </c>
      <c r="G3787" t="n">
        <v>15.7</v>
      </c>
      <c r="H3787" t="n">
        <v>0</v>
      </c>
      <c r="I3787" t="n">
        <v>0</v>
      </c>
      <c r="J3787" t="n">
        <v>0</v>
      </c>
      <c r="K3787" t="n">
        <v>0</v>
      </c>
      <c r="L3787" t="n">
        <v>0</v>
      </c>
      <c r="M3787" t="n">
        <v>0</v>
      </c>
      <c r="N3787" t="n">
        <v>0</v>
      </c>
      <c r="O3787" t="n">
        <v>0</v>
      </c>
      <c r="P3787" t="n">
        <v>0</v>
      </c>
      <c r="Q3787" t="n">
        <v>0</v>
      </c>
      <c r="R3787" s="2" t="inlineStr"/>
    </row>
    <row r="3788" ht="15" customHeight="1">
      <c r="A3788" t="inlineStr">
        <is>
          <t>A 3373-2025</t>
        </is>
      </c>
      <c r="B3788" s="1" t="n">
        <v>45680</v>
      </c>
      <c r="C3788" s="1" t="n">
        <v>45807</v>
      </c>
      <c r="D3788" t="inlineStr">
        <is>
          <t>VÄSTERBOTTENS LÄN</t>
        </is>
      </c>
      <c r="E3788" t="inlineStr">
        <is>
          <t>SKELLEFTEÅ</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3708-2025</t>
        </is>
      </c>
      <c r="B3789" s="1" t="n">
        <v>45681</v>
      </c>
      <c r="C3789" s="1" t="n">
        <v>45807</v>
      </c>
      <c r="D3789" t="inlineStr">
        <is>
          <t>VÄSTERBOTTENS LÄN</t>
        </is>
      </c>
      <c r="E3789" t="inlineStr">
        <is>
          <t>SKELLEFTEÅ</t>
        </is>
      </c>
      <c r="G3789" t="n">
        <v>14.7</v>
      </c>
      <c r="H3789" t="n">
        <v>0</v>
      </c>
      <c r="I3789" t="n">
        <v>0</v>
      </c>
      <c r="J3789" t="n">
        <v>0</v>
      </c>
      <c r="K3789" t="n">
        <v>0</v>
      </c>
      <c r="L3789" t="n">
        <v>0</v>
      </c>
      <c r="M3789" t="n">
        <v>0</v>
      </c>
      <c r="N3789" t="n">
        <v>0</v>
      </c>
      <c r="O3789" t="n">
        <v>0</v>
      </c>
      <c r="P3789" t="n">
        <v>0</v>
      </c>
      <c r="Q3789" t="n">
        <v>0</v>
      </c>
      <c r="R3789" s="2" t="inlineStr"/>
    </row>
    <row r="3790" ht="15" customHeight="1">
      <c r="A3790" t="inlineStr">
        <is>
          <t>A 3674-2025</t>
        </is>
      </c>
      <c r="B3790" s="1" t="n">
        <v>45681</v>
      </c>
      <c r="C3790" s="1" t="n">
        <v>45807</v>
      </c>
      <c r="D3790" t="inlineStr">
        <is>
          <t>VÄSTERBOTTENS LÄN</t>
        </is>
      </c>
      <c r="E3790" t="inlineStr">
        <is>
          <t>SKELLEFTEÅ</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3626-2025</t>
        </is>
      </c>
      <c r="B3791" s="1" t="n">
        <v>45681</v>
      </c>
      <c r="C3791" s="1" t="n">
        <v>45807</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3843-2025</t>
        </is>
      </c>
      <c r="B3792" s="1" t="n">
        <v>45683</v>
      </c>
      <c r="C3792" s="1" t="n">
        <v>45807</v>
      </c>
      <c r="D3792" t="inlineStr">
        <is>
          <t>VÄSTERBOTTENS LÄN</t>
        </is>
      </c>
      <c r="E3792" t="inlineStr">
        <is>
          <t>SKELLEFTEÅ</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3844-2025</t>
        </is>
      </c>
      <c r="B3793" s="1" t="n">
        <v>45683</v>
      </c>
      <c r="C3793" s="1" t="n">
        <v>45807</v>
      </c>
      <c r="D3793" t="inlineStr">
        <is>
          <t>VÄSTERBOTTENS LÄN</t>
        </is>
      </c>
      <c r="E3793" t="inlineStr">
        <is>
          <t>SKELLEFTEÅ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3889-2025</t>
        </is>
      </c>
      <c r="B3794" s="1" t="n">
        <v>45684</v>
      </c>
      <c r="C3794" s="1" t="n">
        <v>45807</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3892-2025</t>
        </is>
      </c>
      <c r="B3795" s="1" t="n">
        <v>45684</v>
      </c>
      <c r="C3795" s="1" t="n">
        <v>45807</v>
      </c>
      <c r="D3795" t="inlineStr">
        <is>
          <t>VÄSTERBOTTENS LÄN</t>
        </is>
      </c>
      <c r="E3795" t="inlineStr">
        <is>
          <t>SKELLEFTEÅ</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3883-2025</t>
        </is>
      </c>
      <c r="B3796" s="1" t="n">
        <v>45684</v>
      </c>
      <c r="C3796" s="1" t="n">
        <v>45807</v>
      </c>
      <c r="D3796" t="inlineStr">
        <is>
          <t>VÄSTERBOTTENS LÄN</t>
        </is>
      </c>
      <c r="E3796" t="inlineStr">
        <is>
          <t>SKELLEFTEÅ</t>
        </is>
      </c>
      <c r="G3796" t="n">
        <v>27.6</v>
      </c>
      <c r="H3796" t="n">
        <v>0</v>
      </c>
      <c r="I3796" t="n">
        <v>0</v>
      </c>
      <c r="J3796" t="n">
        <v>0</v>
      </c>
      <c r="K3796" t="n">
        <v>0</v>
      </c>
      <c r="L3796" t="n">
        <v>0</v>
      </c>
      <c r="M3796" t="n">
        <v>0</v>
      </c>
      <c r="N3796" t="n">
        <v>0</v>
      </c>
      <c r="O3796" t="n">
        <v>0</v>
      </c>
      <c r="P3796" t="n">
        <v>0</v>
      </c>
      <c r="Q3796" t="n">
        <v>0</v>
      </c>
      <c r="R3796" s="2" t="inlineStr"/>
    </row>
    <row r="3797" ht="15" customHeight="1">
      <c r="A3797" t="inlineStr">
        <is>
          <t>A 4167-2025</t>
        </is>
      </c>
      <c r="B3797" s="1" t="n">
        <v>45685</v>
      </c>
      <c r="C3797" s="1" t="n">
        <v>45807</v>
      </c>
      <c r="D3797" t="inlineStr">
        <is>
          <t>VÄSTERBOTTENS LÄN</t>
        </is>
      </c>
      <c r="E3797" t="inlineStr">
        <is>
          <t>SKELLEFTEÅ</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4184-2025</t>
        </is>
      </c>
      <c r="B3798" s="1" t="n">
        <v>45685</v>
      </c>
      <c r="C3798" s="1" t="n">
        <v>45807</v>
      </c>
      <c r="D3798" t="inlineStr">
        <is>
          <t>VÄSTERBOTTENS LÄN</t>
        </is>
      </c>
      <c r="E3798" t="inlineStr">
        <is>
          <t>SKELLEFTEÅ</t>
        </is>
      </c>
      <c r="F3798" t="inlineStr">
        <is>
          <t>Holmen skog AB</t>
        </is>
      </c>
      <c r="G3798" t="n">
        <v>15.3</v>
      </c>
      <c r="H3798" t="n">
        <v>0</v>
      </c>
      <c r="I3798" t="n">
        <v>0</v>
      </c>
      <c r="J3798" t="n">
        <v>0</v>
      </c>
      <c r="K3798" t="n">
        <v>0</v>
      </c>
      <c r="L3798" t="n">
        <v>0</v>
      </c>
      <c r="M3798" t="n">
        <v>0</v>
      </c>
      <c r="N3798" t="n">
        <v>0</v>
      </c>
      <c r="O3798" t="n">
        <v>0</v>
      </c>
      <c r="P3798" t="n">
        <v>0</v>
      </c>
      <c r="Q3798" t="n">
        <v>0</v>
      </c>
      <c r="R3798" s="2" t="inlineStr"/>
    </row>
    <row r="3799" ht="15" customHeight="1">
      <c r="A3799" t="inlineStr">
        <is>
          <t>A 4508-2025</t>
        </is>
      </c>
      <c r="B3799" s="1" t="n">
        <v>45686</v>
      </c>
      <c r="C3799" s="1" t="n">
        <v>45807</v>
      </c>
      <c r="D3799" t="inlineStr">
        <is>
          <t>VÄSTERBOTTENS LÄN</t>
        </is>
      </c>
      <c r="E3799" t="inlineStr">
        <is>
          <t>SKELLEFTEÅ</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4510-2025</t>
        </is>
      </c>
      <c r="B3800" s="1" t="n">
        <v>45686</v>
      </c>
      <c r="C3800" s="1" t="n">
        <v>45807</v>
      </c>
      <c r="D3800" t="inlineStr">
        <is>
          <t>VÄSTERBOTTENS LÄN</t>
        </is>
      </c>
      <c r="E3800" t="inlineStr">
        <is>
          <t>SKELLEFTEÅ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4507-2025</t>
        </is>
      </c>
      <c r="B3801" s="1" t="n">
        <v>45686</v>
      </c>
      <c r="C3801" s="1" t="n">
        <v>45807</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4509-2025</t>
        </is>
      </c>
      <c r="B3802" s="1" t="n">
        <v>45686</v>
      </c>
      <c r="C3802" s="1" t="n">
        <v>45807</v>
      </c>
      <c r="D3802" t="inlineStr">
        <is>
          <t>VÄSTERBOTTENS LÄN</t>
        </is>
      </c>
      <c r="E3802" t="inlineStr">
        <is>
          <t>SKELLEFTEÅ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4403-2025</t>
        </is>
      </c>
      <c r="B3803" s="1" t="n">
        <v>45686</v>
      </c>
      <c r="C3803" s="1" t="n">
        <v>45807</v>
      </c>
      <c r="D3803" t="inlineStr">
        <is>
          <t>VÄSTERBOTTENS LÄN</t>
        </is>
      </c>
      <c r="E3803" t="inlineStr">
        <is>
          <t>SKELLEFTEÅ</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4387-2025</t>
        </is>
      </c>
      <c r="B3804" s="1" t="n">
        <v>45686</v>
      </c>
      <c r="C3804" s="1" t="n">
        <v>45807</v>
      </c>
      <c r="D3804" t="inlineStr">
        <is>
          <t>VÄSTERBOTTENS LÄN</t>
        </is>
      </c>
      <c r="E3804" t="inlineStr">
        <is>
          <t>SKELLEFTEÅ</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4626-2025</t>
        </is>
      </c>
      <c r="B3805" s="1" t="n">
        <v>45687</v>
      </c>
      <c r="C3805" s="1" t="n">
        <v>45807</v>
      </c>
      <c r="D3805" t="inlineStr">
        <is>
          <t>VÄSTERBOTTENS LÄN</t>
        </is>
      </c>
      <c r="E3805" t="inlineStr">
        <is>
          <t>SKELLEFTEÅ</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4638-2025</t>
        </is>
      </c>
      <c r="B3806" s="1" t="n">
        <v>45687</v>
      </c>
      <c r="C3806" s="1" t="n">
        <v>45807</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4604-2025</t>
        </is>
      </c>
      <c r="B3807" s="1" t="n">
        <v>45687</v>
      </c>
      <c r="C3807" s="1" t="n">
        <v>45807</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4620-2025</t>
        </is>
      </c>
      <c r="B3808" s="1" t="n">
        <v>45687</v>
      </c>
      <c r="C3808" s="1" t="n">
        <v>45807</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4645-2025</t>
        </is>
      </c>
      <c r="B3809" s="1" t="n">
        <v>45687</v>
      </c>
      <c r="C3809" s="1" t="n">
        <v>45807</v>
      </c>
      <c r="D3809" t="inlineStr">
        <is>
          <t>VÄSTERBOTTENS LÄN</t>
        </is>
      </c>
      <c r="E3809" t="inlineStr">
        <is>
          <t>SKELLEFTEÅ</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4923-2025</t>
        </is>
      </c>
      <c r="B3810" s="1" t="n">
        <v>45688</v>
      </c>
      <c r="C3810" s="1" t="n">
        <v>45807</v>
      </c>
      <c r="D3810" t="inlineStr">
        <is>
          <t>VÄSTERBOTTENS LÄN</t>
        </is>
      </c>
      <c r="E3810" t="inlineStr">
        <is>
          <t>SKELLEFTEÅ</t>
        </is>
      </c>
      <c r="G3810" t="n">
        <v>12.1</v>
      </c>
      <c r="H3810" t="n">
        <v>0</v>
      </c>
      <c r="I3810" t="n">
        <v>0</v>
      </c>
      <c r="J3810" t="n">
        <v>0</v>
      </c>
      <c r="K3810" t="n">
        <v>0</v>
      </c>
      <c r="L3810" t="n">
        <v>0</v>
      </c>
      <c r="M3810" t="n">
        <v>0</v>
      </c>
      <c r="N3810" t="n">
        <v>0</v>
      </c>
      <c r="O3810" t="n">
        <v>0</v>
      </c>
      <c r="P3810" t="n">
        <v>0</v>
      </c>
      <c r="Q3810" t="n">
        <v>0</v>
      </c>
      <c r="R3810" s="2" t="inlineStr"/>
    </row>
    <row r="3811" ht="15" customHeight="1">
      <c r="A3811" t="inlineStr">
        <is>
          <t>A 4700-2025</t>
        </is>
      </c>
      <c r="B3811" s="1" t="n">
        <v>45688</v>
      </c>
      <c r="C3811" s="1" t="n">
        <v>45807</v>
      </c>
      <c r="D3811" t="inlineStr">
        <is>
          <t>VÄSTERBOTTENS LÄN</t>
        </is>
      </c>
      <c r="E3811" t="inlineStr">
        <is>
          <t>SKELLEFTEÅ</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4696-2025</t>
        </is>
      </c>
      <c r="B3812" s="1" t="n">
        <v>45688</v>
      </c>
      <c r="C3812" s="1" t="n">
        <v>45807</v>
      </c>
      <c r="D3812" t="inlineStr">
        <is>
          <t>VÄSTERBOTTENS LÄN</t>
        </is>
      </c>
      <c r="E3812" t="inlineStr">
        <is>
          <t>SKELLEFTEÅ</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4959-2025</t>
        </is>
      </c>
      <c r="B3813" s="1" t="n">
        <v>45689</v>
      </c>
      <c r="C3813" s="1" t="n">
        <v>45807</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4958-2025</t>
        </is>
      </c>
      <c r="B3814" s="1" t="n">
        <v>45689</v>
      </c>
      <c r="C3814" s="1" t="n">
        <v>45807</v>
      </c>
      <c r="D3814" t="inlineStr">
        <is>
          <t>VÄSTERBOTTENS LÄN</t>
        </is>
      </c>
      <c r="E3814" t="inlineStr">
        <is>
          <t>SKELLEFTEÅ</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4956-2025</t>
        </is>
      </c>
      <c r="B3815" s="1" t="n">
        <v>45689</v>
      </c>
      <c r="C3815" s="1" t="n">
        <v>45807</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4972-2025</t>
        </is>
      </c>
      <c r="B3816" s="1" t="n">
        <v>45690</v>
      </c>
      <c r="C3816" s="1" t="n">
        <v>45807</v>
      </c>
      <c r="D3816" t="inlineStr">
        <is>
          <t>VÄSTERBOTTENS LÄN</t>
        </is>
      </c>
      <c r="E3816" t="inlineStr">
        <is>
          <t>SKELLEFTEÅ</t>
        </is>
      </c>
      <c r="F3816" t="inlineStr">
        <is>
          <t>Sveaskog</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5116-2025</t>
        </is>
      </c>
      <c r="B3817" s="1" t="n">
        <v>45691</v>
      </c>
      <c r="C3817" s="1" t="n">
        <v>45807</v>
      </c>
      <c r="D3817" t="inlineStr">
        <is>
          <t>VÄSTERBOTTENS LÄN</t>
        </is>
      </c>
      <c r="E3817" t="inlineStr">
        <is>
          <t>SKELLEFTEÅ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5133-2025</t>
        </is>
      </c>
      <c r="B3818" s="1" t="n">
        <v>45691</v>
      </c>
      <c r="C3818" s="1" t="n">
        <v>45807</v>
      </c>
      <c r="D3818" t="inlineStr">
        <is>
          <t>VÄSTERBOTTENS LÄN</t>
        </is>
      </c>
      <c r="E3818" t="inlineStr">
        <is>
          <t>SKELLEFTEÅ</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5147-2025</t>
        </is>
      </c>
      <c r="B3819" s="1" t="n">
        <v>45691</v>
      </c>
      <c r="C3819" s="1" t="n">
        <v>45807</v>
      </c>
      <c r="D3819" t="inlineStr">
        <is>
          <t>VÄSTERBOTTENS LÄN</t>
        </is>
      </c>
      <c r="E3819" t="inlineStr">
        <is>
          <t>SKELLEFTEÅ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5186-2025</t>
        </is>
      </c>
      <c r="B3820" s="1" t="n">
        <v>45691</v>
      </c>
      <c r="C3820" s="1" t="n">
        <v>45807</v>
      </c>
      <c r="D3820" t="inlineStr">
        <is>
          <t>VÄSTERBOTTENS LÄN</t>
        </is>
      </c>
      <c r="E3820" t="inlineStr">
        <is>
          <t>SKELLEFTEÅ</t>
        </is>
      </c>
      <c r="G3820" t="n">
        <v>16.3</v>
      </c>
      <c r="H3820" t="n">
        <v>0</v>
      </c>
      <c r="I3820" t="n">
        <v>0</v>
      </c>
      <c r="J3820" t="n">
        <v>0</v>
      </c>
      <c r="K3820" t="n">
        <v>0</v>
      </c>
      <c r="L3820" t="n">
        <v>0</v>
      </c>
      <c r="M3820" t="n">
        <v>0</v>
      </c>
      <c r="N3820" t="n">
        <v>0</v>
      </c>
      <c r="O3820" t="n">
        <v>0</v>
      </c>
      <c r="P3820" t="n">
        <v>0</v>
      </c>
      <c r="Q3820" t="n">
        <v>0</v>
      </c>
      <c r="R3820" s="2" t="inlineStr"/>
    </row>
    <row r="3821" ht="15" customHeight="1">
      <c r="A3821" t="inlineStr">
        <is>
          <t>A 5011-2025</t>
        </is>
      </c>
      <c r="B3821" s="1" t="n">
        <v>45691</v>
      </c>
      <c r="C3821" s="1" t="n">
        <v>45807</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5367-2025</t>
        </is>
      </c>
      <c r="B3822" s="1" t="n">
        <v>45692</v>
      </c>
      <c r="C3822" s="1" t="n">
        <v>45807</v>
      </c>
      <c r="D3822" t="inlineStr">
        <is>
          <t>VÄSTERBOTTENS LÄN</t>
        </is>
      </c>
      <c r="E3822" t="inlineStr">
        <is>
          <t>SKELLEFTEÅ</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5374-2025</t>
        </is>
      </c>
      <c r="B3823" s="1" t="n">
        <v>45692</v>
      </c>
      <c r="C3823" s="1" t="n">
        <v>45807</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5563-2025</t>
        </is>
      </c>
      <c r="B3824" s="1" t="n">
        <v>45693</v>
      </c>
      <c r="C3824" s="1" t="n">
        <v>45807</v>
      </c>
      <c r="D3824" t="inlineStr">
        <is>
          <t>VÄSTERBOTTENS LÄN</t>
        </is>
      </c>
      <c r="E3824" t="inlineStr">
        <is>
          <t>SKELLEFTEÅ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5475-2025</t>
        </is>
      </c>
      <c r="B3825" s="1" t="n">
        <v>45693</v>
      </c>
      <c r="C3825" s="1" t="n">
        <v>45807</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5827-2025</t>
        </is>
      </c>
      <c r="B3826" s="1" t="n">
        <v>45694</v>
      </c>
      <c r="C3826" s="1" t="n">
        <v>45807</v>
      </c>
      <c r="D3826" t="inlineStr">
        <is>
          <t>VÄSTERBOTTENS LÄN</t>
        </is>
      </c>
      <c r="E3826" t="inlineStr">
        <is>
          <t>SKELLEFTEÅ</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5783-2025</t>
        </is>
      </c>
      <c r="B3827" s="1" t="n">
        <v>45694</v>
      </c>
      <c r="C3827" s="1" t="n">
        <v>45807</v>
      </c>
      <c r="D3827" t="inlineStr">
        <is>
          <t>VÄSTERBOTTENS LÄN</t>
        </is>
      </c>
      <c r="E3827" t="inlineStr">
        <is>
          <t>SKELLEFTEÅ</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5768-2025</t>
        </is>
      </c>
      <c r="B3828" s="1" t="n">
        <v>45694</v>
      </c>
      <c r="C3828" s="1" t="n">
        <v>45807</v>
      </c>
      <c r="D3828" t="inlineStr">
        <is>
          <t>VÄSTERBOTTENS LÄN</t>
        </is>
      </c>
      <c r="E3828" t="inlineStr">
        <is>
          <t>SKELLEFTEÅ</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5828-2025</t>
        </is>
      </c>
      <c r="B3829" s="1" t="n">
        <v>45694</v>
      </c>
      <c r="C3829" s="1" t="n">
        <v>45807</v>
      </c>
      <c r="D3829" t="inlineStr">
        <is>
          <t>VÄSTERBOTTENS LÄN</t>
        </is>
      </c>
      <c r="E3829" t="inlineStr">
        <is>
          <t>SKELLEFTEÅ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5831-2025</t>
        </is>
      </c>
      <c r="B3830" s="1" t="n">
        <v>45694</v>
      </c>
      <c r="C3830" s="1" t="n">
        <v>45807</v>
      </c>
      <c r="D3830" t="inlineStr">
        <is>
          <t>VÄSTERBOTTENS LÄN</t>
        </is>
      </c>
      <c r="E3830" t="inlineStr">
        <is>
          <t>SKELLEFTEÅ</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5826-2025</t>
        </is>
      </c>
      <c r="B3831" s="1" t="n">
        <v>45694</v>
      </c>
      <c r="C3831" s="1" t="n">
        <v>45807</v>
      </c>
      <c r="D3831" t="inlineStr">
        <is>
          <t>VÄSTERBOTTENS LÄN</t>
        </is>
      </c>
      <c r="E3831" t="inlineStr">
        <is>
          <t>SKELLEFTEÅ</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5830-2025</t>
        </is>
      </c>
      <c r="B3832" s="1" t="n">
        <v>45694</v>
      </c>
      <c r="C3832" s="1" t="n">
        <v>45807</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5829-2025</t>
        </is>
      </c>
      <c r="B3833" s="1" t="n">
        <v>45694</v>
      </c>
      <c r="C3833" s="1" t="n">
        <v>45807</v>
      </c>
      <c r="D3833" t="inlineStr">
        <is>
          <t>VÄSTERBOTTENS LÄN</t>
        </is>
      </c>
      <c r="E3833" t="inlineStr">
        <is>
          <t>SKELLEFTEÅ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5876-2025</t>
        </is>
      </c>
      <c r="B3834" s="1" t="n">
        <v>45694</v>
      </c>
      <c r="C3834" s="1" t="n">
        <v>45807</v>
      </c>
      <c r="D3834" t="inlineStr">
        <is>
          <t>VÄSTERBOTTENS LÄN</t>
        </is>
      </c>
      <c r="E3834" t="inlineStr">
        <is>
          <t>SKELLEFTEÅ</t>
        </is>
      </c>
      <c r="G3834" t="n">
        <v>60.7</v>
      </c>
      <c r="H3834" t="n">
        <v>0</v>
      </c>
      <c r="I3834" t="n">
        <v>0</v>
      </c>
      <c r="J3834" t="n">
        <v>0</v>
      </c>
      <c r="K3834" t="n">
        <v>0</v>
      </c>
      <c r="L3834" t="n">
        <v>0</v>
      </c>
      <c r="M3834" t="n">
        <v>0</v>
      </c>
      <c r="N3834" t="n">
        <v>0</v>
      </c>
      <c r="O3834" t="n">
        <v>0</v>
      </c>
      <c r="P3834" t="n">
        <v>0</v>
      </c>
      <c r="Q3834" t="n">
        <v>0</v>
      </c>
      <c r="R3834" s="2" t="inlineStr"/>
    </row>
    <row r="3835" ht="15" customHeight="1">
      <c r="A3835" t="inlineStr">
        <is>
          <t>A 5985-2025</t>
        </is>
      </c>
      <c r="B3835" s="1" t="n">
        <v>45695</v>
      </c>
      <c r="C3835" s="1" t="n">
        <v>45807</v>
      </c>
      <c r="D3835" t="inlineStr">
        <is>
          <t>VÄSTERBOTTENS LÄN</t>
        </is>
      </c>
      <c r="E3835" t="inlineStr">
        <is>
          <t>SKELLEFTEÅ</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5926-2025</t>
        </is>
      </c>
      <c r="B3836" s="1" t="n">
        <v>45695</v>
      </c>
      <c r="C3836" s="1" t="n">
        <v>45807</v>
      </c>
      <c r="D3836" t="inlineStr">
        <is>
          <t>VÄSTERBOTTENS LÄN</t>
        </is>
      </c>
      <c r="E3836" t="inlineStr">
        <is>
          <t>SKELLEFTEÅ</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5986-2025</t>
        </is>
      </c>
      <c r="B3837" s="1" t="n">
        <v>45695</v>
      </c>
      <c r="C3837" s="1" t="n">
        <v>45807</v>
      </c>
      <c r="D3837" t="inlineStr">
        <is>
          <t>VÄSTERBOTTENS LÄN</t>
        </is>
      </c>
      <c r="E3837" t="inlineStr">
        <is>
          <t>SKELLEFTEÅ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5927-2025</t>
        </is>
      </c>
      <c r="B3838" s="1" t="n">
        <v>45695</v>
      </c>
      <c r="C3838" s="1" t="n">
        <v>45807</v>
      </c>
      <c r="D3838" t="inlineStr">
        <is>
          <t>VÄSTERBOTTENS LÄN</t>
        </is>
      </c>
      <c r="E3838" t="inlineStr">
        <is>
          <t>SKELLEFTEÅ</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6007-2025</t>
        </is>
      </c>
      <c r="B3839" s="1" t="n">
        <v>45695</v>
      </c>
      <c r="C3839" s="1" t="n">
        <v>45807</v>
      </c>
      <c r="D3839" t="inlineStr">
        <is>
          <t>VÄSTERBOTTENS LÄN</t>
        </is>
      </c>
      <c r="E3839" t="inlineStr">
        <is>
          <t>SKELLEFTEÅ</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6018-2025</t>
        </is>
      </c>
      <c r="B3840" s="1" t="n">
        <v>45695</v>
      </c>
      <c r="C3840" s="1" t="n">
        <v>45807</v>
      </c>
      <c r="D3840" t="inlineStr">
        <is>
          <t>VÄSTERBOTTENS LÄN</t>
        </is>
      </c>
      <c r="E3840" t="inlineStr">
        <is>
          <t>SKELLEFTEÅ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6168-2025</t>
        </is>
      </c>
      <c r="B3841" s="1" t="n">
        <v>45695</v>
      </c>
      <c r="C3841" s="1" t="n">
        <v>45807</v>
      </c>
      <c r="D3841" t="inlineStr">
        <is>
          <t>VÄSTERBOTTENS LÄN</t>
        </is>
      </c>
      <c r="E3841" t="inlineStr">
        <is>
          <t>SKELLEFTEÅ</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6286-2025</t>
        </is>
      </c>
      <c r="B3842" s="1" t="n">
        <v>45698</v>
      </c>
      <c r="C3842" s="1" t="n">
        <v>45807</v>
      </c>
      <c r="D3842" t="inlineStr">
        <is>
          <t>VÄSTERBOTTENS LÄN</t>
        </is>
      </c>
      <c r="E3842" t="inlineStr">
        <is>
          <t>SKELLEFTEÅ</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6443-2025</t>
        </is>
      </c>
      <c r="B3843" s="1" t="n">
        <v>45699</v>
      </c>
      <c r="C3843" s="1" t="n">
        <v>45807</v>
      </c>
      <c r="D3843" t="inlineStr">
        <is>
          <t>VÄSTERBOTTENS LÄN</t>
        </is>
      </c>
      <c r="E3843" t="inlineStr">
        <is>
          <t>SKELLEFTEÅ</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6357-2025</t>
        </is>
      </c>
      <c r="B3844" s="1" t="n">
        <v>45699</v>
      </c>
      <c r="C3844" s="1" t="n">
        <v>45807</v>
      </c>
      <c r="D3844" t="inlineStr">
        <is>
          <t>VÄSTERBOTTENS LÄN</t>
        </is>
      </c>
      <c r="E3844" t="inlineStr">
        <is>
          <t>SKELLEFTEÅ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6900-2025</t>
        </is>
      </c>
      <c r="B3845" s="1" t="n">
        <v>45701</v>
      </c>
      <c r="C3845" s="1" t="n">
        <v>45807</v>
      </c>
      <c r="D3845" t="inlineStr">
        <is>
          <t>VÄSTERBOTTENS LÄN</t>
        </is>
      </c>
      <c r="E3845" t="inlineStr">
        <is>
          <t>SKELLEFTEÅ</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7028-2025</t>
        </is>
      </c>
      <c r="B3846" s="1" t="n">
        <v>45701</v>
      </c>
      <c r="C3846" s="1" t="n">
        <v>45807</v>
      </c>
      <c r="D3846" t="inlineStr">
        <is>
          <t>VÄSTERBOTTENS LÄN</t>
        </is>
      </c>
      <c r="E3846" t="inlineStr">
        <is>
          <t>SKELLEFTEÅ</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7048-2025</t>
        </is>
      </c>
      <c r="B3847" s="1" t="n">
        <v>45701</v>
      </c>
      <c r="C3847" s="1" t="n">
        <v>45807</v>
      </c>
      <c r="D3847" t="inlineStr">
        <is>
          <t>VÄSTERBOTTENS LÄN</t>
        </is>
      </c>
      <c r="E3847" t="inlineStr">
        <is>
          <t>SKELLEFTEÅ</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7027-2025</t>
        </is>
      </c>
      <c r="B3848" s="1" t="n">
        <v>45701</v>
      </c>
      <c r="C3848" s="1" t="n">
        <v>45807</v>
      </c>
      <c r="D3848" t="inlineStr">
        <is>
          <t>VÄSTERBOTTENS LÄN</t>
        </is>
      </c>
      <c r="E3848" t="inlineStr">
        <is>
          <t>SKELLEFTEÅ</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6899-2025</t>
        </is>
      </c>
      <c r="B3849" s="1" t="n">
        <v>45701</v>
      </c>
      <c r="C3849" s="1" t="n">
        <v>45807</v>
      </c>
      <c r="D3849" t="inlineStr">
        <is>
          <t>VÄSTERBOTTENS LÄN</t>
        </is>
      </c>
      <c r="E3849" t="inlineStr">
        <is>
          <t>SKELLEFTEÅ</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7025-2025</t>
        </is>
      </c>
      <c r="B3850" s="1" t="n">
        <v>45701</v>
      </c>
      <c r="C3850" s="1" t="n">
        <v>45807</v>
      </c>
      <c r="D3850" t="inlineStr">
        <is>
          <t>VÄSTERBOTTENS LÄN</t>
        </is>
      </c>
      <c r="E3850" t="inlineStr">
        <is>
          <t>SKELLEFTEÅ</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7295-2025</t>
        </is>
      </c>
      <c r="B3851" s="1" t="n">
        <v>45702</v>
      </c>
      <c r="C3851" s="1" t="n">
        <v>45807</v>
      </c>
      <c r="D3851" t="inlineStr">
        <is>
          <t>VÄSTERBOTTENS LÄN</t>
        </is>
      </c>
      <c r="E3851" t="inlineStr">
        <is>
          <t>SKELLEFTEÅ</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7815-2025</t>
        </is>
      </c>
      <c r="B3852" s="1" t="n">
        <v>45706</v>
      </c>
      <c r="C3852" s="1" t="n">
        <v>45807</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7816-2025</t>
        </is>
      </c>
      <c r="B3853" s="1" t="n">
        <v>45706</v>
      </c>
      <c r="C3853" s="1" t="n">
        <v>45807</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8090-2025</t>
        </is>
      </c>
      <c r="B3854" s="1" t="n">
        <v>45707</v>
      </c>
      <c r="C3854" s="1" t="n">
        <v>45807</v>
      </c>
      <c r="D3854" t="inlineStr">
        <is>
          <t>VÄSTERBOTTENS LÄN</t>
        </is>
      </c>
      <c r="E3854" t="inlineStr">
        <is>
          <t>SKELLEFTEÅ</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7916-2025</t>
        </is>
      </c>
      <c r="B3855" s="1" t="n">
        <v>45707</v>
      </c>
      <c r="C3855" s="1" t="n">
        <v>45807</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8010-2025</t>
        </is>
      </c>
      <c r="B3856" s="1" t="n">
        <v>45707</v>
      </c>
      <c r="C3856" s="1" t="n">
        <v>45807</v>
      </c>
      <c r="D3856" t="inlineStr">
        <is>
          <t>VÄSTERBOTTENS LÄN</t>
        </is>
      </c>
      <c r="E3856" t="inlineStr">
        <is>
          <t>SKELLEFTEÅ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8013-2025</t>
        </is>
      </c>
      <c r="B3857" s="1" t="n">
        <v>45707</v>
      </c>
      <c r="C3857" s="1" t="n">
        <v>45807</v>
      </c>
      <c r="D3857" t="inlineStr">
        <is>
          <t>VÄSTERBOTTENS LÄN</t>
        </is>
      </c>
      <c r="E3857" t="inlineStr">
        <is>
          <t>SKELLEFTEÅ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7981-2025</t>
        </is>
      </c>
      <c r="B3858" s="1" t="n">
        <v>45707</v>
      </c>
      <c r="C3858" s="1" t="n">
        <v>45807</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7991-2025</t>
        </is>
      </c>
      <c r="B3859" s="1" t="n">
        <v>45707</v>
      </c>
      <c r="C3859" s="1" t="n">
        <v>45807</v>
      </c>
      <c r="D3859" t="inlineStr">
        <is>
          <t>VÄSTERBOTTENS LÄN</t>
        </is>
      </c>
      <c r="E3859" t="inlineStr">
        <is>
          <t>SKELLEFTEÅ</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8221-2025</t>
        </is>
      </c>
      <c r="B3860" s="1" t="n">
        <v>45708</v>
      </c>
      <c r="C3860" s="1" t="n">
        <v>45807</v>
      </c>
      <c r="D3860" t="inlineStr">
        <is>
          <t>VÄSTERBOTTENS LÄN</t>
        </is>
      </c>
      <c r="E3860" t="inlineStr">
        <is>
          <t>SKELLEFTEÅ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8289-2025</t>
        </is>
      </c>
      <c r="B3861" s="1" t="n">
        <v>45708</v>
      </c>
      <c r="C3861" s="1" t="n">
        <v>45807</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8241-2025</t>
        </is>
      </c>
      <c r="B3862" s="1" t="n">
        <v>45708</v>
      </c>
      <c r="C3862" s="1" t="n">
        <v>45807</v>
      </c>
      <c r="D3862" t="inlineStr">
        <is>
          <t>VÄSTERBOTTENS LÄN</t>
        </is>
      </c>
      <c r="E3862" t="inlineStr">
        <is>
          <t>SKELLEFTEÅ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8280-2025</t>
        </is>
      </c>
      <c r="B3863" s="1" t="n">
        <v>45708</v>
      </c>
      <c r="C3863" s="1" t="n">
        <v>45807</v>
      </c>
      <c r="D3863" t="inlineStr">
        <is>
          <t>VÄSTERBOTTENS LÄN</t>
        </is>
      </c>
      <c r="E3863" t="inlineStr">
        <is>
          <t>SKELLEFTEÅ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8301-2025</t>
        </is>
      </c>
      <c r="B3864" s="1" t="n">
        <v>45708</v>
      </c>
      <c r="C3864" s="1" t="n">
        <v>45807</v>
      </c>
      <c r="D3864" t="inlineStr">
        <is>
          <t>VÄSTERBOTTENS LÄN</t>
        </is>
      </c>
      <c r="E3864" t="inlineStr">
        <is>
          <t>SKELLEFTEÅ</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8141-2025</t>
        </is>
      </c>
      <c r="B3865" s="1" t="n">
        <v>45708</v>
      </c>
      <c r="C3865" s="1" t="n">
        <v>45807</v>
      </c>
      <c r="D3865" t="inlineStr">
        <is>
          <t>VÄSTERBOTTENS LÄN</t>
        </is>
      </c>
      <c r="E3865" t="inlineStr">
        <is>
          <t>SKELLEFTEÅ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8240-2025</t>
        </is>
      </c>
      <c r="B3866" s="1" t="n">
        <v>45708</v>
      </c>
      <c r="C3866" s="1" t="n">
        <v>45807</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8144-2025</t>
        </is>
      </c>
      <c r="B3867" s="1" t="n">
        <v>45708</v>
      </c>
      <c r="C3867" s="1" t="n">
        <v>45807</v>
      </c>
      <c r="D3867" t="inlineStr">
        <is>
          <t>VÄSTERBOTTENS LÄN</t>
        </is>
      </c>
      <c r="E3867" t="inlineStr">
        <is>
          <t>SKELLEFTEÅ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8140-2025</t>
        </is>
      </c>
      <c r="B3868" s="1" t="n">
        <v>45708</v>
      </c>
      <c r="C3868" s="1" t="n">
        <v>45807</v>
      </c>
      <c r="D3868" t="inlineStr">
        <is>
          <t>VÄSTERBOTTENS LÄN</t>
        </is>
      </c>
      <c r="E3868" t="inlineStr">
        <is>
          <t>SKELLEFTEÅ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8427-2025</t>
        </is>
      </c>
      <c r="B3869" s="1" t="n">
        <v>45709</v>
      </c>
      <c r="C3869" s="1" t="n">
        <v>45807</v>
      </c>
      <c r="D3869" t="inlineStr">
        <is>
          <t>VÄSTERBOTTENS LÄN</t>
        </is>
      </c>
      <c r="E3869" t="inlineStr">
        <is>
          <t>SKELLEFTEÅ</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8577-2025</t>
        </is>
      </c>
      <c r="B3870" s="1" t="n">
        <v>45709</v>
      </c>
      <c r="C3870" s="1" t="n">
        <v>45807</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8442-2025</t>
        </is>
      </c>
      <c r="B3871" s="1" t="n">
        <v>45709</v>
      </c>
      <c r="C3871" s="1" t="n">
        <v>45807</v>
      </c>
      <c r="D3871" t="inlineStr">
        <is>
          <t>VÄSTERBOTTENS LÄN</t>
        </is>
      </c>
      <c r="E3871" t="inlineStr">
        <is>
          <t>SKELLEFTEÅ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8412-2025</t>
        </is>
      </c>
      <c r="B3872" s="1" t="n">
        <v>45709</v>
      </c>
      <c r="C3872" s="1" t="n">
        <v>45807</v>
      </c>
      <c r="D3872" t="inlineStr">
        <is>
          <t>VÄSTERBOTTENS LÄN</t>
        </is>
      </c>
      <c r="E3872" t="inlineStr">
        <is>
          <t>SKELLEFTEÅ</t>
        </is>
      </c>
      <c r="F3872" t="inlineStr">
        <is>
          <t>Holmen skog AB</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8397-2025</t>
        </is>
      </c>
      <c r="B3873" s="1" t="n">
        <v>45709</v>
      </c>
      <c r="C3873" s="1" t="n">
        <v>45807</v>
      </c>
      <c r="D3873" t="inlineStr">
        <is>
          <t>VÄSTERBOTTENS LÄN</t>
        </is>
      </c>
      <c r="E3873" t="inlineStr">
        <is>
          <t>SKELLEFTEÅ</t>
        </is>
      </c>
      <c r="G3873" t="n">
        <v>16.6</v>
      </c>
      <c r="H3873" t="n">
        <v>0</v>
      </c>
      <c r="I3873" t="n">
        <v>0</v>
      </c>
      <c r="J3873" t="n">
        <v>0</v>
      </c>
      <c r="K3873" t="n">
        <v>0</v>
      </c>
      <c r="L3873" t="n">
        <v>0</v>
      </c>
      <c r="M3873" t="n">
        <v>0</v>
      </c>
      <c r="N3873" t="n">
        <v>0</v>
      </c>
      <c r="O3873" t="n">
        <v>0</v>
      </c>
      <c r="P3873" t="n">
        <v>0</v>
      </c>
      <c r="Q3873" t="n">
        <v>0</v>
      </c>
      <c r="R3873" s="2" t="inlineStr"/>
    </row>
    <row r="3874" ht="15" customHeight="1">
      <c r="A3874" t="inlineStr">
        <is>
          <t>A 8658-2025</t>
        </is>
      </c>
      <c r="B3874" s="1" t="n">
        <v>45712</v>
      </c>
      <c r="C3874" s="1" t="n">
        <v>45807</v>
      </c>
      <c r="D3874" t="inlineStr">
        <is>
          <t>VÄSTERBOTTENS LÄN</t>
        </is>
      </c>
      <c r="E3874" t="inlineStr">
        <is>
          <t>SKELLEFTEÅ</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8644-2025</t>
        </is>
      </c>
      <c r="B3875" s="1" t="n">
        <v>45712</v>
      </c>
      <c r="C3875" s="1" t="n">
        <v>45807</v>
      </c>
      <c r="D3875" t="inlineStr">
        <is>
          <t>VÄSTERBOTTENS LÄN</t>
        </is>
      </c>
      <c r="E3875" t="inlineStr">
        <is>
          <t>SKELLEFTEÅ</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8801-2025</t>
        </is>
      </c>
      <c r="B3876" s="1" t="n">
        <v>45712</v>
      </c>
      <c r="C3876" s="1" t="n">
        <v>45807</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8821-2025</t>
        </is>
      </c>
      <c r="B3877" s="1" t="n">
        <v>45712</v>
      </c>
      <c r="C3877" s="1" t="n">
        <v>45807</v>
      </c>
      <c r="D3877" t="inlineStr">
        <is>
          <t>VÄSTERBOTTENS LÄN</t>
        </is>
      </c>
      <c r="E3877" t="inlineStr">
        <is>
          <t>SKELLEFTEÅ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8689-2025</t>
        </is>
      </c>
      <c r="B3878" s="1" t="n">
        <v>45712</v>
      </c>
      <c r="C3878" s="1" t="n">
        <v>45807</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8669-2025</t>
        </is>
      </c>
      <c r="B3879" s="1" t="n">
        <v>45712</v>
      </c>
      <c r="C3879" s="1" t="n">
        <v>45807</v>
      </c>
      <c r="D3879" t="inlineStr">
        <is>
          <t>VÄSTERBOTTENS LÄN</t>
        </is>
      </c>
      <c r="E3879" t="inlineStr">
        <is>
          <t>SKELLEFTEÅ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8839-2025</t>
        </is>
      </c>
      <c r="B3880" s="1" t="n">
        <v>45713</v>
      </c>
      <c r="C3880" s="1" t="n">
        <v>45807</v>
      </c>
      <c r="D3880" t="inlineStr">
        <is>
          <t>VÄSTERBOTTENS LÄN</t>
        </is>
      </c>
      <c r="E3880" t="inlineStr">
        <is>
          <t>SKELLEFTEÅ</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8840-2025</t>
        </is>
      </c>
      <c r="B3881" s="1" t="n">
        <v>45713</v>
      </c>
      <c r="C3881" s="1" t="n">
        <v>45807</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8887-2025</t>
        </is>
      </c>
      <c r="B3882" s="1" t="n">
        <v>45713</v>
      </c>
      <c r="C3882" s="1" t="n">
        <v>45807</v>
      </c>
      <c r="D3882" t="inlineStr">
        <is>
          <t>VÄSTERBOTTENS LÄN</t>
        </is>
      </c>
      <c r="E3882" t="inlineStr">
        <is>
          <t>SKELLEFTEÅ</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8927-2025</t>
        </is>
      </c>
      <c r="B3883" s="1" t="n">
        <v>45713</v>
      </c>
      <c r="C3883" s="1" t="n">
        <v>45807</v>
      </c>
      <c r="D3883" t="inlineStr">
        <is>
          <t>VÄSTERBOTTENS LÄN</t>
        </is>
      </c>
      <c r="E3883" t="inlineStr">
        <is>
          <t>SKELLEFTEÅ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9183-2025</t>
        </is>
      </c>
      <c r="B3884" s="1" t="n">
        <v>45714</v>
      </c>
      <c r="C3884" s="1" t="n">
        <v>45807</v>
      </c>
      <c r="D3884" t="inlineStr">
        <is>
          <t>VÄSTERBOTTENS LÄN</t>
        </is>
      </c>
      <c r="E3884" t="inlineStr">
        <is>
          <t>SKELLEFTEÅ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9450-2025</t>
        </is>
      </c>
      <c r="B3885" s="1" t="n">
        <v>45715</v>
      </c>
      <c r="C3885" s="1" t="n">
        <v>45807</v>
      </c>
      <c r="D3885" t="inlineStr">
        <is>
          <t>VÄSTERBOTTENS LÄN</t>
        </is>
      </c>
      <c r="E3885" t="inlineStr">
        <is>
          <t>SKELLEFTEÅ</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9448-2025</t>
        </is>
      </c>
      <c r="B3886" s="1" t="n">
        <v>45715</v>
      </c>
      <c r="C3886" s="1" t="n">
        <v>45807</v>
      </c>
      <c r="D3886" t="inlineStr">
        <is>
          <t>VÄSTERBOTTENS LÄN</t>
        </is>
      </c>
      <c r="E3886" t="inlineStr">
        <is>
          <t>SKELLEFTEÅ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9441-2025</t>
        </is>
      </c>
      <c r="B3887" s="1" t="n">
        <v>45715</v>
      </c>
      <c r="C3887" s="1" t="n">
        <v>45807</v>
      </c>
      <c r="D3887" t="inlineStr">
        <is>
          <t>VÄSTERBOTTENS LÄN</t>
        </is>
      </c>
      <c r="E3887" t="inlineStr">
        <is>
          <t>SKELLEFTEÅ</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9383-2025</t>
        </is>
      </c>
      <c r="B3888" s="1" t="n">
        <v>45715</v>
      </c>
      <c r="C3888" s="1" t="n">
        <v>45807</v>
      </c>
      <c r="D3888" t="inlineStr">
        <is>
          <t>VÄSTERBOTTENS LÄN</t>
        </is>
      </c>
      <c r="E3888" t="inlineStr">
        <is>
          <t>SKELLEFTEÅ</t>
        </is>
      </c>
      <c r="G3888" t="n">
        <v>17.5</v>
      </c>
      <c r="H3888" t="n">
        <v>0</v>
      </c>
      <c r="I3888" t="n">
        <v>0</v>
      </c>
      <c r="J3888" t="n">
        <v>0</v>
      </c>
      <c r="K3888" t="n">
        <v>0</v>
      </c>
      <c r="L3888" t="n">
        <v>0</v>
      </c>
      <c r="M3888" t="n">
        <v>0</v>
      </c>
      <c r="N3888" t="n">
        <v>0</v>
      </c>
      <c r="O3888" t="n">
        <v>0</v>
      </c>
      <c r="P3888" t="n">
        <v>0</v>
      </c>
      <c r="Q3888" t="n">
        <v>0</v>
      </c>
      <c r="R3888" s="2" t="inlineStr"/>
    </row>
    <row r="3889" ht="15" customHeight="1">
      <c r="A3889" t="inlineStr">
        <is>
          <t>A 9432-2025</t>
        </is>
      </c>
      <c r="B3889" s="1" t="n">
        <v>45715</v>
      </c>
      <c r="C3889" s="1" t="n">
        <v>45807</v>
      </c>
      <c r="D3889" t="inlineStr">
        <is>
          <t>VÄSTERBOTTENS LÄN</t>
        </is>
      </c>
      <c r="E3889" t="inlineStr">
        <is>
          <t>SKELLEFTEÅ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9705-2025</t>
        </is>
      </c>
      <c r="B3890" s="1" t="n">
        <v>45716</v>
      </c>
      <c r="C3890" s="1" t="n">
        <v>45807</v>
      </c>
      <c r="D3890" t="inlineStr">
        <is>
          <t>VÄSTERBOTTENS LÄN</t>
        </is>
      </c>
      <c r="E3890" t="inlineStr">
        <is>
          <t>SKELLEFTEÅ</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9840-2025</t>
        </is>
      </c>
      <c r="B3891" s="1" t="n">
        <v>45716</v>
      </c>
      <c r="C3891" s="1" t="n">
        <v>45807</v>
      </c>
      <c r="D3891" t="inlineStr">
        <is>
          <t>VÄSTERBOTTENS LÄN</t>
        </is>
      </c>
      <c r="E3891" t="inlineStr">
        <is>
          <t>SKELLEFTEÅ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9841-2025</t>
        </is>
      </c>
      <c r="B3892" s="1" t="n">
        <v>45716</v>
      </c>
      <c r="C3892" s="1" t="n">
        <v>45807</v>
      </c>
      <c r="D3892" t="inlineStr">
        <is>
          <t>VÄSTERBOTTENS LÄN</t>
        </is>
      </c>
      <c r="E3892" t="inlineStr">
        <is>
          <t>SKELLEFTEÅ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9702-2025</t>
        </is>
      </c>
      <c r="B3893" s="1" t="n">
        <v>45716</v>
      </c>
      <c r="C3893" s="1" t="n">
        <v>45807</v>
      </c>
      <c r="D3893" t="inlineStr">
        <is>
          <t>VÄSTERBOTTENS LÄN</t>
        </is>
      </c>
      <c r="E3893" t="inlineStr">
        <is>
          <t>SKELLEFTEÅ</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9694-2025</t>
        </is>
      </c>
      <c r="B3894" s="1" t="n">
        <v>45716</v>
      </c>
      <c r="C3894" s="1" t="n">
        <v>45807</v>
      </c>
      <c r="D3894" t="inlineStr">
        <is>
          <t>VÄSTERBOTTENS LÄN</t>
        </is>
      </c>
      <c r="E3894" t="inlineStr">
        <is>
          <t>SKELLEFTEÅ</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9838-2025</t>
        </is>
      </c>
      <c r="B3895" s="1" t="n">
        <v>45716</v>
      </c>
      <c r="C3895" s="1" t="n">
        <v>45807</v>
      </c>
      <c r="D3895" t="inlineStr">
        <is>
          <t>VÄSTERBOTTENS LÄN</t>
        </is>
      </c>
      <c r="E3895" t="inlineStr">
        <is>
          <t>SKELLEFTEÅ</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10082-2025</t>
        </is>
      </c>
      <c r="B3896" s="1" t="n">
        <v>45719</v>
      </c>
      <c r="C3896" s="1" t="n">
        <v>45807</v>
      </c>
      <c r="D3896" t="inlineStr">
        <is>
          <t>VÄSTERBOTTENS LÄN</t>
        </is>
      </c>
      <c r="E3896" t="inlineStr">
        <is>
          <t>SKELLEFTEÅ</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10063-2025</t>
        </is>
      </c>
      <c r="B3897" s="1" t="n">
        <v>45719</v>
      </c>
      <c r="C3897" s="1" t="n">
        <v>45807</v>
      </c>
      <c r="D3897" t="inlineStr">
        <is>
          <t>VÄSTERBOTTENS LÄN</t>
        </is>
      </c>
      <c r="E3897" t="inlineStr">
        <is>
          <t>SKELLEFTEÅ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10074-2025</t>
        </is>
      </c>
      <c r="B3898" s="1" t="n">
        <v>45719</v>
      </c>
      <c r="C3898" s="1" t="n">
        <v>45807</v>
      </c>
      <c r="D3898" t="inlineStr">
        <is>
          <t>VÄSTERBOTTENS LÄN</t>
        </is>
      </c>
      <c r="E3898" t="inlineStr">
        <is>
          <t>SKELLEFTEÅ</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10079-2025</t>
        </is>
      </c>
      <c r="B3899" s="1" t="n">
        <v>45719</v>
      </c>
      <c r="C3899" s="1" t="n">
        <v>45807</v>
      </c>
      <c r="D3899" t="inlineStr">
        <is>
          <t>VÄSTERBOTTENS LÄN</t>
        </is>
      </c>
      <c r="E3899" t="inlineStr">
        <is>
          <t>SKELLEFTEÅ</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10287-2025</t>
        </is>
      </c>
      <c r="B3900" s="1" t="n">
        <v>45720</v>
      </c>
      <c r="C3900" s="1" t="n">
        <v>45807</v>
      </c>
      <c r="D3900" t="inlineStr">
        <is>
          <t>VÄSTERBOTTENS LÄN</t>
        </is>
      </c>
      <c r="E3900" t="inlineStr">
        <is>
          <t>SKELLEFTEÅ</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10278-2025</t>
        </is>
      </c>
      <c r="B3901" s="1" t="n">
        <v>45720</v>
      </c>
      <c r="C3901" s="1" t="n">
        <v>45807</v>
      </c>
      <c r="D3901" t="inlineStr">
        <is>
          <t>VÄSTERBOTTENS LÄN</t>
        </is>
      </c>
      <c r="E3901" t="inlineStr">
        <is>
          <t>SKELLEFTEÅ</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10601-2025</t>
        </is>
      </c>
      <c r="B3902" s="1" t="n">
        <v>45721</v>
      </c>
      <c r="C3902" s="1" t="n">
        <v>45807</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10903-2025</t>
        </is>
      </c>
      <c r="B3903" s="1" t="n">
        <v>45722</v>
      </c>
      <c r="C3903" s="1" t="n">
        <v>45807</v>
      </c>
      <c r="D3903" t="inlineStr">
        <is>
          <t>VÄSTERBOTTENS LÄN</t>
        </is>
      </c>
      <c r="E3903" t="inlineStr">
        <is>
          <t>SKELLEFTEÅ</t>
        </is>
      </c>
      <c r="G3903" t="n">
        <v>12.3</v>
      </c>
      <c r="H3903" t="n">
        <v>0</v>
      </c>
      <c r="I3903" t="n">
        <v>0</v>
      </c>
      <c r="J3903" t="n">
        <v>0</v>
      </c>
      <c r="K3903" t="n">
        <v>0</v>
      </c>
      <c r="L3903" t="n">
        <v>0</v>
      </c>
      <c r="M3903" t="n">
        <v>0</v>
      </c>
      <c r="N3903" t="n">
        <v>0</v>
      </c>
      <c r="O3903" t="n">
        <v>0</v>
      </c>
      <c r="P3903" t="n">
        <v>0</v>
      </c>
      <c r="Q3903" t="n">
        <v>0</v>
      </c>
      <c r="R3903" s="2" t="inlineStr"/>
    </row>
    <row r="3904" ht="15" customHeight="1">
      <c r="A3904" t="inlineStr">
        <is>
          <t>A 10841-2025</t>
        </is>
      </c>
      <c r="B3904" s="1" t="n">
        <v>45722</v>
      </c>
      <c r="C3904" s="1" t="n">
        <v>45807</v>
      </c>
      <c r="D3904" t="inlineStr">
        <is>
          <t>VÄSTERBOTTENS LÄN</t>
        </is>
      </c>
      <c r="E3904" t="inlineStr">
        <is>
          <t>SKELLEFTEÅ</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10980-2025</t>
        </is>
      </c>
      <c r="B3905" s="1" t="n">
        <v>45723</v>
      </c>
      <c r="C3905" s="1" t="n">
        <v>45807</v>
      </c>
      <c r="D3905" t="inlineStr">
        <is>
          <t>VÄSTERBOTTENS LÄN</t>
        </is>
      </c>
      <c r="E3905" t="inlineStr">
        <is>
          <t>SKELLEFTEÅ</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10986-2025</t>
        </is>
      </c>
      <c r="B3906" s="1" t="n">
        <v>45723</v>
      </c>
      <c r="C3906" s="1" t="n">
        <v>45807</v>
      </c>
      <c r="D3906" t="inlineStr">
        <is>
          <t>VÄSTERBOTTENS LÄN</t>
        </is>
      </c>
      <c r="E3906" t="inlineStr">
        <is>
          <t>SKELLEFTEÅ</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10978-2025</t>
        </is>
      </c>
      <c r="B3907" s="1" t="n">
        <v>45723</v>
      </c>
      <c r="C3907" s="1" t="n">
        <v>45807</v>
      </c>
      <c r="D3907" t="inlineStr">
        <is>
          <t>VÄSTERBOTTENS LÄN</t>
        </is>
      </c>
      <c r="E3907" t="inlineStr">
        <is>
          <t>SKELLEFTEÅ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10977-2025</t>
        </is>
      </c>
      <c r="B3908" s="1" t="n">
        <v>45723</v>
      </c>
      <c r="C3908" s="1" t="n">
        <v>45807</v>
      </c>
      <c r="D3908" t="inlineStr">
        <is>
          <t>VÄSTERBOTTENS LÄN</t>
        </is>
      </c>
      <c r="E3908" t="inlineStr">
        <is>
          <t>SKELLEFTEÅ</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10975-2025</t>
        </is>
      </c>
      <c r="B3909" s="1" t="n">
        <v>45723</v>
      </c>
      <c r="C3909" s="1" t="n">
        <v>45807</v>
      </c>
      <c r="D3909" t="inlineStr">
        <is>
          <t>VÄSTERBOTTENS LÄN</t>
        </is>
      </c>
      <c r="E3909" t="inlineStr">
        <is>
          <t>SKELLEFTEÅ</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11278-2025</t>
        </is>
      </c>
      <c r="B3910" s="1" t="n">
        <v>45726</v>
      </c>
      <c r="C3910" s="1" t="n">
        <v>45807</v>
      </c>
      <c r="D3910" t="inlineStr">
        <is>
          <t>VÄSTERBOTTENS LÄN</t>
        </is>
      </c>
      <c r="E3910" t="inlineStr">
        <is>
          <t>SKELLEFTEÅ</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11314-2025</t>
        </is>
      </c>
      <c r="B3911" s="1" t="n">
        <v>45726</v>
      </c>
      <c r="C3911" s="1" t="n">
        <v>45807</v>
      </c>
      <c r="D3911" t="inlineStr">
        <is>
          <t>VÄSTERBOTTENS LÄN</t>
        </is>
      </c>
      <c r="E3911" t="inlineStr">
        <is>
          <t>SKELLEFTEÅ</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11318-2025</t>
        </is>
      </c>
      <c r="B3912" s="1" t="n">
        <v>45726</v>
      </c>
      <c r="C3912" s="1" t="n">
        <v>45807</v>
      </c>
      <c r="D3912" t="inlineStr">
        <is>
          <t>VÄSTERBOTTENS LÄN</t>
        </is>
      </c>
      <c r="E3912" t="inlineStr">
        <is>
          <t>SKELLEFTEÅ</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11391-2025</t>
        </is>
      </c>
      <c r="B3913" s="1" t="n">
        <v>45726</v>
      </c>
      <c r="C3913" s="1" t="n">
        <v>45807</v>
      </c>
      <c r="D3913" t="inlineStr">
        <is>
          <t>VÄSTERBOTTENS LÄN</t>
        </is>
      </c>
      <c r="E3913" t="inlineStr">
        <is>
          <t>SKELLEFTEÅ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11254-2025</t>
        </is>
      </c>
      <c r="B3914" s="1" t="n">
        <v>45726</v>
      </c>
      <c r="C3914" s="1" t="n">
        <v>45807</v>
      </c>
      <c r="D3914" t="inlineStr">
        <is>
          <t>VÄSTERBOTTENS LÄN</t>
        </is>
      </c>
      <c r="E3914" t="inlineStr">
        <is>
          <t>SKELLEFTEÅ</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11644-2025</t>
        </is>
      </c>
      <c r="B3915" s="1" t="n">
        <v>45727</v>
      </c>
      <c r="C3915" s="1" t="n">
        <v>45807</v>
      </c>
      <c r="D3915" t="inlineStr">
        <is>
          <t>VÄSTERBOTTENS LÄN</t>
        </is>
      </c>
      <c r="E3915" t="inlineStr">
        <is>
          <t>SKELLEFTEÅ</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11843-2025</t>
        </is>
      </c>
      <c r="B3916" s="1" t="n">
        <v>45728</v>
      </c>
      <c r="C3916" s="1" t="n">
        <v>45807</v>
      </c>
      <c r="D3916" t="inlineStr">
        <is>
          <t>VÄSTERBOTTENS LÄN</t>
        </is>
      </c>
      <c r="E3916" t="inlineStr">
        <is>
          <t>SKELLEFTEÅ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12050-2025</t>
        </is>
      </c>
      <c r="B3917" s="1" t="n">
        <v>45728</v>
      </c>
      <c r="C3917" s="1" t="n">
        <v>45807</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11851-2025</t>
        </is>
      </c>
      <c r="B3918" s="1" t="n">
        <v>45728</v>
      </c>
      <c r="C3918" s="1" t="n">
        <v>45807</v>
      </c>
      <c r="D3918" t="inlineStr">
        <is>
          <t>VÄSTERBOTTENS LÄN</t>
        </is>
      </c>
      <c r="E3918" t="inlineStr">
        <is>
          <t>SKELLEFTEÅ</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11971-2025</t>
        </is>
      </c>
      <c r="B3919" s="1" t="n">
        <v>45728</v>
      </c>
      <c r="C3919" s="1" t="n">
        <v>45807</v>
      </c>
      <c r="D3919" t="inlineStr">
        <is>
          <t>VÄSTERBOTTENS LÄN</t>
        </is>
      </c>
      <c r="E3919" t="inlineStr">
        <is>
          <t>SKELLEFTEÅ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11884-2025</t>
        </is>
      </c>
      <c r="B3920" s="1" t="n">
        <v>45728</v>
      </c>
      <c r="C3920" s="1" t="n">
        <v>45807</v>
      </c>
      <c r="D3920" t="inlineStr">
        <is>
          <t>VÄSTERBOTTENS LÄN</t>
        </is>
      </c>
      <c r="E3920" t="inlineStr">
        <is>
          <t>SKELLEFTEÅ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11994-2025</t>
        </is>
      </c>
      <c r="B3921" s="1" t="n">
        <v>45728</v>
      </c>
      <c r="C3921" s="1" t="n">
        <v>45807</v>
      </c>
      <c r="D3921" t="inlineStr">
        <is>
          <t>VÄSTERBOTTENS LÄN</t>
        </is>
      </c>
      <c r="E3921" t="inlineStr">
        <is>
          <t>SKELLEFTEÅ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11907-2025</t>
        </is>
      </c>
      <c r="B3922" s="1" t="n">
        <v>45728</v>
      </c>
      <c r="C3922" s="1" t="n">
        <v>45807</v>
      </c>
      <c r="D3922" t="inlineStr">
        <is>
          <t>VÄSTERBOTTENS LÄN</t>
        </is>
      </c>
      <c r="E3922" t="inlineStr">
        <is>
          <t>SKELLEFTEÅ</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11956-2025</t>
        </is>
      </c>
      <c r="B3923" s="1" t="n">
        <v>45728</v>
      </c>
      <c r="C3923" s="1" t="n">
        <v>45807</v>
      </c>
      <c r="D3923" t="inlineStr">
        <is>
          <t>VÄSTERBOTTENS LÄN</t>
        </is>
      </c>
      <c r="E3923" t="inlineStr">
        <is>
          <t>SKELLEFTEÅ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12300-2025</t>
        </is>
      </c>
      <c r="B3924" s="1" t="n">
        <v>45729</v>
      </c>
      <c r="C3924" s="1" t="n">
        <v>45807</v>
      </c>
      <c r="D3924" t="inlineStr">
        <is>
          <t>VÄSTERBOTTENS LÄN</t>
        </is>
      </c>
      <c r="E3924" t="inlineStr">
        <is>
          <t>SKELLEFTEÅ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12090-2025</t>
        </is>
      </c>
      <c r="B3925" s="1" t="n">
        <v>45729</v>
      </c>
      <c r="C3925" s="1" t="n">
        <v>45807</v>
      </c>
      <c r="D3925" t="inlineStr">
        <is>
          <t>VÄSTERBOTTENS LÄN</t>
        </is>
      </c>
      <c r="E3925" t="inlineStr">
        <is>
          <t>SKELLEFTEÅ</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12256-2025</t>
        </is>
      </c>
      <c r="B3926" s="1" t="n">
        <v>45729</v>
      </c>
      <c r="C3926" s="1" t="n">
        <v>45807</v>
      </c>
      <c r="D3926" t="inlineStr">
        <is>
          <t>VÄSTERBOTTENS LÄN</t>
        </is>
      </c>
      <c r="E3926" t="inlineStr">
        <is>
          <t>SKELLEFTEÅ</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12353-2025</t>
        </is>
      </c>
      <c r="B3927" s="1" t="n">
        <v>45730</v>
      </c>
      <c r="C3927" s="1" t="n">
        <v>45807</v>
      </c>
      <c r="D3927" t="inlineStr">
        <is>
          <t>VÄSTERBOTTENS LÄN</t>
        </is>
      </c>
      <c r="E3927" t="inlineStr">
        <is>
          <t>SKELLEFTEÅ</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12545-2025</t>
        </is>
      </c>
      <c r="B3928" s="1" t="n">
        <v>45730</v>
      </c>
      <c r="C3928" s="1" t="n">
        <v>45807</v>
      </c>
      <c r="D3928" t="inlineStr">
        <is>
          <t>VÄSTERBOTTENS LÄN</t>
        </is>
      </c>
      <c r="E3928" t="inlineStr">
        <is>
          <t>SKELLEFTEÅ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12547-2025</t>
        </is>
      </c>
      <c r="B3929" s="1" t="n">
        <v>45730</v>
      </c>
      <c r="C3929" s="1" t="n">
        <v>45807</v>
      </c>
      <c r="D3929" t="inlineStr">
        <is>
          <t>VÄSTERBOTTENS LÄN</t>
        </is>
      </c>
      <c r="E3929" t="inlineStr">
        <is>
          <t>SKELLEFTEÅ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12320-2025</t>
        </is>
      </c>
      <c r="B3930" s="1" t="n">
        <v>45730</v>
      </c>
      <c r="C3930" s="1" t="n">
        <v>45807</v>
      </c>
      <c r="D3930" t="inlineStr">
        <is>
          <t>VÄSTERBOTTENS LÄN</t>
        </is>
      </c>
      <c r="E3930" t="inlineStr">
        <is>
          <t>SKELLEFTEÅ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12698-2025</t>
        </is>
      </c>
      <c r="B3931" s="1" t="n">
        <v>45733</v>
      </c>
      <c r="C3931" s="1" t="n">
        <v>45807</v>
      </c>
      <c r="D3931" t="inlineStr">
        <is>
          <t>VÄSTERBOTTENS LÄN</t>
        </is>
      </c>
      <c r="E3931" t="inlineStr">
        <is>
          <t>SKELLEFTEÅ</t>
        </is>
      </c>
      <c r="F3931" t="inlineStr">
        <is>
          <t>Kommuner</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12701-2025</t>
        </is>
      </c>
      <c r="B3932" s="1" t="n">
        <v>45733</v>
      </c>
      <c r="C3932" s="1" t="n">
        <v>45807</v>
      </c>
      <c r="D3932" t="inlineStr">
        <is>
          <t>VÄSTERBOTTENS LÄN</t>
        </is>
      </c>
      <c r="E3932" t="inlineStr">
        <is>
          <t>SKELLEFTEÅ</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12694-2025</t>
        </is>
      </c>
      <c r="B3933" s="1" t="n">
        <v>45733</v>
      </c>
      <c r="C3933" s="1" t="n">
        <v>45807</v>
      </c>
      <c r="D3933" t="inlineStr">
        <is>
          <t>VÄSTERBOTTENS LÄN</t>
        </is>
      </c>
      <c r="E3933" t="inlineStr">
        <is>
          <t>SKELLEFTEÅ</t>
        </is>
      </c>
      <c r="F3933" t="inlineStr">
        <is>
          <t>Kommuner</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12645-2025</t>
        </is>
      </c>
      <c r="B3934" s="1" t="n">
        <v>45733</v>
      </c>
      <c r="C3934" s="1" t="n">
        <v>45807</v>
      </c>
      <c r="D3934" t="inlineStr">
        <is>
          <t>VÄSTERBOTTENS LÄN</t>
        </is>
      </c>
      <c r="E3934" t="inlineStr">
        <is>
          <t>SKELLEFTEÅ</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12842-2025</t>
        </is>
      </c>
      <c r="B3935" s="1" t="n">
        <v>45733</v>
      </c>
      <c r="C3935" s="1" t="n">
        <v>45807</v>
      </c>
      <c r="D3935" t="inlineStr">
        <is>
          <t>VÄSTERBOTTENS LÄN</t>
        </is>
      </c>
      <c r="E3935" t="inlineStr">
        <is>
          <t>SKELLEFTEÅ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12855-2025</t>
        </is>
      </c>
      <c r="B3936" s="1" t="n">
        <v>45733</v>
      </c>
      <c r="C3936" s="1" t="n">
        <v>45807</v>
      </c>
      <c r="D3936" t="inlineStr">
        <is>
          <t>VÄSTERBOTTENS LÄN</t>
        </is>
      </c>
      <c r="E3936" t="inlineStr">
        <is>
          <t>SKELLEFTEÅ</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12712-2025</t>
        </is>
      </c>
      <c r="B3937" s="1" t="n">
        <v>45733</v>
      </c>
      <c r="C3937" s="1" t="n">
        <v>45807</v>
      </c>
      <c r="D3937" t="inlineStr">
        <is>
          <t>VÄSTERBOTTENS LÄN</t>
        </is>
      </c>
      <c r="E3937" t="inlineStr">
        <is>
          <t>SKELLEFTEÅ</t>
        </is>
      </c>
      <c r="G3937" t="n">
        <v>13.6</v>
      </c>
      <c r="H3937" t="n">
        <v>0</v>
      </c>
      <c r="I3937" t="n">
        <v>0</v>
      </c>
      <c r="J3937" t="n">
        <v>0</v>
      </c>
      <c r="K3937" t="n">
        <v>0</v>
      </c>
      <c r="L3937" t="n">
        <v>0</v>
      </c>
      <c r="M3937" t="n">
        <v>0</v>
      </c>
      <c r="N3937" t="n">
        <v>0</v>
      </c>
      <c r="O3937" t="n">
        <v>0</v>
      </c>
      <c r="P3937" t="n">
        <v>0</v>
      </c>
      <c r="Q3937" t="n">
        <v>0</v>
      </c>
      <c r="R3937" s="2" t="inlineStr"/>
    </row>
    <row r="3938" ht="15" customHeight="1">
      <c r="A3938" t="inlineStr">
        <is>
          <t>A 12862-2025</t>
        </is>
      </c>
      <c r="B3938" s="1" t="n">
        <v>45733</v>
      </c>
      <c r="C3938" s="1" t="n">
        <v>45807</v>
      </c>
      <c r="D3938" t="inlineStr">
        <is>
          <t>VÄSTERBOTTENS LÄN</t>
        </is>
      </c>
      <c r="E3938" t="inlineStr">
        <is>
          <t>SKELLEFTEÅ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12713-2025</t>
        </is>
      </c>
      <c r="B3939" s="1" t="n">
        <v>45733</v>
      </c>
      <c r="C3939" s="1" t="n">
        <v>45807</v>
      </c>
      <c r="D3939" t="inlineStr">
        <is>
          <t>VÄSTERBOTTENS LÄN</t>
        </is>
      </c>
      <c r="E3939" t="inlineStr">
        <is>
          <t>SKELLEFTEÅ</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12873-2025</t>
        </is>
      </c>
      <c r="B3940" s="1" t="n">
        <v>45733</v>
      </c>
      <c r="C3940" s="1" t="n">
        <v>45807</v>
      </c>
      <c r="D3940" t="inlineStr">
        <is>
          <t>VÄSTERBOTTENS LÄN</t>
        </is>
      </c>
      <c r="E3940" t="inlineStr">
        <is>
          <t>SKELLEFTEÅ</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13126-2025</t>
        </is>
      </c>
      <c r="B3941" s="1" t="n">
        <v>45734</v>
      </c>
      <c r="C3941" s="1" t="n">
        <v>45807</v>
      </c>
      <c r="D3941" t="inlineStr">
        <is>
          <t>VÄSTERBOTTENS LÄN</t>
        </is>
      </c>
      <c r="E3941" t="inlineStr">
        <is>
          <t>SKELLEFTEÅ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12939-2025</t>
        </is>
      </c>
      <c r="B3942" s="1" t="n">
        <v>45734</v>
      </c>
      <c r="C3942" s="1" t="n">
        <v>45807</v>
      </c>
      <c r="D3942" t="inlineStr">
        <is>
          <t>VÄSTERBOTTENS LÄN</t>
        </is>
      </c>
      <c r="E3942" t="inlineStr">
        <is>
          <t>SKELLEFTEÅ</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13186-2025</t>
        </is>
      </c>
      <c r="B3943" s="1" t="n">
        <v>45735</v>
      </c>
      <c r="C3943" s="1" t="n">
        <v>45807</v>
      </c>
      <c r="D3943" t="inlineStr">
        <is>
          <t>VÄSTERBOTTENS LÄN</t>
        </is>
      </c>
      <c r="E3943" t="inlineStr">
        <is>
          <t>SKELLEFTEÅ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13203-2025</t>
        </is>
      </c>
      <c r="B3944" s="1" t="n">
        <v>45735</v>
      </c>
      <c r="C3944" s="1" t="n">
        <v>45807</v>
      </c>
      <c r="D3944" t="inlineStr">
        <is>
          <t>VÄSTERBOTTENS LÄN</t>
        </is>
      </c>
      <c r="E3944" t="inlineStr">
        <is>
          <t>SKELLEFTEÅ</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13225-2025</t>
        </is>
      </c>
      <c r="B3945" s="1" t="n">
        <v>45735</v>
      </c>
      <c r="C3945" s="1" t="n">
        <v>45807</v>
      </c>
      <c r="D3945" t="inlineStr">
        <is>
          <t>VÄSTERBOTTENS LÄN</t>
        </is>
      </c>
      <c r="E3945" t="inlineStr">
        <is>
          <t>SKELLEFTEÅ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13207-2025</t>
        </is>
      </c>
      <c r="B3946" s="1" t="n">
        <v>45735</v>
      </c>
      <c r="C3946" s="1" t="n">
        <v>45807</v>
      </c>
      <c r="D3946" t="inlineStr">
        <is>
          <t>VÄSTERBOTTENS LÄN</t>
        </is>
      </c>
      <c r="E3946" t="inlineStr">
        <is>
          <t>SKELLEFTEÅ</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13487-2025</t>
        </is>
      </c>
      <c r="B3947" s="1" t="n">
        <v>45736</v>
      </c>
      <c r="C3947" s="1" t="n">
        <v>45807</v>
      </c>
      <c r="D3947" t="inlineStr">
        <is>
          <t>VÄSTERBOTTENS LÄN</t>
        </is>
      </c>
      <c r="E3947" t="inlineStr">
        <is>
          <t>SKELLEFTEÅ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13569-2025</t>
        </is>
      </c>
      <c r="B3948" s="1" t="n">
        <v>45736</v>
      </c>
      <c r="C3948" s="1" t="n">
        <v>45807</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13649-2025</t>
        </is>
      </c>
      <c r="B3949" s="1" t="n">
        <v>45736</v>
      </c>
      <c r="C3949" s="1" t="n">
        <v>45807</v>
      </c>
      <c r="D3949" t="inlineStr">
        <is>
          <t>VÄSTERBOTTENS LÄN</t>
        </is>
      </c>
      <c r="E3949" t="inlineStr">
        <is>
          <t>SKELLEFTEÅ</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13478-2025</t>
        </is>
      </c>
      <c r="B3950" s="1" t="n">
        <v>45736</v>
      </c>
      <c r="C3950" s="1" t="n">
        <v>45807</v>
      </c>
      <c r="D3950" t="inlineStr">
        <is>
          <t>VÄSTERBOTTENS LÄN</t>
        </is>
      </c>
      <c r="E3950" t="inlineStr">
        <is>
          <t>SKELLEFTEÅ</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13493-2025</t>
        </is>
      </c>
      <c r="B3951" s="1" t="n">
        <v>45736</v>
      </c>
      <c r="C3951" s="1" t="n">
        <v>45807</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13541-2025</t>
        </is>
      </c>
      <c r="B3952" s="1" t="n">
        <v>45736</v>
      </c>
      <c r="C3952" s="1" t="n">
        <v>45807</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14016-2025</t>
        </is>
      </c>
      <c r="B3953" s="1" t="n">
        <v>45740</v>
      </c>
      <c r="C3953" s="1" t="n">
        <v>45807</v>
      </c>
      <c r="D3953" t="inlineStr">
        <is>
          <t>VÄSTERBOTTENS LÄN</t>
        </is>
      </c>
      <c r="E3953" t="inlineStr">
        <is>
          <t>SKELLEFTEÅ</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14013-2025</t>
        </is>
      </c>
      <c r="B3954" s="1" t="n">
        <v>45740</v>
      </c>
      <c r="C3954" s="1" t="n">
        <v>45807</v>
      </c>
      <c r="D3954" t="inlineStr">
        <is>
          <t>VÄSTERBOTTENS LÄN</t>
        </is>
      </c>
      <c r="E3954" t="inlineStr">
        <is>
          <t>SKELLEFTEÅ</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14238-2025</t>
        </is>
      </c>
      <c r="B3955" s="1" t="n">
        <v>45740</v>
      </c>
      <c r="C3955" s="1" t="n">
        <v>45807</v>
      </c>
      <c r="D3955" t="inlineStr">
        <is>
          <t>VÄSTERBOTTENS LÄN</t>
        </is>
      </c>
      <c r="E3955" t="inlineStr">
        <is>
          <t>SKELLEFTEÅ</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14308-2025</t>
        </is>
      </c>
      <c r="B3956" s="1" t="n">
        <v>45740</v>
      </c>
      <c r="C3956" s="1" t="n">
        <v>45807</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14384-2025</t>
        </is>
      </c>
      <c r="B3957" s="1" t="n">
        <v>45741</v>
      </c>
      <c r="C3957" s="1" t="n">
        <v>45807</v>
      </c>
      <c r="D3957" t="inlineStr">
        <is>
          <t>VÄSTERBOTTENS LÄN</t>
        </is>
      </c>
      <c r="E3957" t="inlineStr">
        <is>
          <t>SKELLEFTEÅ</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14385-2025</t>
        </is>
      </c>
      <c r="B3958" s="1" t="n">
        <v>45741</v>
      </c>
      <c r="C3958" s="1" t="n">
        <v>45807</v>
      </c>
      <c r="D3958" t="inlineStr">
        <is>
          <t>VÄSTERBOTTENS LÄN</t>
        </is>
      </c>
      <c r="E3958" t="inlineStr">
        <is>
          <t>SKELLEFTEÅ</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14386-2025</t>
        </is>
      </c>
      <c r="B3959" s="1" t="n">
        <v>45741</v>
      </c>
      <c r="C3959" s="1" t="n">
        <v>45807</v>
      </c>
      <c r="D3959" t="inlineStr">
        <is>
          <t>VÄSTERBOTTENS LÄN</t>
        </is>
      </c>
      <c r="E3959" t="inlineStr">
        <is>
          <t>SKELLEFTEÅ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14347-2025</t>
        </is>
      </c>
      <c r="B3960" s="1" t="n">
        <v>45741</v>
      </c>
      <c r="C3960" s="1" t="n">
        <v>45807</v>
      </c>
      <c r="D3960" t="inlineStr">
        <is>
          <t>VÄSTERBOTTENS LÄN</t>
        </is>
      </c>
      <c r="E3960" t="inlineStr">
        <is>
          <t>SKELLEFTEÅ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14394-2025</t>
        </is>
      </c>
      <c r="B3961" s="1" t="n">
        <v>45741</v>
      </c>
      <c r="C3961" s="1" t="n">
        <v>45807</v>
      </c>
      <c r="D3961" t="inlineStr">
        <is>
          <t>VÄSTERBOTTENS LÄN</t>
        </is>
      </c>
      <c r="E3961" t="inlineStr">
        <is>
          <t>SKELLEFTEÅ</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14346-2025</t>
        </is>
      </c>
      <c r="B3962" s="1" t="n">
        <v>45741</v>
      </c>
      <c r="C3962" s="1" t="n">
        <v>45807</v>
      </c>
      <c r="D3962" t="inlineStr">
        <is>
          <t>VÄSTERBOTTENS LÄN</t>
        </is>
      </c>
      <c r="E3962" t="inlineStr">
        <is>
          <t>SKELLEFTEÅ</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14774-2025</t>
        </is>
      </c>
      <c r="B3963" s="1" t="n">
        <v>45742</v>
      </c>
      <c r="C3963" s="1" t="n">
        <v>45807</v>
      </c>
      <c r="D3963" t="inlineStr">
        <is>
          <t>VÄSTERBOTTENS LÄN</t>
        </is>
      </c>
      <c r="E3963" t="inlineStr">
        <is>
          <t>SKELLEFTEÅ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14846-2025</t>
        </is>
      </c>
      <c r="B3964" s="1" t="n">
        <v>45743</v>
      </c>
      <c r="C3964" s="1" t="n">
        <v>45807</v>
      </c>
      <c r="D3964" t="inlineStr">
        <is>
          <t>VÄSTERBOTTENS LÄN</t>
        </is>
      </c>
      <c r="E3964" t="inlineStr">
        <is>
          <t>SKELLEFTEÅ</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15116-2025</t>
        </is>
      </c>
      <c r="B3965" s="1" t="n">
        <v>45744</v>
      </c>
      <c r="C3965" s="1" t="n">
        <v>45807</v>
      </c>
      <c r="D3965" t="inlineStr">
        <is>
          <t>VÄSTERBOTTENS LÄN</t>
        </is>
      </c>
      <c r="E3965" t="inlineStr">
        <is>
          <t>SKELLEFTEÅ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15138-2025</t>
        </is>
      </c>
      <c r="B3966" s="1" t="n">
        <v>45744</v>
      </c>
      <c r="C3966" s="1" t="n">
        <v>45807</v>
      </c>
      <c r="D3966" t="inlineStr">
        <is>
          <t>VÄSTERBOTTENS LÄN</t>
        </is>
      </c>
      <c r="E3966" t="inlineStr">
        <is>
          <t>SKELLEFTEÅ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15089-2025</t>
        </is>
      </c>
      <c r="B3967" s="1" t="n">
        <v>45744</v>
      </c>
      <c r="C3967" s="1" t="n">
        <v>45807</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15136-2025</t>
        </is>
      </c>
      <c r="B3968" s="1" t="n">
        <v>45744</v>
      </c>
      <c r="C3968" s="1" t="n">
        <v>45807</v>
      </c>
      <c r="D3968" t="inlineStr">
        <is>
          <t>VÄSTERBOTTENS LÄN</t>
        </is>
      </c>
      <c r="E3968" t="inlineStr">
        <is>
          <t>SKELLEFTEÅ</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15218-2025</t>
        </is>
      </c>
      <c r="B3969" s="1" t="n">
        <v>45744</v>
      </c>
      <c r="C3969" s="1" t="n">
        <v>45807</v>
      </c>
      <c r="D3969" t="inlineStr">
        <is>
          <t>VÄSTERBOTTENS LÄN</t>
        </is>
      </c>
      <c r="E3969" t="inlineStr">
        <is>
          <t>SKELLEFTEÅ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15225-2025</t>
        </is>
      </c>
      <c r="B3970" s="1" t="n">
        <v>45744</v>
      </c>
      <c r="C3970" s="1" t="n">
        <v>45807</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15245-2025</t>
        </is>
      </c>
      <c r="B3971" s="1" t="n">
        <v>45744</v>
      </c>
      <c r="C3971" s="1" t="n">
        <v>45807</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15137-2025</t>
        </is>
      </c>
      <c r="B3972" s="1" t="n">
        <v>45744</v>
      </c>
      <c r="C3972" s="1" t="n">
        <v>45807</v>
      </c>
      <c r="D3972" t="inlineStr">
        <is>
          <t>VÄSTERBOTTENS LÄN</t>
        </is>
      </c>
      <c r="E3972" t="inlineStr">
        <is>
          <t>SKELLEFTEÅ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15301-2025</t>
        </is>
      </c>
      <c r="B3973" s="1" t="n">
        <v>45746</v>
      </c>
      <c r="C3973" s="1" t="n">
        <v>45807</v>
      </c>
      <c r="D3973" t="inlineStr">
        <is>
          <t>VÄSTERBOTTENS LÄN</t>
        </is>
      </c>
      <c r="E3973" t="inlineStr">
        <is>
          <t>SKELLEFTEÅ</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15461-2025</t>
        </is>
      </c>
      <c r="B3974" s="1" t="n">
        <v>45747</v>
      </c>
      <c r="C3974" s="1" t="n">
        <v>45807</v>
      </c>
      <c r="D3974" t="inlineStr">
        <is>
          <t>VÄSTERBOTTENS LÄN</t>
        </is>
      </c>
      <c r="E3974" t="inlineStr">
        <is>
          <t>SKELLEFTEÅ</t>
        </is>
      </c>
      <c r="F3974" t="inlineStr">
        <is>
          <t>Holmen skog AB</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15360-2025</t>
        </is>
      </c>
      <c r="B3975" s="1" t="n">
        <v>45747</v>
      </c>
      <c r="C3975" s="1" t="n">
        <v>45807</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15542-2025</t>
        </is>
      </c>
      <c r="B3976" s="1" t="n">
        <v>45747</v>
      </c>
      <c r="C3976" s="1" t="n">
        <v>45807</v>
      </c>
      <c r="D3976" t="inlineStr">
        <is>
          <t>VÄSTERBOTTENS LÄN</t>
        </is>
      </c>
      <c r="E3976" t="inlineStr">
        <is>
          <t>SKELLEFTEÅ</t>
        </is>
      </c>
      <c r="F3976" t="inlineStr">
        <is>
          <t>Övriga Aktiebolag</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15745-2025</t>
        </is>
      </c>
      <c r="B3977" s="1" t="n">
        <v>45748</v>
      </c>
      <c r="C3977" s="1" t="n">
        <v>45807</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16186-2025</t>
        </is>
      </c>
      <c r="B3978" s="1" t="n">
        <v>45749</v>
      </c>
      <c r="C3978" s="1" t="n">
        <v>45807</v>
      </c>
      <c r="D3978" t="inlineStr">
        <is>
          <t>VÄSTERBOTTENS LÄN</t>
        </is>
      </c>
      <c r="E3978" t="inlineStr">
        <is>
          <t>SKELLEFTEÅ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16202-2025</t>
        </is>
      </c>
      <c r="B3979" s="1" t="n">
        <v>45750</v>
      </c>
      <c r="C3979" s="1" t="n">
        <v>45807</v>
      </c>
      <c r="D3979" t="inlineStr">
        <is>
          <t>VÄSTERBOTTENS LÄN</t>
        </is>
      </c>
      <c r="E3979" t="inlineStr">
        <is>
          <t>SKELLEFTEÅ</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16249-2025</t>
        </is>
      </c>
      <c r="B3980" s="1" t="n">
        <v>45750</v>
      </c>
      <c r="C3980" s="1" t="n">
        <v>45807</v>
      </c>
      <c r="D3980" t="inlineStr">
        <is>
          <t>VÄSTERBOTTENS LÄN</t>
        </is>
      </c>
      <c r="E3980" t="inlineStr">
        <is>
          <t>SKELLEFTEÅ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16251-2025</t>
        </is>
      </c>
      <c r="B3981" s="1" t="n">
        <v>45750</v>
      </c>
      <c r="C3981" s="1" t="n">
        <v>45807</v>
      </c>
      <c r="D3981" t="inlineStr">
        <is>
          <t>VÄSTERBOTTENS LÄN</t>
        </is>
      </c>
      <c r="E3981" t="inlineStr">
        <is>
          <t>SKELLEFTEÅ</t>
        </is>
      </c>
      <c r="F3981" t="inlineStr">
        <is>
          <t>Kommuner</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16156-2025</t>
        </is>
      </c>
      <c r="B3982" s="1" t="n">
        <v>45750</v>
      </c>
      <c r="C3982" s="1" t="n">
        <v>45807</v>
      </c>
      <c r="D3982" t="inlineStr">
        <is>
          <t>VÄSTERBOTTENS LÄN</t>
        </is>
      </c>
      <c r="E3982" t="inlineStr">
        <is>
          <t>SKELLEFTEÅ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16248-2025</t>
        </is>
      </c>
      <c r="B3983" s="1" t="n">
        <v>45750</v>
      </c>
      <c r="C3983" s="1" t="n">
        <v>45807</v>
      </c>
      <c r="D3983" t="inlineStr">
        <is>
          <t>VÄSTERBOTTENS LÄN</t>
        </is>
      </c>
      <c r="E3983" t="inlineStr">
        <is>
          <t>SKELLEFTEÅ</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16130-2025</t>
        </is>
      </c>
      <c r="B3984" s="1" t="n">
        <v>45750</v>
      </c>
      <c r="C3984" s="1" t="n">
        <v>45807</v>
      </c>
      <c r="D3984" t="inlineStr">
        <is>
          <t>VÄSTERBOTTENS LÄN</t>
        </is>
      </c>
      <c r="E3984" t="inlineStr">
        <is>
          <t>SKELLEFTEÅ</t>
        </is>
      </c>
      <c r="G3984" t="n">
        <v>21.9</v>
      </c>
      <c r="H3984" t="n">
        <v>0</v>
      </c>
      <c r="I3984" t="n">
        <v>0</v>
      </c>
      <c r="J3984" t="n">
        <v>0</v>
      </c>
      <c r="K3984" t="n">
        <v>0</v>
      </c>
      <c r="L3984" t="n">
        <v>0</v>
      </c>
      <c r="M3984" t="n">
        <v>0</v>
      </c>
      <c r="N3984" t="n">
        <v>0</v>
      </c>
      <c r="O3984" t="n">
        <v>0</v>
      </c>
      <c r="P3984" t="n">
        <v>0</v>
      </c>
      <c r="Q3984" t="n">
        <v>0</v>
      </c>
      <c r="R3984" s="2" t="inlineStr"/>
    </row>
    <row r="3985" ht="15" customHeight="1">
      <c r="A3985" t="inlineStr">
        <is>
          <t>A 16190-2025</t>
        </is>
      </c>
      <c r="B3985" s="1" t="n">
        <v>45750</v>
      </c>
      <c r="C3985" s="1" t="n">
        <v>45807</v>
      </c>
      <c r="D3985" t="inlineStr">
        <is>
          <t>VÄSTERBOTTENS LÄN</t>
        </is>
      </c>
      <c r="E3985" t="inlineStr">
        <is>
          <t>SKELLEFTEÅ</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16219-2025</t>
        </is>
      </c>
      <c r="B3986" s="1" t="n">
        <v>45750</v>
      </c>
      <c r="C3986" s="1" t="n">
        <v>45807</v>
      </c>
      <c r="D3986" t="inlineStr">
        <is>
          <t>VÄSTERBOTTENS LÄN</t>
        </is>
      </c>
      <c r="E3986" t="inlineStr">
        <is>
          <t>SKELLEFTEÅ</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16261-2025</t>
        </is>
      </c>
      <c r="B3987" s="1" t="n">
        <v>45750</v>
      </c>
      <c r="C3987" s="1" t="n">
        <v>45807</v>
      </c>
      <c r="D3987" t="inlineStr">
        <is>
          <t>VÄSTERBOTTENS LÄN</t>
        </is>
      </c>
      <c r="E3987" t="inlineStr">
        <is>
          <t>SKELLEFTEÅ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16201-2025</t>
        </is>
      </c>
      <c r="B3988" s="1" t="n">
        <v>45750</v>
      </c>
      <c r="C3988" s="1" t="n">
        <v>45807</v>
      </c>
      <c r="D3988" t="inlineStr">
        <is>
          <t>VÄSTERBOTTENS LÄN</t>
        </is>
      </c>
      <c r="E3988" t="inlineStr">
        <is>
          <t>SKELLEFTEÅ</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16226-2025</t>
        </is>
      </c>
      <c r="B3989" s="1" t="n">
        <v>45750</v>
      </c>
      <c r="C3989" s="1" t="n">
        <v>45807</v>
      </c>
      <c r="D3989" t="inlineStr">
        <is>
          <t>VÄSTERBOTTENS LÄN</t>
        </is>
      </c>
      <c r="E3989" t="inlineStr">
        <is>
          <t>SKELLEFTEÅ</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16457-2025</t>
        </is>
      </c>
      <c r="B3990" s="1" t="n">
        <v>45750</v>
      </c>
      <c r="C3990" s="1" t="n">
        <v>45807</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16461-2025</t>
        </is>
      </c>
      <c r="B3991" s="1" t="n">
        <v>45750</v>
      </c>
      <c r="C3991" s="1" t="n">
        <v>45807</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16443-2025</t>
        </is>
      </c>
      <c r="B3992" s="1" t="n">
        <v>45750</v>
      </c>
      <c r="C3992" s="1" t="n">
        <v>45807</v>
      </c>
      <c r="D3992" t="inlineStr">
        <is>
          <t>VÄSTERBOTTENS LÄN</t>
        </is>
      </c>
      <c r="E3992" t="inlineStr">
        <is>
          <t>SKELLEFTEÅ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16257-2025</t>
        </is>
      </c>
      <c r="B3993" s="1" t="n">
        <v>45750</v>
      </c>
      <c r="C3993" s="1" t="n">
        <v>45807</v>
      </c>
      <c r="D3993" t="inlineStr">
        <is>
          <t>VÄSTERBOTTENS LÄN</t>
        </is>
      </c>
      <c r="E3993" t="inlineStr">
        <is>
          <t>SKELLEFTEÅ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16236-2025</t>
        </is>
      </c>
      <c r="B3994" s="1" t="n">
        <v>45750</v>
      </c>
      <c r="C3994" s="1" t="n">
        <v>45807</v>
      </c>
      <c r="D3994" t="inlineStr">
        <is>
          <t>VÄSTERBOTTENS LÄN</t>
        </is>
      </c>
      <c r="E3994" t="inlineStr">
        <is>
          <t>SKELLEFTEÅ</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16539-2025</t>
        </is>
      </c>
      <c r="B3995" s="1" t="n">
        <v>45751</v>
      </c>
      <c r="C3995" s="1" t="n">
        <v>45807</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16900-2025</t>
        </is>
      </c>
      <c r="B3996" s="1" t="n">
        <v>45751</v>
      </c>
      <c r="C3996" s="1" t="n">
        <v>45807</v>
      </c>
      <c r="D3996" t="inlineStr">
        <is>
          <t>VÄSTERBOTTENS LÄN</t>
        </is>
      </c>
      <c r="E3996" t="inlineStr">
        <is>
          <t>SKELLEFTEÅ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16706-2025</t>
        </is>
      </c>
      <c r="B3997" s="1" t="n">
        <v>45751</v>
      </c>
      <c r="C3997" s="1" t="n">
        <v>45807</v>
      </c>
      <c r="D3997" t="inlineStr">
        <is>
          <t>VÄSTERBOTTENS LÄN</t>
        </is>
      </c>
      <c r="E3997" t="inlineStr">
        <is>
          <t>SKELLEFTEÅ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16899-2025</t>
        </is>
      </c>
      <c r="B3998" s="1" t="n">
        <v>45751</v>
      </c>
      <c r="C3998" s="1" t="n">
        <v>45807</v>
      </c>
      <c r="D3998" t="inlineStr">
        <is>
          <t>VÄSTERBOTTENS LÄN</t>
        </is>
      </c>
      <c r="E3998" t="inlineStr">
        <is>
          <t>SKELLEFTEÅ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16410-2025</t>
        </is>
      </c>
      <c r="B3999" s="1" t="n">
        <v>45751</v>
      </c>
      <c r="C3999" s="1" t="n">
        <v>45807</v>
      </c>
      <c r="D3999" t="inlineStr">
        <is>
          <t>VÄSTERBOTTENS LÄN</t>
        </is>
      </c>
      <c r="E3999" t="inlineStr">
        <is>
          <t>SKELLEFTEÅ</t>
        </is>
      </c>
      <c r="G3999" t="n">
        <v>1.1</v>
      </c>
      <c r="H3999" t="n">
        <v>0</v>
      </c>
      <c r="I3999" t="n">
        <v>0</v>
      </c>
      <c r="J3999" t="n">
        <v>0</v>
      </c>
      <c r="K3999" t="n">
        <v>0</v>
      </c>
      <c r="L3999" t="n">
        <v>0</v>
      </c>
      <c r="M3999" t="n">
        <v>0</v>
      </c>
      <c r="N3999" t="n">
        <v>0</v>
      </c>
      <c r="O3999" t="n">
        <v>0</v>
      </c>
      <c r="P3999" t="n">
        <v>0</v>
      </c>
      <c r="Q3999" t="n">
        <v>0</v>
      </c>
      <c r="R3999" s="2" t="inlineStr"/>
      <c r="U3999">
        <f>HYPERLINK("https://klasma.github.io/Logging_242482/knärot/A 16410-2025 karta knärot.png", "A 16410-2025")</f>
        <v/>
      </c>
      <c r="V3999">
        <f>HYPERLINK("https://klasma.github.io/Logging_242482/klagomål/A 16410-2025 FSC-klagomål.docx", "A 16410-2025")</f>
        <v/>
      </c>
      <c r="W3999">
        <f>HYPERLINK("https://klasma.github.io/Logging_242482/klagomålsmail/A 16410-2025 FSC-klagomål mail.docx", "A 16410-2025")</f>
        <v/>
      </c>
      <c r="X3999">
        <f>HYPERLINK("https://klasma.github.io/Logging_242482/tillsyn/A 16410-2025 tillsynsbegäran.docx", "A 16410-2025")</f>
        <v/>
      </c>
      <c r="Y3999">
        <f>HYPERLINK("https://klasma.github.io/Logging_242482/tillsynsmail/A 16410-2025 tillsynsbegäran mail.docx", "A 16410-2025")</f>
        <v/>
      </c>
    </row>
    <row r="4000" ht="15" customHeight="1">
      <c r="A4000" t="inlineStr">
        <is>
          <t>A 16403-2025</t>
        </is>
      </c>
      <c r="B4000" s="1" t="n">
        <v>45751</v>
      </c>
      <c r="C4000" s="1" t="n">
        <v>45807</v>
      </c>
      <c r="D4000" t="inlineStr">
        <is>
          <t>VÄSTERBOTTENS LÄN</t>
        </is>
      </c>
      <c r="E4000" t="inlineStr">
        <is>
          <t>SKELLEFTEÅ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16437-2025</t>
        </is>
      </c>
      <c r="B4001" s="1" t="n">
        <v>45751</v>
      </c>
      <c r="C4001" s="1" t="n">
        <v>45807</v>
      </c>
      <c r="D4001" t="inlineStr">
        <is>
          <t>VÄSTERBOTTENS LÄN</t>
        </is>
      </c>
      <c r="E4001" t="inlineStr">
        <is>
          <t>SKELLEFTEÅ</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16707-2025</t>
        </is>
      </c>
      <c r="B4002" s="1" t="n">
        <v>45751</v>
      </c>
      <c r="C4002" s="1" t="n">
        <v>45807</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16708-2025</t>
        </is>
      </c>
      <c r="B4003" s="1" t="n">
        <v>45751</v>
      </c>
      <c r="C4003" s="1" t="n">
        <v>45807</v>
      </c>
      <c r="D4003" t="inlineStr">
        <is>
          <t>VÄSTERBOTTENS LÄN</t>
        </is>
      </c>
      <c r="E4003" t="inlineStr">
        <is>
          <t>SKELLEFTEÅ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16355-2025</t>
        </is>
      </c>
      <c r="B4004" s="1" t="n">
        <v>45751</v>
      </c>
      <c r="C4004" s="1" t="n">
        <v>45807</v>
      </c>
      <c r="D4004" t="inlineStr">
        <is>
          <t>VÄSTERBOTTENS LÄN</t>
        </is>
      </c>
      <c r="E4004" t="inlineStr">
        <is>
          <t>SKELLEFTEÅ</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16415-2025</t>
        </is>
      </c>
      <c r="B4005" s="1" t="n">
        <v>45751</v>
      </c>
      <c r="C4005" s="1" t="n">
        <v>45807</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16416-2025</t>
        </is>
      </c>
      <c r="B4006" s="1" t="n">
        <v>45751</v>
      </c>
      <c r="C4006" s="1" t="n">
        <v>45807</v>
      </c>
      <c r="D4006" t="inlineStr">
        <is>
          <t>VÄSTERBOTTENS LÄN</t>
        </is>
      </c>
      <c r="E4006" t="inlineStr">
        <is>
          <t>SKELLEFTEÅ</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16409-2025</t>
        </is>
      </c>
      <c r="B4007" s="1" t="n">
        <v>45751</v>
      </c>
      <c r="C4007" s="1" t="n">
        <v>45807</v>
      </c>
      <c r="D4007" t="inlineStr">
        <is>
          <t>VÄSTERBOTTENS LÄN</t>
        </is>
      </c>
      <c r="E4007" t="inlineStr">
        <is>
          <t>SKELLEFTEÅ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16602-2025</t>
        </is>
      </c>
      <c r="B4008" s="1" t="n">
        <v>45753</v>
      </c>
      <c r="C4008" s="1" t="n">
        <v>45807</v>
      </c>
      <c r="D4008" t="inlineStr">
        <is>
          <t>VÄSTERBOTTENS LÄN</t>
        </is>
      </c>
      <c r="E4008" t="inlineStr">
        <is>
          <t>SKELLEFTEÅ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16604-2025</t>
        </is>
      </c>
      <c r="B4009" s="1" t="n">
        <v>45753</v>
      </c>
      <c r="C4009" s="1" t="n">
        <v>45807</v>
      </c>
      <c r="D4009" t="inlineStr">
        <is>
          <t>VÄSTERBOTTENS LÄN</t>
        </is>
      </c>
      <c r="E4009" t="inlineStr">
        <is>
          <t>SKELLEFTEÅ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16663-2025</t>
        </is>
      </c>
      <c r="B4010" s="1" t="n">
        <v>45754</v>
      </c>
      <c r="C4010" s="1" t="n">
        <v>45807</v>
      </c>
      <c r="D4010" t="inlineStr">
        <is>
          <t>VÄSTERBOTTENS LÄN</t>
        </is>
      </c>
      <c r="E4010" t="inlineStr">
        <is>
          <t>SKELLEFTEÅ</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16672-2025</t>
        </is>
      </c>
      <c r="B4011" s="1" t="n">
        <v>45754</v>
      </c>
      <c r="C4011" s="1" t="n">
        <v>45807</v>
      </c>
      <c r="D4011" t="inlineStr">
        <is>
          <t>VÄSTERBOTTENS LÄN</t>
        </is>
      </c>
      <c r="E4011" t="inlineStr">
        <is>
          <t>SKELLEFTEÅ</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17010-2025</t>
        </is>
      </c>
      <c r="B4012" s="1" t="n">
        <v>45754</v>
      </c>
      <c r="C4012" s="1" t="n">
        <v>45807</v>
      </c>
      <c r="D4012" t="inlineStr">
        <is>
          <t>VÄSTERBOTTENS LÄN</t>
        </is>
      </c>
      <c r="E4012" t="inlineStr">
        <is>
          <t>SKELLEFTEÅ</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16856-2025</t>
        </is>
      </c>
      <c r="B4013" s="1" t="n">
        <v>45754</v>
      </c>
      <c r="C4013" s="1" t="n">
        <v>45807</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16760-2025</t>
        </is>
      </c>
      <c r="B4014" s="1" t="n">
        <v>45754</v>
      </c>
      <c r="C4014" s="1" t="n">
        <v>45807</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16642-2025</t>
        </is>
      </c>
      <c r="B4015" s="1" t="n">
        <v>45754</v>
      </c>
      <c r="C4015" s="1" t="n">
        <v>45807</v>
      </c>
      <c r="D4015" t="inlineStr">
        <is>
          <t>VÄSTERBOTTENS LÄN</t>
        </is>
      </c>
      <c r="E4015" t="inlineStr">
        <is>
          <t>SKELLEFTEÅ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17008-2025</t>
        </is>
      </c>
      <c r="B4016" s="1" t="n">
        <v>45755</v>
      </c>
      <c r="C4016" s="1" t="n">
        <v>45807</v>
      </c>
      <c r="D4016" t="inlineStr">
        <is>
          <t>VÄSTERBOTTENS LÄN</t>
        </is>
      </c>
      <c r="E4016" t="inlineStr">
        <is>
          <t>SKELLEFTEÅ</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17015-2025</t>
        </is>
      </c>
      <c r="B4017" s="1" t="n">
        <v>45755</v>
      </c>
      <c r="C4017" s="1" t="n">
        <v>45807</v>
      </c>
      <c r="D4017" t="inlineStr">
        <is>
          <t>VÄSTERBOTTENS LÄN</t>
        </is>
      </c>
      <c r="E4017" t="inlineStr">
        <is>
          <t>SKELLEFTEÅ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17134-2025</t>
        </is>
      </c>
      <c r="B4018" s="1" t="n">
        <v>45755</v>
      </c>
      <c r="C4018" s="1" t="n">
        <v>45807</v>
      </c>
      <c r="D4018" t="inlineStr">
        <is>
          <t>VÄSTERBOTTENS LÄN</t>
        </is>
      </c>
      <c r="E4018" t="inlineStr">
        <is>
          <t>SKELLEFTEÅ</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17005-2025</t>
        </is>
      </c>
      <c r="B4019" s="1" t="n">
        <v>45755</v>
      </c>
      <c r="C4019" s="1" t="n">
        <v>45807</v>
      </c>
      <c r="D4019" t="inlineStr">
        <is>
          <t>VÄSTERBOTTENS LÄN</t>
        </is>
      </c>
      <c r="E4019" t="inlineStr">
        <is>
          <t>SKELLEFTEÅ</t>
        </is>
      </c>
      <c r="G4019" t="n">
        <v>15.4</v>
      </c>
      <c r="H4019" t="n">
        <v>0</v>
      </c>
      <c r="I4019" t="n">
        <v>0</v>
      </c>
      <c r="J4019" t="n">
        <v>0</v>
      </c>
      <c r="K4019" t="n">
        <v>0</v>
      </c>
      <c r="L4019" t="n">
        <v>0</v>
      </c>
      <c r="M4019" t="n">
        <v>0</v>
      </c>
      <c r="N4019" t="n">
        <v>0</v>
      </c>
      <c r="O4019" t="n">
        <v>0</v>
      </c>
      <c r="P4019" t="n">
        <v>0</v>
      </c>
      <c r="Q4019" t="n">
        <v>0</v>
      </c>
      <c r="R4019" s="2" t="inlineStr"/>
    </row>
    <row r="4020" ht="15" customHeight="1">
      <c r="A4020" t="inlineStr">
        <is>
          <t>A 17168-2025</t>
        </is>
      </c>
      <c r="B4020" s="1" t="n">
        <v>45755</v>
      </c>
      <c r="C4020" s="1" t="n">
        <v>45807</v>
      </c>
      <c r="D4020" t="inlineStr">
        <is>
          <t>VÄSTERBOTTENS LÄN</t>
        </is>
      </c>
      <c r="E4020" t="inlineStr">
        <is>
          <t>SKELLEFTEÅ</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16971-2025</t>
        </is>
      </c>
      <c r="B4021" s="1" t="n">
        <v>45755</v>
      </c>
      <c r="C4021" s="1" t="n">
        <v>45807</v>
      </c>
      <c r="D4021" t="inlineStr">
        <is>
          <t>VÄSTERBOTTENS LÄN</t>
        </is>
      </c>
      <c r="E4021" t="inlineStr">
        <is>
          <t>SKELLEFTEÅ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17173-2025</t>
        </is>
      </c>
      <c r="B4022" s="1" t="n">
        <v>45756</v>
      </c>
      <c r="C4022" s="1" t="n">
        <v>45807</v>
      </c>
      <c r="D4022" t="inlineStr">
        <is>
          <t>VÄSTERBOTTENS LÄN</t>
        </is>
      </c>
      <c r="E4022" t="inlineStr">
        <is>
          <t>SKELLEFTEÅ</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17182-2025</t>
        </is>
      </c>
      <c r="B4023" s="1" t="n">
        <v>45756</v>
      </c>
      <c r="C4023" s="1" t="n">
        <v>45807</v>
      </c>
      <c r="D4023" t="inlineStr">
        <is>
          <t>VÄSTERBOTTENS LÄN</t>
        </is>
      </c>
      <c r="E4023" t="inlineStr">
        <is>
          <t>SKELLEFTEÅ</t>
        </is>
      </c>
      <c r="F4023" t="inlineStr">
        <is>
          <t>Holmen skog AB</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17160-2025</t>
        </is>
      </c>
      <c r="B4024" s="1" t="n">
        <v>45756</v>
      </c>
      <c r="C4024" s="1" t="n">
        <v>45807</v>
      </c>
      <c r="D4024" t="inlineStr">
        <is>
          <t>VÄSTERBOTTENS LÄN</t>
        </is>
      </c>
      <c r="E4024" t="inlineStr">
        <is>
          <t>SKELLEFTEÅ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17154-2025</t>
        </is>
      </c>
      <c r="B4025" s="1" t="n">
        <v>45756</v>
      </c>
      <c r="C4025" s="1" t="n">
        <v>45807</v>
      </c>
      <c r="D4025" t="inlineStr">
        <is>
          <t>VÄSTERBOTTENS LÄN</t>
        </is>
      </c>
      <c r="E4025" t="inlineStr">
        <is>
          <t>SKELLEFTEÅ</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17162-2025</t>
        </is>
      </c>
      <c r="B4026" s="1" t="n">
        <v>45756</v>
      </c>
      <c r="C4026" s="1" t="n">
        <v>45807</v>
      </c>
      <c r="D4026" t="inlineStr">
        <is>
          <t>VÄSTERBOTTENS LÄN</t>
        </is>
      </c>
      <c r="E4026" t="inlineStr">
        <is>
          <t>SKELLEFTEÅ</t>
        </is>
      </c>
      <c r="G4026" t="n">
        <v>23.9</v>
      </c>
      <c r="H4026" t="n">
        <v>0</v>
      </c>
      <c r="I4026" t="n">
        <v>0</v>
      </c>
      <c r="J4026" t="n">
        <v>0</v>
      </c>
      <c r="K4026" t="n">
        <v>0</v>
      </c>
      <c r="L4026" t="n">
        <v>0</v>
      </c>
      <c r="M4026" t="n">
        <v>0</v>
      </c>
      <c r="N4026" t="n">
        <v>0</v>
      </c>
      <c r="O4026" t="n">
        <v>0</v>
      </c>
      <c r="P4026" t="n">
        <v>0</v>
      </c>
      <c r="Q4026" t="n">
        <v>0</v>
      </c>
      <c r="R4026" s="2" t="inlineStr"/>
    </row>
    <row r="4027" ht="15" customHeight="1">
      <c r="A4027" t="inlineStr">
        <is>
          <t>A 17628-2025</t>
        </is>
      </c>
      <c r="B4027" s="1" t="n">
        <v>45758</v>
      </c>
      <c r="C4027" s="1" t="n">
        <v>45807</v>
      </c>
      <c r="D4027" t="inlineStr">
        <is>
          <t>VÄSTERBOTTENS LÄN</t>
        </is>
      </c>
      <c r="E4027" t="inlineStr">
        <is>
          <t>SKELLEFTEÅ</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17561-2025</t>
        </is>
      </c>
      <c r="B4028" s="1" t="n">
        <v>45757</v>
      </c>
      <c r="C4028" s="1" t="n">
        <v>45807</v>
      </c>
      <c r="D4028" t="inlineStr">
        <is>
          <t>VÄSTERBOTTENS LÄN</t>
        </is>
      </c>
      <c r="E4028" t="inlineStr">
        <is>
          <t>SKELLEFTEÅ</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17874-2025</t>
        </is>
      </c>
      <c r="B4029" s="1" t="n">
        <v>45758</v>
      </c>
      <c r="C4029" s="1" t="n">
        <v>45807</v>
      </c>
      <c r="D4029" t="inlineStr">
        <is>
          <t>VÄSTERBOTTENS LÄN</t>
        </is>
      </c>
      <c r="E4029" t="inlineStr">
        <is>
          <t>SKELLEFTEÅ</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17859-2025</t>
        </is>
      </c>
      <c r="B4030" s="1" t="n">
        <v>45758</v>
      </c>
      <c r="C4030" s="1" t="n">
        <v>45807</v>
      </c>
      <c r="D4030" t="inlineStr">
        <is>
          <t>VÄSTERBOTTENS LÄN</t>
        </is>
      </c>
      <c r="E4030" t="inlineStr">
        <is>
          <t>SKELLEFTEÅ</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18033-2025</t>
        </is>
      </c>
      <c r="B4031" s="1" t="n">
        <v>45761</v>
      </c>
      <c r="C4031" s="1" t="n">
        <v>45807</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18082-2025</t>
        </is>
      </c>
      <c r="B4032" s="1" t="n">
        <v>45761</v>
      </c>
      <c r="C4032" s="1" t="n">
        <v>45807</v>
      </c>
      <c r="D4032" t="inlineStr">
        <is>
          <t>VÄSTERBOTTENS LÄN</t>
        </is>
      </c>
      <c r="E4032" t="inlineStr">
        <is>
          <t>SKELLEFTEÅ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18030-2025</t>
        </is>
      </c>
      <c r="B4033" s="1" t="n">
        <v>45761</v>
      </c>
      <c r="C4033" s="1" t="n">
        <v>45807</v>
      </c>
      <c r="D4033" t="inlineStr">
        <is>
          <t>VÄSTERBOTTENS LÄN</t>
        </is>
      </c>
      <c r="E4033" t="inlineStr">
        <is>
          <t>SKELLEFTEÅ</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18167-2025</t>
        </is>
      </c>
      <c r="B4034" s="1" t="n">
        <v>45761</v>
      </c>
      <c r="C4034" s="1" t="n">
        <v>45807</v>
      </c>
      <c r="D4034" t="inlineStr">
        <is>
          <t>VÄSTERBOTTENS LÄN</t>
        </is>
      </c>
      <c r="E4034" t="inlineStr">
        <is>
          <t>SKELLEFTEÅ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18023-2025</t>
        </is>
      </c>
      <c r="B4035" s="1" t="n">
        <v>45761</v>
      </c>
      <c r="C4035" s="1" t="n">
        <v>45807</v>
      </c>
      <c r="D4035" t="inlineStr">
        <is>
          <t>VÄSTERBOTTENS LÄN</t>
        </is>
      </c>
      <c r="E4035" t="inlineStr">
        <is>
          <t>SKELLEFTEÅ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18098-2025</t>
        </is>
      </c>
      <c r="B4036" s="1" t="n">
        <v>45761</v>
      </c>
      <c r="C4036" s="1" t="n">
        <v>45807</v>
      </c>
      <c r="D4036" t="inlineStr">
        <is>
          <t>VÄSTERBOTTENS LÄN</t>
        </is>
      </c>
      <c r="E4036" t="inlineStr">
        <is>
          <t>SKELLEFTEÅ</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17961-2025</t>
        </is>
      </c>
      <c r="B4037" s="1" t="n">
        <v>45761</v>
      </c>
      <c r="C4037" s="1" t="n">
        <v>45807</v>
      </c>
      <c r="D4037" t="inlineStr">
        <is>
          <t>VÄSTERBOTTENS LÄN</t>
        </is>
      </c>
      <c r="E4037" t="inlineStr">
        <is>
          <t>SKELLEFTEÅ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18064-2025</t>
        </is>
      </c>
      <c r="B4038" s="1" t="n">
        <v>45761</v>
      </c>
      <c r="C4038" s="1" t="n">
        <v>45807</v>
      </c>
      <c r="D4038" t="inlineStr">
        <is>
          <t>VÄSTERBOTTENS LÄN</t>
        </is>
      </c>
      <c r="E4038" t="inlineStr">
        <is>
          <t>SKELLEFTEÅ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18326-2025</t>
        </is>
      </c>
      <c r="B4039" s="1" t="n">
        <v>45762</v>
      </c>
      <c r="C4039" s="1" t="n">
        <v>45807</v>
      </c>
      <c r="D4039" t="inlineStr">
        <is>
          <t>VÄSTERBOTTENS LÄN</t>
        </is>
      </c>
      <c r="E4039" t="inlineStr">
        <is>
          <t>SKELLEFTEÅ</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18240-2025</t>
        </is>
      </c>
      <c r="B4040" s="1" t="n">
        <v>45762</v>
      </c>
      <c r="C4040" s="1" t="n">
        <v>45807</v>
      </c>
      <c r="D4040" t="inlineStr">
        <is>
          <t>VÄSTERBOTTENS LÄN</t>
        </is>
      </c>
      <c r="E4040" t="inlineStr">
        <is>
          <t>SKELLEFTEÅ</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18441-2025</t>
        </is>
      </c>
      <c r="B4041" s="1" t="n">
        <v>45762</v>
      </c>
      <c r="C4041" s="1" t="n">
        <v>45807</v>
      </c>
      <c r="D4041" t="inlineStr">
        <is>
          <t>VÄSTERBOTTENS LÄN</t>
        </is>
      </c>
      <c r="E4041" t="inlineStr">
        <is>
          <t>SKELLEFTEÅ</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18291-2025</t>
        </is>
      </c>
      <c r="B4042" s="1" t="n">
        <v>45762</v>
      </c>
      <c r="C4042" s="1" t="n">
        <v>45807</v>
      </c>
      <c r="D4042" t="inlineStr">
        <is>
          <t>VÄSTERBOTTENS LÄN</t>
        </is>
      </c>
      <c r="E4042" t="inlineStr">
        <is>
          <t>SKELLEFTEÅ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18443-2025</t>
        </is>
      </c>
      <c r="B4043" s="1" t="n">
        <v>45762</v>
      </c>
      <c r="C4043" s="1" t="n">
        <v>45807</v>
      </c>
      <c r="D4043" t="inlineStr">
        <is>
          <t>VÄSTERBOTTENS LÄN</t>
        </is>
      </c>
      <c r="E4043" t="inlineStr">
        <is>
          <t>SKELLEFTEÅ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18700-2025</t>
        </is>
      </c>
      <c r="B4044" s="1" t="n">
        <v>45763</v>
      </c>
      <c r="C4044" s="1" t="n">
        <v>45807</v>
      </c>
      <c r="D4044" t="inlineStr">
        <is>
          <t>VÄSTERBOTTENS LÄN</t>
        </is>
      </c>
      <c r="E4044" t="inlineStr">
        <is>
          <t>SKELLEFTEÅ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18497-2025</t>
        </is>
      </c>
      <c r="B4045" s="1" t="n">
        <v>45763</v>
      </c>
      <c r="C4045" s="1" t="n">
        <v>45807</v>
      </c>
      <c r="D4045" t="inlineStr">
        <is>
          <t>VÄSTERBOTTENS LÄN</t>
        </is>
      </c>
      <c r="E4045" t="inlineStr">
        <is>
          <t>SKELLEFTEÅ</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18637-2025</t>
        </is>
      </c>
      <c r="B4046" s="1" t="n">
        <v>45763</v>
      </c>
      <c r="C4046" s="1" t="n">
        <v>45807</v>
      </c>
      <c r="D4046" t="inlineStr">
        <is>
          <t>VÄSTERBOTTENS LÄN</t>
        </is>
      </c>
      <c r="E4046" t="inlineStr">
        <is>
          <t>SKELLEFTEÅ</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18498-2025</t>
        </is>
      </c>
      <c r="B4047" s="1" t="n">
        <v>45763</v>
      </c>
      <c r="C4047" s="1" t="n">
        <v>45807</v>
      </c>
      <c r="D4047" t="inlineStr">
        <is>
          <t>VÄSTERBOTTENS LÄN</t>
        </is>
      </c>
      <c r="E4047" t="inlineStr">
        <is>
          <t>SKELLEFTEÅ</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18762-2025</t>
        </is>
      </c>
      <c r="B4048" s="1" t="n">
        <v>45764</v>
      </c>
      <c r="C4048" s="1" t="n">
        <v>45807</v>
      </c>
      <c r="D4048" t="inlineStr">
        <is>
          <t>VÄSTERBOTTENS LÄN</t>
        </is>
      </c>
      <c r="E4048" t="inlineStr">
        <is>
          <t>SKELLEFTEÅ</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18929-2025</t>
        </is>
      </c>
      <c r="B4049" s="1" t="n">
        <v>45764</v>
      </c>
      <c r="C4049" s="1" t="n">
        <v>45807</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19107-2025</t>
        </is>
      </c>
      <c r="B4050" s="1" t="n">
        <v>45768</v>
      </c>
      <c r="C4050" s="1" t="n">
        <v>45807</v>
      </c>
      <c r="D4050" t="inlineStr">
        <is>
          <t>VÄSTERBOTTENS LÄN</t>
        </is>
      </c>
      <c r="E4050" t="inlineStr">
        <is>
          <t>SKELLEFTEÅ</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19119-2025</t>
        </is>
      </c>
      <c r="B4051" s="1" t="n">
        <v>45768</v>
      </c>
      <c r="C4051" s="1" t="n">
        <v>45807</v>
      </c>
      <c r="D4051" t="inlineStr">
        <is>
          <t>VÄSTERBOTTENS LÄN</t>
        </is>
      </c>
      <c r="E4051" t="inlineStr">
        <is>
          <t>SKELLEFTEÅ</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19293-2025</t>
        </is>
      </c>
      <c r="B4052" s="1" t="n">
        <v>45769</v>
      </c>
      <c r="C4052" s="1" t="n">
        <v>45807</v>
      </c>
      <c r="D4052" t="inlineStr">
        <is>
          <t>VÄSTERBOTTENS LÄN</t>
        </is>
      </c>
      <c r="E4052" t="inlineStr">
        <is>
          <t>SKELLEFTEÅ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19160-2025</t>
        </is>
      </c>
      <c r="B4053" s="1" t="n">
        <v>45769</v>
      </c>
      <c r="C4053" s="1" t="n">
        <v>45807</v>
      </c>
      <c r="D4053" t="inlineStr">
        <is>
          <t>VÄSTERBOTTENS LÄN</t>
        </is>
      </c>
      <c r="E4053" t="inlineStr">
        <is>
          <t>SKELLEFTEÅ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19658-2025</t>
        </is>
      </c>
      <c r="B4054" s="1" t="n">
        <v>45770</v>
      </c>
      <c r="C4054" s="1" t="n">
        <v>45807</v>
      </c>
      <c r="D4054" t="inlineStr">
        <is>
          <t>VÄSTERBOTTENS LÄN</t>
        </is>
      </c>
      <c r="E4054" t="inlineStr">
        <is>
          <t>SKELLEFTEÅ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19545-2025</t>
        </is>
      </c>
      <c r="B4055" s="1" t="n">
        <v>45770</v>
      </c>
      <c r="C4055" s="1" t="n">
        <v>45807</v>
      </c>
      <c r="D4055" t="inlineStr">
        <is>
          <t>VÄSTERBOTTENS LÄN</t>
        </is>
      </c>
      <c r="E4055" t="inlineStr">
        <is>
          <t>SKELLEFTEÅ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19764-2025</t>
        </is>
      </c>
      <c r="B4056" s="1" t="n">
        <v>45771</v>
      </c>
      <c r="C4056" s="1" t="n">
        <v>45807</v>
      </c>
      <c r="D4056" t="inlineStr">
        <is>
          <t>VÄSTERBOTTENS LÄN</t>
        </is>
      </c>
      <c r="E4056" t="inlineStr">
        <is>
          <t>SKELLEFTEÅ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19730-2025</t>
        </is>
      </c>
      <c r="B4057" s="1" t="n">
        <v>45771</v>
      </c>
      <c r="C4057" s="1" t="n">
        <v>45807</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19970-2025</t>
        </is>
      </c>
      <c r="B4058" s="1" t="n">
        <v>45771</v>
      </c>
      <c r="C4058" s="1" t="n">
        <v>45807</v>
      </c>
      <c r="D4058" t="inlineStr">
        <is>
          <t>VÄSTERBOTTENS LÄN</t>
        </is>
      </c>
      <c r="E4058" t="inlineStr">
        <is>
          <t>SKELLEFTEÅ</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19795-2025</t>
        </is>
      </c>
      <c r="B4059" s="1" t="n">
        <v>45771</v>
      </c>
      <c r="C4059" s="1" t="n">
        <v>45807</v>
      </c>
      <c r="D4059" t="inlineStr">
        <is>
          <t>VÄSTERBOTTENS LÄN</t>
        </is>
      </c>
      <c r="E4059" t="inlineStr">
        <is>
          <t>SKELLEFTEÅ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19765-2025</t>
        </is>
      </c>
      <c r="B4060" s="1" t="n">
        <v>45771</v>
      </c>
      <c r="C4060" s="1" t="n">
        <v>45807</v>
      </c>
      <c r="D4060" t="inlineStr">
        <is>
          <t>VÄSTERBOTTENS LÄN</t>
        </is>
      </c>
      <c r="E4060" t="inlineStr">
        <is>
          <t>SKELLEFTEÅ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19779-2025</t>
        </is>
      </c>
      <c r="B4061" s="1" t="n">
        <v>45771</v>
      </c>
      <c r="C4061" s="1" t="n">
        <v>45807</v>
      </c>
      <c r="D4061" t="inlineStr">
        <is>
          <t>VÄSTERBOTTENS LÄN</t>
        </is>
      </c>
      <c r="E4061" t="inlineStr">
        <is>
          <t>SKELLEFTEÅ</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19951-2025</t>
        </is>
      </c>
      <c r="B4062" s="1" t="n">
        <v>45771</v>
      </c>
      <c r="C4062" s="1" t="n">
        <v>45807</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19731-2025</t>
        </is>
      </c>
      <c r="B4063" s="1" t="n">
        <v>45771</v>
      </c>
      <c r="C4063" s="1" t="n">
        <v>45807</v>
      </c>
      <c r="D4063" t="inlineStr">
        <is>
          <t>VÄSTERBOTTENS LÄN</t>
        </is>
      </c>
      <c r="E4063" t="inlineStr">
        <is>
          <t>SKELLEFTEÅ</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19778-2025</t>
        </is>
      </c>
      <c r="B4064" s="1" t="n">
        <v>45771</v>
      </c>
      <c r="C4064" s="1" t="n">
        <v>45807</v>
      </c>
      <c r="D4064" t="inlineStr">
        <is>
          <t>VÄSTERBOTTENS LÄN</t>
        </is>
      </c>
      <c r="E4064" t="inlineStr">
        <is>
          <t>SKELLEFTEÅ</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19729-2025</t>
        </is>
      </c>
      <c r="B4065" s="1" t="n">
        <v>45771</v>
      </c>
      <c r="C4065" s="1" t="n">
        <v>45807</v>
      </c>
      <c r="D4065" t="inlineStr">
        <is>
          <t>VÄSTERBOTTENS LÄN</t>
        </is>
      </c>
      <c r="E4065" t="inlineStr">
        <is>
          <t>SKELLEFTEÅ</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19752-2025</t>
        </is>
      </c>
      <c r="B4066" s="1" t="n">
        <v>45771</v>
      </c>
      <c r="C4066" s="1" t="n">
        <v>45807</v>
      </c>
      <c r="D4066" t="inlineStr">
        <is>
          <t>VÄSTERBOTTENS LÄN</t>
        </is>
      </c>
      <c r="E4066" t="inlineStr">
        <is>
          <t>SKELLEFTEÅ</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20129-2025</t>
        </is>
      </c>
      <c r="B4067" s="1" t="n">
        <v>45772</v>
      </c>
      <c r="C4067" s="1" t="n">
        <v>45807</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20084-2025</t>
        </is>
      </c>
      <c r="B4068" s="1" t="n">
        <v>45772</v>
      </c>
      <c r="C4068" s="1" t="n">
        <v>45807</v>
      </c>
      <c r="D4068" t="inlineStr">
        <is>
          <t>VÄSTERBOTTENS LÄN</t>
        </is>
      </c>
      <c r="E4068" t="inlineStr">
        <is>
          <t>SKELLEFTEÅ</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20193-2025</t>
        </is>
      </c>
      <c r="B4069" s="1" t="n">
        <v>45772</v>
      </c>
      <c r="C4069" s="1" t="n">
        <v>45807</v>
      </c>
      <c r="D4069" t="inlineStr">
        <is>
          <t>VÄSTERBOTTENS LÄN</t>
        </is>
      </c>
      <c r="E4069" t="inlineStr">
        <is>
          <t>SKELLEFTEÅ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20163-2025</t>
        </is>
      </c>
      <c r="B4070" s="1" t="n">
        <v>45772</v>
      </c>
      <c r="C4070" s="1" t="n">
        <v>45807</v>
      </c>
      <c r="D4070" t="inlineStr">
        <is>
          <t>VÄSTERBOTTENS LÄN</t>
        </is>
      </c>
      <c r="E4070" t="inlineStr">
        <is>
          <t>SKELLEFTEÅ</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20216-2025</t>
        </is>
      </c>
      <c r="B4071" s="1" t="n">
        <v>45772</v>
      </c>
      <c r="C4071" s="1" t="n">
        <v>45807</v>
      </c>
      <c r="D4071" t="inlineStr">
        <is>
          <t>VÄSTERBOTTENS LÄN</t>
        </is>
      </c>
      <c r="E4071" t="inlineStr">
        <is>
          <t>SKELLEFTEÅ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20220-2025</t>
        </is>
      </c>
      <c r="B4072" s="1" t="n">
        <v>45772</v>
      </c>
      <c r="C4072" s="1" t="n">
        <v>45807</v>
      </c>
      <c r="D4072" t="inlineStr">
        <is>
          <t>VÄSTERBOTTENS LÄN</t>
        </is>
      </c>
      <c r="E4072" t="inlineStr">
        <is>
          <t>SKELLEFTEÅ</t>
        </is>
      </c>
      <c r="G4072" t="n">
        <v>18.6</v>
      </c>
      <c r="H4072" t="n">
        <v>0</v>
      </c>
      <c r="I4072" t="n">
        <v>0</v>
      </c>
      <c r="J4072" t="n">
        <v>0</v>
      </c>
      <c r="K4072" t="n">
        <v>0</v>
      </c>
      <c r="L4072" t="n">
        <v>0</v>
      </c>
      <c r="M4072" t="n">
        <v>0</v>
      </c>
      <c r="N4072" t="n">
        <v>0</v>
      </c>
      <c r="O4072" t="n">
        <v>0</v>
      </c>
      <c r="P4072" t="n">
        <v>0</v>
      </c>
      <c r="Q4072" t="n">
        <v>0</v>
      </c>
      <c r="R4072" s="2" t="inlineStr"/>
    </row>
    <row r="4073" ht="15" customHeight="1">
      <c r="A4073" t="inlineStr">
        <is>
          <t>A 20218-2025</t>
        </is>
      </c>
      <c r="B4073" s="1" t="n">
        <v>45772</v>
      </c>
      <c r="C4073" s="1" t="n">
        <v>45807</v>
      </c>
      <c r="D4073" t="inlineStr">
        <is>
          <t>VÄSTERBOTTENS LÄN</t>
        </is>
      </c>
      <c r="E4073" t="inlineStr">
        <is>
          <t>SKELLEFTEÅ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20245-2025</t>
        </is>
      </c>
      <c r="B4074" s="1" t="n">
        <v>45772</v>
      </c>
      <c r="C4074" s="1" t="n">
        <v>45807</v>
      </c>
      <c r="D4074" t="inlineStr">
        <is>
          <t>VÄSTERBOTTENS LÄN</t>
        </is>
      </c>
      <c r="E4074" t="inlineStr">
        <is>
          <t>SKELLEFTEÅ</t>
        </is>
      </c>
      <c r="G4074" t="n">
        <v>14.1</v>
      </c>
      <c r="H4074" t="n">
        <v>0</v>
      </c>
      <c r="I4074" t="n">
        <v>0</v>
      </c>
      <c r="J4074" t="n">
        <v>0</v>
      </c>
      <c r="K4074" t="n">
        <v>0</v>
      </c>
      <c r="L4074" t="n">
        <v>0</v>
      </c>
      <c r="M4074" t="n">
        <v>0</v>
      </c>
      <c r="N4074" t="n">
        <v>0</v>
      </c>
      <c r="O4074" t="n">
        <v>0</v>
      </c>
      <c r="P4074" t="n">
        <v>0</v>
      </c>
      <c r="Q4074" t="n">
        <v>0</v>
      </c>
      <c r="R4074" s="2" t="inlineStr"/>
    </row>
    <row r="4075" ht="15" customHeight="1">
      <c r="A4075" t="inlineStr">
        <is>
          <t>A 20340-2025</t>
        </is>
      </c>
      <c r="B4075" s="1" t="n">
        <v>45775</v>
      </c>
      <c r="C4075" s="1" t="n">
        <v>45807</v>
      </c>
      <c r="D4075" t="inlineStr">
        <is>
          <t>VÄSTERBOTTENS LÄN</t>
        </is>
      </c>
      <c r="E4075" t="inlineStr">
        <is>
          <t>SKELLEFTEÅ</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20378-2025</t>
        </is>
      </c>
      <c r="B4076" s="1" t="n">
        <v>45775</v>
      </c>
      <c r="C4076" s="1" t="n">
        <v>45807</v>
      </c>
      <c r="D4076" t="inlineStr">
        <is>
          <t>VÄSTERBOTTENS LÄN</t>
        </is>
      </c>
      <c r="E4076" t="inlineStr">
        <is>
          <t>SKELLEFTEÅ</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20494-2025</t>
        </is>
      </c>
      <c r="B4077" s="1" t="n">
        <v>45775</v>
      </c>
      <c r="C4077" s="1" t="n">
        <v>45807</v>
      </c>
      <c r="D4077" t="inlineStr">
        <is>
          <t>VÄSTERBOTTENS LÄN</t>
        </is>
      </c>
      <c r="E4077" t="inlineStr">
        <is>
          <t>SKELLEFTEÅ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20505-2025</t>
        </is>
      </c>
      <c r="B4078" s="1" t="n">
        <v>45775</v>
      </c>
      <c r="C4078" s="1" t="n">
        <v>45807</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20519-2025</t>
        </is>
      </c>
      <c r="B4079" s="1" t="n">
        <v>45775</v>
      </c>
      <c r="C4079" s="1" t="n">
        <v>45807</v>
      </c>
      <c r="D4079" t="inlineStr">
        <is>
          <t>VÄSTERBOTTENS LÄN</t>
        </is>
      </c>
      <c r="E4079" t="inlineStr">
        <is>
          <t>SKELLEFTEÅ</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20825-2025</t>
        </is>
      </c>
      <c r="B4080" s="1" t="n">
        <v>45776</v>
      </c>
      <c r="C4080" s="1" t="n">
        <v>45807</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20824-2025</t>
        </is>
      </c>
      <c r="B4081" s="1" t="n">
        <v>45776</v>
      </c>
      <c r="C4081" s="1" t="n">
        <v>45807</v>
      </c>
      <c r="D4081" t="inlineStr">
        <is>
          <t>VÄSTERBOTTENS LÄN</t>
        </is>
      </c>
      <c r="E4081" t="inlineStr">
        <is>
          <t>SKELLEFTEÅ</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20913-2025</t>
        </is>
      </c>
      <c r="B4082" s="1" t="n">
        <v>45777</v>
      </c>
      <c r="C4082" s="1" t="n">
        <v>45807</v>
      </c>
      <c r="D4082" t="inlineStr">
        <is>
          <t>VÄSTERBOTTENS LÄN</t>
        </is>
      </c>
      <c r="E4082" t="inlineStr">
        <is>
          <t>SKELLEFTEÅ</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20921-2025</t>
        </is>
      </c>
      <c r="B4083" s="1" t="n">
        <v>45777</v>
      </c>
      <c r="C4083" s="1" t="n">
        <v>45807</v>
      </c>
      <c r="D4083" t="inlineStr">
        <is>
          <t>VÄSTERBOTTENS LÄN</t>
        </is>
      </c>
      <c r="E4083" t="inlineStr">
        <is>
          <t>SKELLEFTEÅ</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21034-2025</t>
        </is>
      </c>
      <c r="B4084" s="1" t="n">
        <v>45777</v>
      </c>
      <c r="C4084" s="1" t="n">
        <v>45807</v>
      </c>
      <c r="D4084" t="inlineStr">
        <is>
          <t>VÄSTERBOTTENS LÄN</t>
        </is>
      </c>
      <c r="E4084" t="inlineStr">
        <is>
          <t>SKELLEFTEÅ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20865-2025</t>
        </is>
      </c>
      <c r="B4085" s="1" t="n">
        <v>45777</v>
      </c>
      <c r="C4085" s="1" t="n">
        <v>45807</v>
      </c>
      <c r="D4085" t="inlineStr">
        <is>
          <t>VÄSTERBOTTENS LÄN</t>
        </is>
      </c>
      <c r="E4085" t="inlineStr">
        <is>
          <t>SKELLEFTEÅ</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21131-2025</t>
        </is>
      </c>
      <c r="B4086" s="1" t="n">
        <v>45778</v>
      </c>
      <c r="C4086" s="1" t="n">
        <v>45807</v>
      </c>
      <c r="D4086" t="inlineStr">
        <is>
          <t>VÄSTERBOTTENS LÄN</t>
        </is>
      </c>
      <c r="E4086" t="inlineStr">
        <is>
          <t>SKELLEFTEÅ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45807</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45807</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21207-2025</t>
        </is>
      </c>
      <c r="B4089" s="1" t="n">
        <v>45779</v>
      </c>
      <c r="C4089" s="1" t="n">
        <v>45807</v>
      </c>
      <c r="D4089" t="inlineStr">
        <is>
          <t>VÄSTERBOTTENS LÄN</t>
        </is>
      </c>
      <c r="E4089" t="inlineStr">
        <is>
          <t>SKELLEFTEÅ</t>
        </is>
      </c>
      <c r="F4089" t="inlineStr">
        <is>
          <t>Holmen skog AB</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21222-2025</t>
        </is>
      </c>
      <c r="B4090" s="1" t="n">
        <v>45779</v>
      </c>
      <c r="C4090" s="1" t="n">
        <v>45807</v>
      </c>
      <c r="D4090" t="inlineStr">
        <is>
          <t>VÄSTERBOTTENS LÄN</t>
        </is>
      </c>
      <c r="E4090" t="inlineStr">
        <is>
          <t>SKELLEFTEÅ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21424-2025</t>
        </is>
      </c>
      <c r="B4091" s="1" t="n">
        <v>45782</v>
      </c>
      <c r="C4091" s="1" t="n">
        <v>45807</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21350-2025</t>
        </is>
      </c>
      <c r="B4092" s="1" t="n">
        <v>45782</v>
      </c>
      <c r="C4092" s="1" t="n">
        <v>45807</v>
      </c>
      <c r="D4092" t="inlineStr">
        <is>
          <t>VÄSTERBOTTENS LÄN</t>
        </is>
      </c>
      <c r="E4092" t="inlineStr">
        <is>
          <t>SKELLEFTEÅ</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21343-2025</t>
        </is>
      </c>
      <c r="B4093" s="1" t="n">
        <v>45782</v>
      </c>
      <c r="C4093" s="1" t="n">
        <v>45807</v>
      </c>
      <c r="D4093" t="inlineStr">
        <is>
          <t>VÄSTERBOTTENS LÄN</t>
        </is>
      </c>
      <c r="E4093" t="inlineStr">
        <is>
          <t>SKELLEFTEÅ</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21381-2025</t>
        </is>
      </c>
      <c r="B4094" s="1" t="n">
        <v>45782</v>
      </c>
      <c r="C4094" s="1" t="n">
        <v>45807</v>
      </c>
      <c r="D4094" t="inlineStr">
        <is>
          <t>VÄSTERBOTTENS LÄN</t>
        </is>
      </c>
      <c r="E4094" t="inlineStr">
        <is>
          <t>SKELLEFTEÅ</t>
        </is>
      </c>
      <c r="F4094" t="inlineStr">
        <is>
          <t>Holmen skog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21420-2025</t>
        </is>
      </c>
      <c r="B4095" s="1" t="n">
        <v>45782</v>
      </c>
      <c r="C4095" s="1" t="n">
        <v>45807</v>
      </c>
      <c r="D4095" t="inlineStr">
        <is>
          <t>VÄSTERBOTTENS LÄN</t>
        </is>
      </c>
      <c r="E4095" t="inlineStr">
        <is>
          <t>SKELLEFTEÅ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45807</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21427-2025</t>
        </is>
      </c>
      <c r="B4097" s="1" t="n">
        <v>45782</v>
      </c>
      <c r="C4097" s="1" t="n">
        <v>45807</v>
      </c>
      <c r="D4097" t="inlineStr">
        <is>
          <t>VÄSTERBOTTENS LÄN</t>
        </is>
      </c>
      <c r="E4097" t="inlineStr">
        <is>
          <t>SKELLEFTEÅ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21750-2025</t>
        </is>
      </c>
      <c r="B4098" s="1" t="n">
        <v>45783</v>
      </c>
      <c r="C4098" s="1" t="n">
        <v>45807</v>
      </c>
      <c r="D4098" t="inlineStr">
        <is>
          <t>VÄSTERBOTTENS LÄN</t>
        </is>
      </c>
      <c r="E4098" t="inlineStr">
        <is>
          <t>SKELLEFTEÅ</t>
        </is>
      </c>
      <c r="F4098" t="inlineStr">
        <is>
          <t>Kyrkan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21757-2025</t>
        </is>
      </c>
      <c r="B4099" s="1" t="n">
        <v>45783</v>
      </c>
      <c r="C4099" s="1" t="n">
        <v>45807</v>
      </c>
      <c r="D4099" t="inlineStr">
        <is>
          <t>VÄSTERBOTTENS LÄN</t>
        </is>
      </c>
      <c r="E4099" t="inlineStr">
        <is>
          <t>SKELLEFTEÅ</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21587-2025</t>
        </is>
      </c>
      <c r="B4100" s="1" t="n">
        <v>45783</v>
      </c>
      <c r="C4100" s="1" t="n">
        <v>45807</v>
      </c>
      <c r="D4100" t="inlineStr">
        <is>
          <t>VÄSTERBOTTENS LÄN</t>
        </is>
      </c>
      <c r="E4100" t="inlineStr">
        <is>
          <t>SKELLEFTEÅ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21717-2025</t>
        </is>
      </c>
      <c r="B4101" s="1" t="n">
        <v>45783</v>
      </c>
      <c r="C4101" s="1" t="n">
        <v>45807</v>
      </c>
      <c r="D4101" t="inlineStr">
        <is>
          <t>VÄSTERBOTTENS LÄN</t>
        </is>
      </c>
      <c r="E4101" t="inlineStr">
        <is>
          <t>SKELLEFTEÅ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21585-2025</t>
        </is>
      </c>
      <c r="B4102" s="1" t="n">
        <v>45783</v>
      </c>
      <c r="C4102" s="1" t="n">
        <v>45807</v>
      </c>
      <c r="D4102" t="inlineStr">
        <is>
          <t>VÄSTERBOTTENS LÄN</t>
        </is>
      </c>
      <c r="E4102" t="inlineStr">
        <is>
          <t>SKELLEFTEÅ</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21620-2025</t>
        </is>
      </c>
      <c r="B4103" s="1" t="n">
        <v>45783</v>
      </c>
      <c r="C4103" s="1" t="n">
        <v>45807</v>
      </c>
      <c r="D4103" t="inlineStr">
        <is>
          <t>VÄSTERBOTTENS LÄN</t>
        </is>
      </c>
      <c r="E4103" t="inlineStr">
        <is>
          <t>SKELLEFTEÅ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21755-2025</t>
        </is>
      </c>
      <c r="B4104" s="1" t="n">
        <v>45783</v>
      </c>
      <c r="C4104" s="1" t="n">
        <v>45807</v>
      </c>
      <c r="D4104" t="inlineStr">
        <is>
          <t>VÄSTERBOTTENS LÄN</t>
        </is>
      </c>
      <c r="E4104" t="inlineStr">
        <is>
          <t>SKELLEFTEÅ</t>
        </is>
      </c>
      <c r="G4104" t="n">
        <v>13.6</v>
      </c>
      <c r="H4104" t="n">
        <v>0</v>
      </c>
      <c r="I4104" t="n">
        <v>0</v>
      </c>
      <c r="J4104" t="n">
        <v>0</v>
      </c>
      <c r="K4104" t="n">
        <v>0</v>
      </c>
      <c r="L4104" t="n">
        <v>0</v>
      </c>
      <c r="M4104" t="n">
        <v>0</v>
      </c>
      <c r="N4104" t="n">
        <v>0</v>
      </c>
      <c r="O4104" t="n">
        <v>0</v>
      </c>
      <c r="P4104" t="n">
        <v>0</v>
      </c>
      <c r="Q4104" t="n">
        <v>0</v>
      </c>
      <c r="R4104" s="2" t="inlineStr"/>
    </row>
    <row r="4105" ht="15" customHeight="1">
      <c r="A4105" t="inlineStr">
        <is>
          <t>A 21595-2025</t>
        </is>
      </c>
      <c r="B4105" s="1" t="n">
        <v>45783</v>
      </c>
      <c r="C4105" s="1" t="n">
        <v>45807</v>
      </c>
      <c r="D4105" t="inlineStr">
        <is>
          <t>VÄSTERBOTTENS LÄN</t>
        </is>
      </c>
      <c r="E4105" t="inlineStr">
        <is>
          <t>SKELLEFTEÅ</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21763-2025</t>
        </is>
      </c>
      <c r="B4106" s="1" t="n">
        <v>45783</v>
      </c>
      <c r="C4106" s="1" t="n">
        <v>45807</v>
      </c>
      <c r="D4106" t="inlineStr">
        <is>
          <t>VÄSTERBOTTENS LÄN</t>
        </is>
      </c>
      <c r="E4106" t="inlineStr">
        <is>
          <t>SKELLEFTEÅ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21619-2025</t>
        </is>
      </c>
      <c r="B4107" s="1" t="n">
        <v>45783</v>
      </c>
      <c r="C4107" s="1" t="n">
        <v>45807</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21590-2025</t>
        </is>
      </c>
      <c r="B4108" s="1" t="n">
        <v>45783</v>
      </c>
      <c r="C4108" s="1" t="n">
        <v>45807</v>
      </c>
      <c r="D4108" t="inlineStr">
        <is>
          <t>VÄSTERBOTTENS LÄN</t>
        </is>
      </c>
      <c r="E4108" t="inlineStr">
        <is>
          <t>SKELLEFTEÅ</t>
        </is>
      </c>
      <c r="F4108" t="inlineStr">
        <is>
          <t>Kommuner</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21992-2025</t>
        </is>
      </c>
      <c r="B4109" s="1" t="n">
        <v>45784</v>
      </c>
      <c r="C4109" s="1" t="n">
        <v>45807</v>
      </c>
      <c r="D4109" t="inlineStr">
        <is>
          <t>VÄSTERBOTTENS LÄN</t>
        </is>
      </c>
      <c r="E4109" t="inlineStr">
        <is>
          <t>SKELLEFTEÅ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21910-2025</t>
        </is>
      </c>
      <c r="B4110" s="1" t="n">
        <v>45784</v>
      </c>
      <c r="C4110" s="1" t="n">
        <v>45807</v>
      </c>
      <c r="D4110" t="inlineStr">
        <is>
          <t>VÄSTERBOTTENS LÄN</t>
        </is>
      </c>
      <c r="E4110" t="inlineStr">
        <is>
          <t>SKELLEFTEÅ</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22031-2025</t>
        </is>
      </c>
      <c r="B4111" s="1" t="n">
        <v>45785</v>
      </c>
      <c r="C4111" s="1" t="n">
        <v>45807</v>
      </c>
      <c r="D4111" t="inlineStr">
        <is>
          <t>VÄSTERBOTTENS LÄN</t>
        </is>
      </c>
      <c r="E4111" t="inlineStr">
        <is>
          <t>SKELLEFTEÅ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22311-2025</t>
        </is>
      </c>
      <c r="B4112" s="1" t="n">
        <v>45786</v>
      </c>
      <c r="C4112" s="1" t="n">
        <v>45807</v>
      </c>
      <c r="D4112" t="inlineStr">
        <is>
          <t>VÄSTERBOTTENS LÄN</t>
        </is>
      </c>
      <c r="E4112" t="inlineStr">
        <is>
          <t>SKELLEFTEÅ</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22531-2025</t>
        </is>
      </c>
      <c r="B4113" s="1" t="n">
        <v>45786</v>
      </c>
      <c r="C4113" s="1" t="n">
        <v>45807</v>
      </c>
      <c r="D4113" t="inlineStr">
        <is>
          <t>VÄSTERBOTTENS LÄN</t>
        </is>
      </c>
      <c r="E4113" t="inlineStr">
        <is>
          <t>SKELLEFTEÅ</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22530-2025</t>
        </is>
      </c>
      <c r="B4114" s="1" t="n">
        <v>45786</v>
      </c>
      <c r="C4114" s="1" t="n">
        <v>45807</v>
      </c>
      <c r="D4114" t="inlineStr">
        <is>
          <t>VÄSTERBOTTENS LÄN</t>
        </is>
      </c>
      <c r="E4114" t="inlineStr">
        <is>
          <t>SKELLEFTEÅ</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45807</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22429-2025</t>
        </is>
      </c>
      <c r="B4116" s="1" t="n">
        <v>45786</v>
      </c>
      <c r="C4116" s="1" t="n">
        <v>45807</v>
      </c>
      <c r="D4116" t="inlineStr">
        <is>
          <t>VÄSTERBOTTENS LÄN</t>
        </is>
      </c>
      <c r="E4116" t="inlineStr">
        <is>
          <t>SKELLEFTEÅ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22284-2025</t>
        </is>
      </c>
      <c r="B4117" s="1" t="n">
        <v>45786</v>
      </c>
      <c r="C4117" s="1" t="n">
        <v>45807</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22824-2025</t>
        </is>
      </c>
      <c r="B4118" s="1" t="n">
        <v>45789</v>
      </c>
      <c r="C4118" s="1" t="n">
        <v>45807</v>
      </c>
      <c r="D4118" t="inlineStr">
        <is>
          <t>VÄSTERBOTTENS LÄN</t>
        </is>
      </c>
      <c r="E4118" t="inlineStr">
        <is>
          <t>SKELLEFTEÅ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22971-2025</t>
        </is>
      </c>
      <c r="B4119" s="1" t="n">
        <v>45790</v>
      </c>
      <c r="C4119" s="1" t="n">
        <v>45807</v>
      </c>
      <c r="D4119" t="inlineStr">
        <is>
          <t>VÄSTERBOTTENS LÄN</t>
        </is>
      </c>
      <c r="E4119" t="inlineStr">
        <is>
          <t>SKELLEFTEÅ</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22921-2025</t>
        </is>
      </c>
      <c r="B4120" s="1" t="n">
        <v>45790</v>
      </c>
      <c r="C4120" s="1" t="n">
        <v>45807</v>
      </c>
      <c r="D4120" t="inlineStr">
        <is>
          <t>VÄSTERBOTTENS LÄN</t>
        </is>
      </c>
      <c r="E4120" t="inlineStr">
        <is>
          <t>SKELLEFTEÅ</t>
        </is>
      </c>
      <c r="F4120" t="inlineStr">
        <is>
          <t>Holmen skog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45807</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22838-2025</t>
        </is>
      </c>
      <c r="B4122" s="1" t="n">
        <v>45790</v>
      </c>
      <c r="C4122" s="1" t="n">
        <v>45807</v>
      </c>
      <c r="D4122" t="inlineStr">
        <is>
          <t>VÄSTERBOTTENS LÄN</t>
        </is>
      </c>
      <c r="E4122" t="inlineStr">
        <is>
          <t>SKELLEFTEÅ</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23208-2025</t>
        </is>
      </c>
      <c r="B4123" s="1" t="n">
        <v>45791</v>
      </c>
      <c r="C4123" s="1" t="n">
        <v>45807</v>
      </c>
      <c r="D4123" t="inlineStr">
        <is>
          <t>VÄSTERBOTTENS LÄN</t>
        </is>
      </c>
      <c r="E4123" t="inlineStr">
        <is>
          <t>SKELLEFTEÅ</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23213-2025</t>
        </is>
      </c>
      <c r="B4124" s="1" t="n">
        <v>45791</v>
      </c>
      <c r="C4124" s="1" t="n">
        <v>45807</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23241-2025</t>
        </is>
      </c>
      <c r="B4125" s="1" t="n">
        <v>45791</v>
      </c>
      <c r="C4125" s="1" t="n">
        <v>45807</v>
      </c>
      <c r="D4125" t="inlineStr">
        <is>
          <t>VÄSTERBOTTENS LÄN</t>
        </is>
      </c>
      <c r="E4125" t="inlineStr">
        <is>
          <t>SKELLEFTEÅ</t>
        </is>
      </c>
      <c r="F4125" t="inlineStr">
        <is>
          <t>Holmen skog AB</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23299-2025</t>
        </is>
      </c>
      <c r="B4126" s="1" t="n">
        <v>45791</v>
      </c>
      <c r="C4126" s="1" t="n">
        <v>45807</v>
      </c>
      <c r="D4126" t="inlineStr">
        <is>
          <t>VÄSTERBOTTENS LÄN</t>
        </is>
      </c>
      <c r="E4126" t="inlineStr">
        <is>
          <t>SKELLEFTEÅ</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23147-2025</t>
        </is>
      </c>
      <c r="B4127" s="1" t="n">
        <v>45791</v>
      </c>
      <c r="C4127" s="1" t="n">
        <v>45807</v>
      </c>
      <c r="D4127" t="inlineStr">
        <is>
          <t>VÄSTERBOTTENS LÄN</t>
        </is>
      </c>
      <c r="E4127" t="inlineStr">
        <is>
          <t>SKELLEFTEÅ</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23327-2025</t>
        </is>
      </c>
      <c r="B4128" s="1" t="n">
        <v>45791</v>
      </c>
      <c r="C4128" s="1" t="n">
        <v>45807</v>
      </c>
      <c r="D4128" t="inlineStr">
        <is>
          <t>VÄSTERBOTTENS LÄN</t>
        </is>
      </c>
      <c r="E4128" t="inlineStr">
        <is>
          <t>SKELLEFTEÅ</t>
        </is>
      </c>
      <c r="F4128" t="inlineStr">
        <is>
          <t>Holmen skog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23329-2025</t>
        </is>
      </c>
      <c r="B4129" s="1" t="n">
        <v>45791</v>
      </c>
      <c r="C4129" s="1" t="n">
        <v>45807</v>
      </c>
      <c r="D4129" t="inlineStr">
        <is>
          <t>VÄSTERBOTTENS LÄN</t>
        </is>
      </c>
      <c r="E4129" t="inlineStr">
        <is>
          <t>SKELLEFTEÅ</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23373-2025</t>
        </is>
      </c>
      <c r="B4130" s="1" t="n">
        <v>45791</v>
      </c>
      <c r="C4130" s="1" t="n">
        <v>45807</v>
      </c>
      <c r="D4130" t="inlineStr">
        <is>
          <t>VÄSTERBOTTENS LÄN</t>
        </is>
      </c>
      <c r="E4130" t="inlineStr">
        <is>
          <t>SKELLEFTEÅ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23153-2025</t>
        </is>
      </c>
      <c r="B4131" s="1" t="n">
        <v>45791</v>
      </c>
      <c r="C4131" s="1" t="n">
        <v>45807</v>
      </c>
      <c r="D4131" t="inlineStr">
        <is>
          <t>VÄSTERBOTTENS LÄN</t>
        </is>
      </c>
      <c r="E4131" t="inlineStr">
        <is>
          <t>SKELLEFTEÅ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23104-2025</t>
        </is>
      </c>
      <c r="B4132" s="1" t="n">
        <v>45791</v>
      </c>
      <c r="C4132" s="1" t="n">
        <v>45807</v>
      </c>
      <c r="D4132" t="inlineStr">
        <is>
          <t>VÄSTERBOTTENS LÄN</t>
        </is>
      </c>
      <c r="E4132" t="inlineStr">
        <is>
          <t>SKELLEFTEÅ</t>
        </is>
      </c>
      <c r="F4132" t="inlineStr">
        <is>
          <t>Holmen skog AB</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23144-2025</t>
        </is>
      </c>
      <c r="B4133" s="1" t="n">
        <v>45791</v>
      </c>
      <c r="C4133" s="1" t="n">
        <v>45807</v>
      </c>
      <c r="D4133" t="inlineStr">
        <is>
          <t>VÄSTERBOTTENS LÄN</t>
        </is>
      </c>
      <c r="E4133" t="inlineStr">
        <is>
          <t>SKELLEFTEÅ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23537-2025</t>
        </is>
      </c>
      <c r="B4134" s="1" t="n">
        <v>45792</v>
      </c>
      <c r="C4134" s="1" t="n">
        <v>45807</v>
      </c>
      <c r="D4134" t="inlineStr">
        <is>
          <t>VÄSTERBOTTENS LÄN</t>
        </is>
      </c>
      <c r="E4134" t="inlineStr">
        <is>
          <t>SKELLEFTEÅ</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23847-2025</t>
        </is>
      </c>
      <c r="B4135" s="1" t="n">
        <v>45793</v>
      </c>
      <c r="C4135" s="1" t="n">
        <v>45807</v>
      </c>
      <c r="D4135" t="inlineStr">
        <is>
          <t>VÄSTERBOTTENS LÄN</t>
        </is>
      </c>
      <c r="E4135" t="inlineStr">
        <is>
          <t>SKELLEFTEÅ</t>
        </is>
      </c>
      <c r="F4135" t="inlineStr">
        <is>
          <t>Holmen skog AB</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23676-2025</t>
        </is>
      </c>
      <c r="B4136" s="1" t="n">
        <v>45793</v>
      </c>
      <c r="C4136" s="1" t="n">
        <v>45807</v>
      </c>
      <c r="D4136" t="inlineStr">
        <is>
          <t>VÄSTERBOTTENS LÄN</t>
        </is>
      </c>
      <c r="E4136" t="inlineStr">
        <is>
          <t>SKELLEFTEÅ</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23678-2025</t>
        </is>
      </c>
      <c r="B4137" s="1" t="n">
        <v>45793</v>
      </c>
      <c r="C4137" s="1" t="n">
        <v>45807</v>
      </c>
      <c r="D4137" t="inlineStr">
        <is>
          <t>VÄSTERBOTTENS LÄN</t>
        </is>
      </c>
      <c r="E4137" t="inlineStr">
        <is>
          <t>SKELLEFTEÅ</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23742-2025</t>
        </is>
      </c>
      <c r="B4138" s="1" t="n">
        <v>45793</v>
      </c>
      <c r="C4138" s="1" t="n">
        <v>45807</v>
      </c>
      <c r="D4138" t="inlineStr">
        <is>
          <t>VÄSTERBOTTENS LÄN</t>
        </is>
      </c>
      <c r="E4138" t="inlineStr">
        <is>
          <t>SKELLEFTEÅ</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23881-2025</t>
        </is>
      </c>
      <c r="B4139" s="1" t="n">
        <v>45793</v>
      </c>
      <c r="C4139" s="1" t="n">
        <v>45807</v>
      </c>
      <c r="D4139" t="inlineStr">
        <is>
          <t>VÄSTERBOTTENS LÄN</t>
        </is>
      </c>
      <c r="E4139" t="inlineStr">
        <is>
          <t>SKELLEFTEÅ</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23886-2025</t>
        </is>
      </c>
      <c r="B4140" s="1" t="n">
        <v>45793</v>
      </c>
      <c r="C4140" s="1" t="n">
        <v>45807</v>
      </c>
      <c r="D4140" t="inlineStr">
        <is>
          <t>VÄSTERBOTTENS LÄN</t>
        </is>
      </c>
      <c r="E4140" t="inlineStr">
        <is>
          <t>SKELLEFTEÅ</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23696-2025</t>
        </is>
      </c>
      <c r="B4141" s="1" t="n">
        <v>45793</v>
      </c>
      <c r="C4141" s="1" t="n">
        <v>45807</v>
      </c>
      <c r="D4141" t="inlineStr">
        <is>
          <t>VÄSTERBOTTENS LÄN</t>
        </is>
      </c>
      <c r="E4141" t="inlineStr">
        <is>
          <t>SKELLEFTEÅ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23904-2025</t>
        </is>
      </c>
      <c r="B4142" s="1" t="n">
        <v>45794</v>
      </c>
      <c r="C4142" s="1" t="n">
        <v>45807</v>
      </c>
      <c r="D4142" t="inlineStr">
        <is>
          <t>VÄSTERBOTTENS LÄN</t>
        </is>
      </c>
      <c r="E4142" t="inlineStr">
        <is>
          <t>SKELLEFTEÅ</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24181-2025</t>
        </is>
      </c>
      <c r="B4143" s="1" t="n">
        <v>45796</v>
      </c>
      <c r="C4143" s="1" t="n">
        <v>45807</v>
      </c>
      <c r="D4143" t="inlineStr">
        <is>
          <t>VÄSTERBOTTENS LÄN</t>
        </is>
      </c>
      <c r="E4143" t="inlineStr">
        <is>
          <t>SKELLEFTEÅ</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24079-2025</t>
        </is>
      </c>
      <c r="B4144" s="1" t="n">
        <v>45796</v>
      </c>
      <c r="C4144" s="1" t="n">
        <v>45807</v>
      </c>
      <c r="D4144" t="inlineStr">
        <is>
          <t>VÄSTERBOTTENS LÄN</t>
        </is>
      </c>
      <c r="E4144" t="inlineStr">
        <is>
          <t>SKELLEFTEÅ</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24142-2025</t>
        </is>
      </c>
      <c r="B4145" s="1" t="n">
        <v>45796</v>
      </c>
      <c r="C4145" s="1" t="n">
        <v>45807</v>
      </c>
      <c r="D4145" t="inlineStr">
        <is>
          <t>VÄSTERBOTTENS LÄN</t>
        </is>
      </c>
      <c r="E4145" t="inlineStr">
        <is>
          <t>SKELLEFTEÅ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24064-2025</t>
        </is>
      </c>
      <c r="B4146" s="1" t="n">
        <v>45796</v>
      </c>
      <c r="C4146" s="1" t="n">
        <v>45807</v>
      </c>
      <c r="D4146" t="inlineStr">
        <is>
          <t>VÄSTERBOTTENS LÄN</t>
        </is>
      </c>
      <c r="E4146" t="inlineStr">
        <is>
          <t>SKELLEFTEÅ</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24067-2025</t>
        </is>
      </c>
      <c r="B4147" s="1" t="n">
        <v>45796</v>
      </c>
      <c r="C4147" s="1" t="n">
        <v>45807</v>
      </c>
      <c r="D4147" t="inlineStr">
        <is>
          <t>VÄSTERBOTTENS LÄN</t>
        </is>
      </c>
      <c r="E4147" t="inlineStr">
        <is>
          <t>SKELLEFTEÅ</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24061-2025</t>
        </is>
      </c>
      <c r="B4148" s="1" t="n">
        <v>45796</v>
      </c>
      <c r="C4148" s="1" t="n">
        <v>45807</v>
      </c>
      <c r="D4148" t="inlineStr">
        <is>
          <t>VÄSTERBOTTENS LÄN</t>
        </is>
      </c>
      <c r="E4148" t="inlineStr">
        <is>
          <t>SKELLEFTEÅ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24078-2025</t>
        </is>
      </c>
      <c r="B4149" s="1" t="n">
        <v>45796</v>
      </c>
      <c r="C4149" s="1" t="n">
        <v>45807</v>
      </c>
      <c r="D4149" t="inlineStr">
        <is>
          <t>VÄSTERBOTTENS LÄN</t>
        </is>
      </c>
      <c r="E4149" t="inlineStr">
        <is>
          <t>SKELLEFTEÅ</t>
        </is>
      </c>
      <c r="F4149" t="inlineStr">
        <is>
          <t>Holmen skog AB</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24065-2025</t>
        </is>
      </c>
      <c r="B4150" s="1" t="n">
        <v>45796</v>
      </c>
      <c r="C4150" s="1" t="n">
        <v>45807</v>
      </c>
      <c r="D4150" t="inlineStr">
        <is>
          <t>VÄSTERBOTTENS LÄN</t>
        </is>
      </c>
      <c r="E4150" t="inlineStr">
        <is>
          <t>SKELLEFTEÅ</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45807</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45807</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45807</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24205-2025</t>
        </is>
      </c>
      <c r="B4154" s="1" t="n">
        <v>45797</v>
      </c>
      <c r="C4154" s="1" t="n">
        <v>45807</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24264-2025</t>
        </is>
      </c>
      <c r="B4155" s="1" t="n">
        <v>45797</v>
      </c>
      <c r="C4155" s="1" t="n">
        <v>45807</v>
      </c>
      <c r="D4155" t="inlineStr">
        <is>
          <t>VÄSTERBOTTENS LÄN</t>
        </is>
      </c>
      <c r="E4155" t="inlineStr">
        <is>
          <t>SKELLEFTEÅ</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24323-2025</t>
        </is>
      </c>
      <c r="B4156" s="1" t="n">
        <v>45797</v>
      </c>
      <c r="C4156" s="1" t="n">
        <v>45807</v>
      </c>
      <c r="D4156" t="inlineStr">
        <is>
          <t>VÄSTERBOTTENS LÄN</t>
        </is>
      </c>
      <c r="E4156" t="inlineStr">
        <is>
          <t>SKELLEFTEÅ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24402-2025</t>
        </is>
      </c>
      <c r="B4157" s="1" t="n">
        <v>45797</v>
      </c>
      <c r="C4157" s="1" t="n">
        <v>45807</v>
      </c>
      <c r="D4157" t="inlineStr">
        <is>
          <t>VÄSTERBOTTENS LÄN</t>
        </is>
      </c>
      <c r="E4157" t="inlineStr">
        <is>
          <t>SKELLEFTEÅ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24261-2025</t>
        </is>
      </c>
      <c r="B4158" s="1" t="n">
        <v>45797</v>
      </c>
      <c r="C4158" s="1" t="n">
        <v>45807</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24579-2025</t>
        </is>
      </c>
      <c r="B4159" s="1" t="n">
        <v>45798</v>
      </c>
      <c r="C4159" s="1" t="n">
        <v>45807</v>
      </c>
      <c r="D4159" t="inlineStr">
        <is>
          <t>VÄSTERBOTTENS LÄN</t>
        </is>
      </c>
      <c r="E4159" t="inlineStr">
        <is>
          <t>SKELLEFTEÅ</t>
        </is>
      </c>
      <c r="G4159" t="n">
        <v>24.5</v>
      </c>
      <c r="H4159" t="n">
        <v>0</v>
      </c>
      <c r="I4159" t="n">
        <v>0</v>
      </c>
      <c r="J4159" t="n">
        <v>0</v>
      </c>
      <c r="K4159" t="n">
        <v>0</v>
      </c>
      <c r="L4159" t="n">
        <v>0</v>
      </c>
      <c r="M4159" t="n">
        <v>0</v>
      </c>
      <c r="N4159" t="n">
        <v>0</v>
      </c>
      <c r="O4159" t="n">
        <v>0</v>
      </c>
      <c r="P4159" t="n">
        <v>0</v>
      </c>
      <c r="Q4159" t="n">
        <v>0</v>
      </c>
      <c r="R4159" s="2" t="inlineStr"/>
    </row>
    <row r="4160" ht="15" customHeight="1">
      <c r="A4160" t="inlineStr">
        <is>
          <t>A 24569-2025</t>
        </is>
      </c>
      <c r="B4160" s="1" t="n">
        <v>45798</v>
      </c>
      <c r="C4160" s="1" t="n">
        <v>45807</v>
      </c>
      <c r="D4160" t="inlineStr">
        <is>
          <t>VÄSTERBOTTENS LÄN</t>
        </is>
      </c>
      <c r="E4160" t="inlineStr">
        <is>
          <t>SKELLEFTEÅ</t>
        </is>
      </c>
      <c r="G4160" t="n">
        <v>20.9</v>
      </c>
      <c r="H4160" t="n">
        <v>0</v>
      </c>
      <c r="I4160" t="n">
        <v>0</v>
      </c>
      <c r="J4160" t="n">
        <v>0</v>
      </c>
      <c r="K4160" t="n">
        <v>0</v>
      </c>
      <c r="L4160" t="n">
        <v>0</v>
      </c>
      <c r="M4160" t="n">
        <v>0</v>
      </c>
      <c r="N4160" t="n">
        <v>0</v>
      </c>
      <c r="O4160" t="n">
        <v>0</v>
      </c>
      <c r="P4160" t="n">
        <v>0</v>
      </c>
      <c r="Q4160" t="n">
        <v>0</v>
      </c>
      <c r="R4160" s="2" t="inlineStr"/>
    </row>
    <row r="4161" ht="15" customHeight="1">
      <c r="A4161" t="inlineStr">
        <is>
          <t>A 24501-2025</t>
        </is>
      </c>
      <c r="B4161" s="1" t="n">
        <v>45798</v>
      </c>
      <c r="C4161" s="1" t="n">
        <v>45807</v>
      </c>
      <c r="D4161" t="inlineStr">
        <is>
          <t>VÄSTERBOTTENS LÄN</t>
        </is>
      </c>
      <c r="E4161" t="inlineStr">
        <is>
          <t>SKELLEFTEÅ</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24496-2025</t>
        </is>
      </c>
      <c r="B4162" s="1" t="n">
        <v>45798</v>
      </c>
      <c r="C4162" s="1" t="n">
        <v>45807</v>
      </c>
      <c r="D4162" t="inlineStr">
        <is>
          <t>VÄSTERBOTTENS LÄN</t>
        </is>
      </c>
      <c r="E4162" t="inlineStr">
        <is>
          <t>SKELLEFTEÅ</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24986-2025</t>
        </is>
      </c>
      <c r="B4163" s="1" t="n">
        <v>45799</v>
      </c>
      <c r="C4163" s="1" t="n">
        <v>45807</v>
      </c>
      <c r="D4163" t="inlineStr">
        <is>
          <t>VÄSTERBOTTENS LÄN</t>
        </is>
      </c>
      <c r="E4163" t="inlineStr">
        <is>
          <t>SKELLEFTEÅ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24727-2025</t>
        </is>
      </c>
      <c r="B4164" s="1" t="n">
        <v>45799</v>
      </c>
      <c r="C4164" s="1" t="n">
        <v>45807</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24728-2025</t>
        </is>
      </c>
      <c r="B4165" s="1" t="n">
        <v>45799</v>
      </c>
      <c r="C4165" s="1" t="n">
        <v>45807</v>
      </c>
      <c r="D4165" t="inlineStr">
        <is>
          <t>VÄSTERBOTTENS LÄN</t>
        </is>
      </c>
      <c r="E4165" t="inlineStr">
        <is>
          <t>SKELLEFTEÅ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24825-2025</t>
        </is>
      </c>
      <c r="B4166" s="1" t="n">
        <v>45799</v>
      </c>
      <c r="C4166" s="1" t="n">
        <v>45807</v>
      </c>
      <c r="D4166" t="inlineStr">
        <is>
          <t>VÄSTERBOTTENS LÄN</t>
        </is>
      </c>
      <c r="E4166" t="inlineStr">
        <is>
          <t>SKELLEFTEÅ</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24829-2025</t>
        </is>
      </c>
      <c r="B4167" s="1" t="n">
        <v>45799</v>
      </c>
      <c r="C4167" s="1" t="n">
        <v>45807</v>
      </c>
      <c r="D4167" t="inlineStr">
        <is>
          <t>VÄSTERBOTTENS LÄN</t>
        </is>
      </c>
      <c r="E4167" t="inlineStr">
        <is>
          <t>SKELLEFTEÅ</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25046-2025</t>
        </is>
      </c>
      <c r="B4168" s="1" t="n">
        <v>45799</v>
      </c>
      <c r="C4168" s="1" t="n">
        <v>45807</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45807</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25688-2025</t>
        </is>
      </c>
      <c r="B4170" s="1" t="n">
        <v>45800</v>
      </c>
      <c r="C4170" s="1" t="n">
        <v>45807</v>
      </c>
      <c r="D4170" t="inlineStr">
        <is>
          <t>VÄSTERBOTTENS LÄN</t>
        </is>
      </c>
      <c r="E4170" t="inlineStr">
        <is>
          <t>SKELLEFTEÅ</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25403-2025</t>
        </is>
      </c>
      <c r="B4171" s="1" t="n">
        <v>45800</v>
      </c>
      <c r="C4171" s="1" t="n">
        <v>45807</v>
      </c>
      <c r="D4171" t="inlineStr">
        <is>
          <t>VÄSTERBOTTENS LÄN</t>
        </is>
      </c>
      <c r="E4171" t="inlineStr">
        <is>
          <t>SKELLEFTEÅ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25182-2025</t>
        </is>
      </c>
      <c r="B4172" s="1" t="n">
        <v>45800</v>
      </c>
      <c r="C4172" s="1" t="n">
        <v>45807</v>
      </c>
      <c r="D4172" t="inlineStr">
        <is>
          <t>VÄSTERBOTTENS LÄN</t>
        </is>
      </c>
      <c r="E4172" t="inlineStr">
        <is>
          <t>SKELLEFTEÅ</t>
        </is>
      </c>
      <c r="G4172" t="n">
        <v>19.3</v>
      </c>
      <c r="H4172" t="n">
        <v>0</v>
      </c>
      <c r="I4172" t="n">
        <v>0</v>
      </c>
      <c r="J4172" t="n">
        <v>0</v>
      </c>
      <c r="K4172" t="n">
        <v>0</v>
      </c>
      <c r="L4172" t="n">
        <v>0</v>
      </c>
      <c r="M4172" t="n">
        <v>0</v>
      </c>
      <c r="N4172" t="n">
        <v>0</v>
      </c>
      <c r="O4172" t="n">
        <v>0</v>
      </c>
      <c r="P4172" t="n">
        <v>0</v>
      </c>
      <c r="Q4172" t="n">
        <v>0</v>
      </c>
      <c r="R4172" s="2" t="inlineStr"/>
    </row>
    <row r="4173" ht="15" customHeight="1">
      <c r="A4173" t="inlineStr">
        <is>
          <t>A 25455-2025</t>
        </is>
      </c>
      <c r="B4173" s="1" t="n">
        <v>45802</v>
      </c>
      <c r="C4173" s="1" t="n">
        <v>45807</v>
      </c>
      <c r="D4173" t="inlineStr">
        <is>
          <t>VÄSTERBOTTENS LÄN</t>
        </is>
      </c>
      <c r="E4173" t="inlineStr">
        <is>
          <t>SKELLEFTEÅ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25458-2025</t>
        </is>
      </c>
      <c r="B4174" s="1" t="n">
        <v>45802</v>
      </c>
      <c r="C4174" s="1" t="n">
        <v>45807</v>
      </c>
      <c r="D4174" t="inlineStr">
        <is>
          <t>VÄSTERBOTTENS LÄN</t>
        </is>
      </c>
      <c r="E4174" t="inlineStr">
        <is>
          <t>SKELLEFTEÅ</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25456-2025</t>
        </is>
      </c>
      <c r="B4175" s="1" t="n">
        <v>45802</v>
      </c>
      <c r="C4175" s="1" t="n">
        <v>45807</v>
      </c>
      <c r="D4175" t="inlineStr">
        <is>
          <t>VÄSTERBOTTENS LÄN</t>
        </is>
      </c>
      <c r="E4175" t="inlineStr">
        <is>
          <t>SKELLEFTEÅ</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25457-2025</t>
        </is>
      </c>
      <c r="B4176" s="1" t="n">
        <v>45802</v>
      </c>
      <c r="C4176" s="1" t="n">
        <v>45807</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25459-2025</t>
        </is>
      </c>
      <c r="B4177" s="1" t="n">
        <v>45802</v>
      </c>
      <c r="C4177" s="1" t="n">
        <v>45807</v>
      </c>
      <c r="D4177" t="inlineStr">
        <is>
          <t>VÄSTERBOTTENS LÄN</t>
        </is>
      </c>
      <c r="E4177" t="inlineStr">
        <is>
          <t>SKELLEFTEÅ</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25460-2025</t>
        </is>
      </c>
      <c r="B4178" s="1" t="n">
        <v>45802</v>
      </c>
      <c r="C4178" s="1" t="n">
        <v>45807</v>
      </c>
      <c r="D4178" t="inlineStr">
        <is>
          <t>VÄSTERBOTTENS LÄN</t>
        </is>
      </c>
      <c r="E4178" t="inlineStr">
        <is>
          <t>SKELLEFTEÅ</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25525-2025</t>
        </is>
      </c>
      <c r="B4179" s="1" t="n">
        <v>45803</v>
      </c>
      <c r="C4179" s="1" t="n">
        <v>45807</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25641-2025</t>
        </is>
      </c>
      <c r="B4180" s="1" t="n">
        <v>45803</v>
      </c>
      <c r="C4180" s="1" t="n">
        <v>45807</v>
      </c>
      <c r="D4180" t="inlineStr">
        <is>
          <t>VÄSTERBOTTENS LÄN</t>
        </is>
      </c>
      <c r="E4180" t="inlineStr">
        <is>
          <t>SKELLEFTEÅ</t>
        </is>
      </c>
      <c r="F4180" t="inlineStr">
        <is>
          <t>Holmen skog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45807</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25804-2025</t>
        </is>
      </c>
      <c r="B4182" s="1" t="n">
        <v>45803</v>
      </c>
      <c r="C4182" s="1" t="n">
        <v>45807</v>
      </c>
      <c r="D4182" t="inlineStr">
        <is>
          <t>VÄSTERBOTTENS LÄN</t>
        </is>
      </c>
      <c r="E4182" t="inlineStr">
        <is>
          <t>SKELLEFTEÅ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45807</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25679-2025</t>
        </is>
      </c>
      <c r="B4184" s="1" t="n">
        <v>45803</v>
      </c>
      <c r="C4184" s="1" t="n">
        <v>45807</v>
      </c>
      <c r="D4184" t="inlineStr">
        <is>
          <t>VÄSTERBOTTENS LÄN</t>
        </is>
      </c>
      <c r="E4184" t="inlineStr">
        <is>
          <t>SKELLEFTEÅ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45807</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25527-2025</t>
        </is>
      </c>
      <c r="B4186" s="1" t="n">
        <v>45803</v>
      </c>
      <c r="C4186" s="1" t="n">
        <v>45807</v>
      </c>
      <c r="D4186" t="inlineStr">
        <is>
          <t>VÄSTERBOTTENS LÄN</t>
        </is>
      </c>
      <c r="E4186" t="inlineStr">
        <is>
          <t>SKELLEFTEÅ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25801-2025</t>
        </is>
      </c>
      <c r="B4187" s="1" t="n">
        <v>45803</v>
      </c>
      <c r="C4187" s="1" t="n">
        <v>45807</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25774-2025</t>
        </is>
      </c>
      <c r="B4188" s="1" t="n">
        <v>45804</v>
      </c>
      <c r="C4188" s="1" t="n">
        <v>45807</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26045-2025</t>
        </is>
      </c>
      <c r="B4189" s="1" t="n">
        <v>45804</v>
      </c>
      <c r="C4189" s="1" t="n">
        <v>45807</v>
      </c>
      <c r="D4189" t="inlineStr">
        <is>
          <t>VÄSTERBOTTENS LÄN</t>
        </is>
      </c>
      <c r="E4189" t="inlineStr">
        <is>
          <t>SKELLEFTEÅ</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25958-2025</t>
        </is>
      </c>
      <c r="B4190" s="1" t="n">
        <v>45804</v>
      </c>
      <c r="C4190" s="1" t="n">
        <v>45807</v>
      </c>
      <c r="D4190" t="inlineStr">
        <is>
          <t>VÄSTERBOTTENS LÄN</t>
        </is>
      </c>
      <c r="E4190" t="inlineStr">
        <is>
          <t>SKELLEFTEÅ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26049-2025</t>
        </is>
      </c>
      <c r="B4191" s="1" t="n">
        <v>45804</v>
      </c>
      <c r="C4191" s="1" t="n">
        <v>45807</v>
      </c>
      <c r="D4191" t="inlineStr">
        <is>
          <t>VÄSTERBOTTENS LÄN</t>
        </is>
      </c>
      <c r="E4191" t="inlineStr">
        <is>
          <t>SKELLEFTEÅ</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45807</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25876-2025</t>
        </is>
      </c>
      <c r="B4193" s="1" t="n">
        <v>45804</v>
      </c>
      <c r="C4193" s="1" t="n">
        <v>45807</v>
      </c>
      <c r="D4193" t="inlineStr">
        <is>
          <t>VÄSTERBOTTENS LÄN</t>
        </is>
      </c>
      <c r="E4193" t="inlineStr">
        <is>
          <t>SKELLEFTEÅ</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45807</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45807</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26194-2025</t>
        </is>
      </c>
      <c r="B4196" s="1" t="n">
        <v>45805</v>
      </c>
      <c r="C4196" s="1" t="n">
        <v>45807</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26318-2025</t>
        </is>
      </c>
      <c r="B4197" s="1" t="n">
        <v>45805</v>
      </c>
      <c r="C4197" s="1" t="n">
        <v>45807</v>
      </c>
      <c r="D4197" t="inlineStr">
        <is>
          <t>VÄSTERBOTTENS LÄN</t>
        </is>
      </c>
      <c r="E4197" t="inlineStr">
        <is>
          <t>SKELLEFTEÅ</t>
        </is>
      </c>
      <c r="G4197" t="n">
        <v>8.6</v>
      </c>
      <c r="H4197" t="n">
        <v>0</v>
      </c>
      <c r="I4197" t="n">
        <v>0</v>
      </c>
      <c r="J4197" t="n">
        <v>0</v>
      </c>
      <c r="K4197" t="n">
        <v>0</v>
      </c>
      <c r="L4197" t="n">
        <v>0</v>
      </c>
      <c r="M4197" t="n">
        <v>0</v>
      </c>
      <c r="N4197" t="n">
        <v>0</v>
      </c>
      <c r="O4197" t="n">
        <v>0</v>
      </c>
      <c r="P4197" t="n">
        <v>0</v>
      </c>
      <c r="Q4197" t="n">
        <v>0</v>
      </c>
      <c r="R4197" s="2" t="inlineStr"/>
    </row>
    <row r="4198">
      <c r="A4198" t="inlineStr">
        <is>
          <t>A 26286-2025</t>
        </is>
      </c>
      <c r="B4198" s="1" t="n">
        <v>45805</v>
      </c>
      <c r="C4198" s="1" t="n">
        <v>45807</v>
      </c>
      <c r="D4198" t="inlineStr">
        <is>
          <t>VÄSTERBOTTENS LÄN</t>
        </is>
      </c>
      <c r="E4198" t="inlineStr">
        <is>
          <t>SKELLEFTEÅ</t>
        </is>
      </c>
      <c r="F4198" t="inlineStr">
        <is>
          <t>Sveaskog</t>
        </is>
      </c>
      <c r="G4198" t="n">
        <v>10.9</v>
      </c>
      <c r="H4198" t="n">
        <v>0</v>
      </c>
      <c r="I4198" t="n">
        <v>0</v>
      </c>
      <c r="J4198" t="n">
        <v>0</v>
      </c>
      <c r="K4198" t="n">
        <v>0</v>
      </c>
      <c r="L4198" t="n">
        <v>0</v>
      </c>
      <c r="M4198" t="n">
        <v>0</v>
      </c>
      <c r="N4198" t="n">
        <v>0</v>
      </c>
      <c r="O4198" t="n">
        <v>0</v>
      </c>
      <c r="P4198" t="n">
        <v>0</v>
      </c>
      <c r="Q4198" t="n">
        <v>0</v>
      </c>
      <c r="R4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2025-05-30T17:49:58Z</dcterms:created>
  <dcterms:modified xmlns:dcterms="http://purl.org/dc/terms/" xmlns:xsi="http://www.w3.org/2001/XMLSchema-instance" xsi:type="dcterms:W3CDTF">2025-05-30T17:50:01Z</dcterms:modified>
</cp:coreProperties>
</file>