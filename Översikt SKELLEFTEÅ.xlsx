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45736</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45736</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45736</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45736</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45736</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45736</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45736</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45736</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45736</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45736</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45736</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45736</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45736</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45736</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4874-2025</t>
        </is>
      </c>
      <c r="B16" s="1" t="n">
        <v>45688</v>
      </c>
      <c r="C16" s="1" t="n">
        <v>45736</v>
      </c>
      <c r="D16" t="inlineStr">
        <is>
          <t>VÄSTERBOTTENS LÄN</t>
        </is>
      </c>
      <c r="E16" t="inlineStr">
        <is>
          <t>SKELLEFTEÅ</t>
        </is>
      </c>
      <c r="G16" t="n">
        <v>17.8</v>
      </c>
      <c r="H16" t="n">
        <v>5</v>
      </c>
      <c r="I16" t="n">
        <v>2</v>
      </c>
      <c r="J16" t="n">
        <v>10</v>
      </c>
      <c r="K16" t="n">
        <v>1</v>
      </c>
      <c r="L16" t="n">
        <v>0</v>
      </c>
      <c r="M16" t="n">
        <v>0</v>
      </c>
      <c r="N16" t="n">
        <v>0</v>
      </c>
      <c r="O16" t="n">
        <v>11</v>
      </c>
      <c r="P16" t="n">
        <v>1</v>
      </c>
      <c r="Q16" t="n">
        <v>13</v>
      </c>
      <c r="R16" s="2" t="inlineStr">
        <is>
          <t>Lappuggla
Duvhök
Gammelgransskål
Garnlav
Järpe
Kortskaftad ärgspik
Spillkråka
Tretåig hackspett
Ullticka
Vedskivlav
Violettgrå tagellav
Nästlav
Vedticka</t>
        </is>
      </c>
      <c r="S16">
        <f>HYPERLINK("https://klasma.github.io/Logging_2482/artfynd/A 4874-2025 artfynd.xlsx", "A 4874-2025")</f>
        <v/>
      </c>
      <c r="T16">
        <f>HYPERLINK("https://klasma.github.io/Logging_2482/kartor/A 4874-2025 karta.png", "A 4874-2025")</f>
        <v/>
      </c>
      <c r="V16">
        <f>HYPERLINK("https://klasma.github.io/Logging_2482/klagomål/A 4874-2025 FSC-klagomål.docx", "A 4874-2025")</f>
        <v/>
      </c>
      <c r="W16">
        <f>HYPERLINK("https://klasma.github.io/Logging_2482/klagomålsmail/A 4874-2025 FSC-klagomål mail.docx", "A 4874-2025")</f>
        <v/>
      </c>
      <c r="X16">
        <f>HYPERLINK("https://klasma.github.io/Logging_2482/tillsyn/A 4874-2025 tillsynsbegäran.docx", "A 4874-2025")</f>
        <v/>
      </c>
      <c r="Y16">
        <f>HYPERLINK("https://klasma.github.io/Logging_2482/tillsynsmail/A 4874-2025 tillsynsbegäran mail.docx", "A 4874-2025")</f>
        <v/>
      </c>
      <c r="Z16">
        <f>HYPERLINK("https://klasma.github.io/Logging_2482/fåglar/A 4874-2025 prioriterade fågelarter.docx", "A 4874-2025")</f>
        <v/>
      </c>
    </row>
    <row r="17" ht="15" customHeight="1">
      <c r="A17" t="inlineStr">
        <is>
          <t>A 61195-2022</t>
        </is>
      </c>
      <c r="B17" s="1" t="n">
        <v>44915</v>
      </c>
      <c r="C17" s="1" t="n">
        <v>45736</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61195-2022 artfynd.xlsx", "A 61195-2022")</f>
        <v/>
      </c>
      <c r="T17">
        <f>HYPERLINK("https://klasma.github.io/Logging_2482/kartor/A 61195-2022 karta.png", "A 61195-2022")</f>
        <v/>
      </c>
      <c r="U17">
        <f>HYPERLINK("https://klasma.github.io/Logging_2482/knärot/A 61195-2022 karta knärot.png", "A 61195-2022")</f>
        <v/>
      </c>
      <c r="V17">
        <f>HYPERLINK("https://klasma.github.io/Logging_2482/klagomål/A 61195-2022 FSC-klagomål.docx", "A 61195-2022")</f>
        <v/>
      </c>
      <c r="W17">
        <f>HYPERLINK("https://klasma.github.io/Logging_2482/klagomålsmail/A 61195-2022 FSC-klagomål mail.docx", "A 61195-2022")</f>
        <v/>
      </c>
      <c r="X17">
        <f>HYPERLINK("https://klasma.github.io/Logging_2482/tillsyn/A 61195-2022 tillsynsbegäran.docx", "A 61195-2022")</f>
        <v/>
      </c>
      <c r="Y17">
        <f>HYPERLINK("https://klasma.github.io/Logging_2482/tillsynsmail/A 61195-2022 tillsynsbegäran mail.docx", "A 61195-2022")</f>
        <v/>
      </c>
      <c r="Z17">
        <f>HYPERLINK("https://klasma.github.io/Logging_2482/fåglar/A 61195-2022 prioriterade fågelarter.docx", "A 61195-2022")</f>
        <v/>
      </c>
    </row>
    <row r="18" ht="15" customHeight="1">
      <c r="A18" t="inlineStr">
        <is>
          <t>A 61196-2022</t>
        </is>
      </c>
      <c r="B18" s="1" t="n">
        <v>44915</v>
      </c>
      <c r="C18" s="1" t="n">
        <v>45736</v>
      </c>
      <c r="D18" t="inlineStr">
        <is>
          <t>VÄSTERBOTTENS LÄN</t>
        </is>
      </c>
      <c r="E18" t="inlineStr">
        <is>
          <t>SKELLEFTEÅ</t>
        </is>
      </c>
      <c r="F18" t="inlineStr">
        <is>
          <t>Sveaskog</t>
        </is>
      </c>
      <c r="G18" t="n">
        <v>17.4</v>
      </c>
      <c r="H18" t="n">
        <v>3</v>
      </c>
      <c r="I18" t="n">
        <v>4</v>
      </c>
      <c r="J18" t="n">
        <v>6</v>
      </c>
      <c r="K18" t="n">
        <v>2</v>
      </c>
      <c r="L18" t="n">
        <v>0</v>
      </c>
      <c r="M18" t="n">
        <v>0</v>
      </c>
      <c r="N18" t="n">
        <v>0</v>
      </c>
      <c r="O18" t="n">
        <v>8</v>
      </c>
      <c r="P18" t="n">
        <v>2</v>
      </c>
      <c r="Q18" t="n">
        <v>12</v>
      </c>
      <c r="R18" s="2" t="inlineStr">
        <is>
          <t>Knärot
Rynkskinn
Garnlav
Granticka
Gränsticka
Lunglav
Spillkråka
Ullticka
Grönkulla
Mörk husmossa
Stuplav
Ögonpyrola</t>
        </is>
      </c>
      <c r="S18">
        <f>HYPERLINK("https://klasma.github.io/Logging_2482/artfynd/A 61196-2022 artfynd.xlsx", "A 61196-2022")</f>
        <v/>
      </c>
      <c r="T18">
        <f>HYPERLINK("https://klasma.github.io/Logging_2482/kartor/A 61196-2022 karta.png", "A 61196-2022")</f>
        <v/>
      </c>
      <c r="U18">
        <f>HYPERLINK("https://klasma.github.io/Logging_2482/knärot/A 61196-2022 karta knärot.png", "A 61196-2022")</f>
        <v/>
      </c>
      <c r="V18">
        <f>HYPERLINK("https://klasma.github.io/Logging_2482/klagomål/A 61196-2022 FSC-klagomål.docx", "A 61196-2022")</f>
        <v/>
      </c>
      <c r="W18">
        <f>HYPERLINK("https://klasma.github.io/Logging_2482/klagomålsmail/A 61196-2022 FSC-klagomål mail.docx", "A 61196-2022")</f>
        <v/>
      </c>
      <c r="X18">
        <f>HYPERLINK("https://klasma.github.io/Logging_2482/tillsyn/A 61196-2022 tillsynsbegäran.docx", "A 61196-2022")</f>
        <v/>
      </c>
      <c r="Y18">
        <f>HYPERLINK("https://klasma.github.io/Logging_2482/tillsynsmail/A 61196-2022 tillsynsbegäran mail.docx", "A 61196-2022")</f>
        <v/>
      </c>
      <c r="Z18">
        <f>HYPERLINK("https://klasma.github.io/Logging_2482/fåglar/A 61196-2022 prioriterade fågelarter.docx", "A 61196-2022")</f>
        <v/>
      </c>
    </row>
    <row r="19" ht="15" customHeight="1">
      <c r="A19" t="inlineStr">
        <is>
          <t>A 34664-2019</t>
        </is>
      </c>
      <c r="B19" s="1" t="n">
        <v>43648</v>
      </c>
      <c r="C19" s="1" t="n">
        <v>45736</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45736</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45736</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45736</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45736</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45736</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45736</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45736</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45736</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45736</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45736</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45736</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45736</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45736</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45736</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45736</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45736</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45736</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45736</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45736</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45736</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45736</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45736</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45736</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45736</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45736</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45736</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45736</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45736</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45736</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45736</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45736</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45736</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45736</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45736</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45736</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45736</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45736</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45736</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45736</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45736</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45736</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45736</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45736</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45736</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45736</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45736</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45736</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45736</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45736</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45736</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45736</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45736</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45736</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45736</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45736</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45736</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45736</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45736</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45736</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45736</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45736</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45736</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45736</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45736</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45736</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45736</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45736</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45736</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45736</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45736</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45736</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45736</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45736</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45736</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45736</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45736</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45736</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45736</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45736</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45736</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45736</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45736</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45736</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45736</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45736</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45736</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45736</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45736</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45736</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45736</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45736</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45736</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45736</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45736</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45736</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45736</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45736</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45736</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45736</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45736</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45736</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45736</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45736</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45736</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45736</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45736</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45736</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45736</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45736</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45736</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45736</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45736</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45736</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45736</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9093-2025</t>
        </is>
      </c>
      <c r="B134" s="1" t="n">
        <v>45713</v>
      </c>
      <c r="C134" s="1" t="n">
        <v>45736</v>
      </c>
      <c r="D134" t="inlineStr">
        <is>
          <t>VÄSTERBOTTENS LÄN</t>
        </is>
      </c>
      <c r="E134" t="inlineStr">
        <is>
          <t>SKELLEFTEÅ</t>
        </is>
      </c>
      <c r="G134" t="n">
        <v>4.3</v>
      </c>
      <c r="H134" t="n">
        <v>2</v>
      </c>
      <c r="I134" t="n">
        <v>0</v>
      </c>
      <c r="J134" t="n">
        <v>3</v>
      </c>
      <c r="K134" t="n">
        <v>0</v>
      </c>
      <c r="L134" t="n">
        <v>0</v>
      </c>
      <c r="M134" t="n">
        <v>0</v>
      </c>
      <c r="N134" t="n">
        <v>0</v>
      </c>
      <c r="O134" t="n">
        <v>3</v>
      </c>
      <c r="P134" t="n">
        <v>0</v>
      </c>
      <c r="Q134" t="n">
        <v>3</v>
      </c>
      <c r="R134" s="2" t="inlineStr">
        <is>
          <t>Spillkråka
Tretåig hackspett
Ullticka</t>
        </is>
      </c>
      <c r="S134">
        <f>HYPERLINK("https://klasma.github.io/Logging_2482/artfynd/A 9093-2025 artfynd.xlsx", "A 9093-2025")</f>
        <v/>
      </c>
      <c r="T134">
        <f>HYPERLINK("https://klasma.github.io/Logging_2482/kartor/A 9093-2025 karta.png", "A 9093-2025")</f>
        <v/>
      </c>
      <c r="V134">
        <f>HYPERLINK("https://klasma.github.io/Logging_2482/klagomål/A 9093-2025 FSC-klagomål.docx", "A 9093-2025")</f>
        <v/>
      </c>
      <c r="W134">
        <f>HYPERLINK("https://klasma.github.io/Logging_2482/klagomålsmail/A 9093-2025 FSC-klagomål mail.docx", "A 9093-2025")</f>
        <v/>
      </c>
      <c r="X134">
        <f>HYPERLINK("https://klasma.github.io/Logging_2482/tillsyn/A 9093-2025 tillsynsbegäran.docx", "A 9093-2025")</f>
        <v/>
      </c>
      <c r="Y134">
        <f>HYPERLINK("https://klasma.github.io/Logging_2482/tillsynsmail/A 9093-2025 tillsynsbegäran mail.docx", "A 9093-2025")</f>
        <v/>
      </c>
      <c r="Z134">
        <f>HYPERLINK("https://klasma.github.io/Logging_2482/fåglar/A 9093-2025 prioriterade fågelarter.docx", "A 9093-2025")</f>
        <v/>
      </c>
    </row>
    <row r="135" ht="15" customHeight="1">
      <c r="A135" t="inlineStr">
        <is>
          <t>A 18882-2019</t>
        </is>
      </c>
      <c r="B135" s="1" t="n">
        <v>43563</v>
      </c>
      <c r="C135" s="1" t="n">
        <v>45736</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45736</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45736</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45736</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45736</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45736</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45736</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45736</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45736</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45736</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45736</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45736</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45736</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45736</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45736</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45736</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45736</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45736</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45736</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45736</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45736</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45736</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45736</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45736</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45736</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45736</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45736</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45736</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45736</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45736</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45736</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45736</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45736</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45736</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45736</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45736</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45736</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45736</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45736</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45736</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45736</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45736</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45736</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45736</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45736</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45736</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45736</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45736</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45736</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45736</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45736</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45736</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45736</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45736</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45736</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45736</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45736</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45736</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45736</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45736</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45736</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45736</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45736</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45736</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45736</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45736</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45736</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45736</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45736</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45736</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45736</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45736</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45736</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45736</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45736</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45736</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45736</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45736</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45736</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45736</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45736</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45736</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45736</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45736</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45736</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45736</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45736</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45736</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45736</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45736</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45736</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45736</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45736</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45736</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45736</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45736</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45736</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45736</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45736</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45736</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45736</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45736</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45736</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45736</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45736</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45736</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45736</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45736</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45736</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45736</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45736</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45736</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45736</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45736</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45736</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45736</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45736</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45736</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45736</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45736</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45736</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45736</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45736</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45736</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45736</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45736</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45736</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45736</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45736</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45736</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45736</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45736</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45736</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45736</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45736</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45736</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45736</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45736</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45736</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45736</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45736</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45736</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45736</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45736</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45736</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45736</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45736</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45736</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45736</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45736</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45736</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45736</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45736</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45736</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45736</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45736</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45736</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45736</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45736</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45736</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45736</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45736</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45736</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45736</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45736</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45736</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45736</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45736</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45736</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45736</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45736</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45736</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45736</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45736</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45736</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45736</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45736</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45736</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45736</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45736</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45736</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45736</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45736</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45736</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45736</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45736</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45736</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45736</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45736</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45736</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45736</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45736</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45736</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45736</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45736</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45736</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45736</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45736</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45736</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45736</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45736</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45736</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45736</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45736</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45736</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45736</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45736</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45736</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45736</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45736</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45736</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45736</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45736</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45736</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45736</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45736</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45736</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45736</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45736</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45736</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45736</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45736</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45736</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45736</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45736</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45736</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45736</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45736</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45736</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45736</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45736</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45736</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45736</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45736</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45736</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45736</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45736</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45736</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45736</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45736</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45736</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45736</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45736</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45736</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45736</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45736</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45736</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45736</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45736</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45736</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45736</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45736</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45736</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45736</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45736</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45736</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45736</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45736</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45736</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45736</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45736</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45736</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45736</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45736</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45736</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45736</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45736</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45736</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45736</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45736</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45736</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45736</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45736</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45736</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45736</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45736</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45736</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45736</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45736</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45736</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45736</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45736</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45736</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45736</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45736</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45736</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45736</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45736</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45736</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45736</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45736</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45736</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45736</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45736</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45736</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45736</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45736</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45736</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45736</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45736</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45736</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45736</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45736</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45736</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45736</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45736</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45736</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45736</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45736</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45736</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45736</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45736</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45736</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45736</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45736</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45736</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45736</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45736</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45736</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45736</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45736</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45736</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45736</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45736</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45736</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45736</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45736</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45736</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45736</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45736</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45736</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45736</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45736</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45736</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45736</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45736</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45736</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45736</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45736</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45736</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45736</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45736</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45736</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45736</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45736</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45736</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45736</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45736</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45736</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45736</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45736</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45736</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45736</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45736</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45736</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45736</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45736</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45736</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45736</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45736</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45736</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45736</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45736</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45736</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45736</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45736</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45736</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45736</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45736</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45736</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45736</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45736</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45736</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45736</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45736</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45736</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45736</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45736</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45736</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45736</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45736</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45736</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45736</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45736</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45736</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45736</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45736</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45736</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45736</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45736</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45736</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45736</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45736</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45736</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45736</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45736</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45736</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45736</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45736</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45736</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45736</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45736</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45736</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45736</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45736</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45736</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45736</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45736</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45736</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45736</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45736</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45736</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45736</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45736</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45736</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45736</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45736</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45736</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45736</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45736</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45736</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45736</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45736</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45736</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45736</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45736</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45736</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45736</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45736</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45736</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45736</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45736</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45736</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45736</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45736</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45736</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45736</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45736</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45736</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45736</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45736</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45736</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45736</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45736</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45736</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45736</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45736</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45736</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45736</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45736</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45736</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45736</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45736</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45736</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45736</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45736</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45736</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45736</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45736</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45736</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45736</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45736</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45736</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45736</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45736</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45736</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45736</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45736</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45736</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45736</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45736</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45736</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45736</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45736</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45736</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45736</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45736</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45736</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45736</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45736</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45736</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45736</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45736</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45736</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45736</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45736</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45736</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45736</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45736</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45736</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45736</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45736</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45736</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45736</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45736</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45736</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45736</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45736</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45736</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45736</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45736</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45736</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45736</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45736</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45736</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45736</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45736</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45736</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45736</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45736</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45736</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45736</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45736</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45736</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45736</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45736</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45736</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45736</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45736</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45736</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45736</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45736</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45736</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45736</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45736</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45736</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45736</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45736</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45736</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45736</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45736</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45736</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45736</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45736</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45736</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45736</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45736</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45736</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45736</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45736</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45736</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45736</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45736</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45736</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45736</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45736</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45736</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45736</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45736</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45736</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45736</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45736</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45736</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45736</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45736</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45736</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45736</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45736</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45736</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45736</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45736</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45736</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45736</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45736</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45736</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45736</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45736</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45736</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45736</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45736</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45736</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45736</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45736</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45736</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45736</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45736</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45736</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45736</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45736</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45736</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45736</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45736</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45736</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45736</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45736</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45736</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45736</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45736</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45736</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45736</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45736</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45736</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45736</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45736</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45736</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45736</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45736</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45736</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45736</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45736</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45736</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45736</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45736</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45736</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45736</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45736</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45736</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45736</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45736</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45736</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45736</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45736</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45736</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45736</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45736</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45736</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45736</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45736</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45736</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45736</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45736</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45736</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45736</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45736</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45736</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45736</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45736</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45736</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45736</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45736</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45736</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45736</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45736</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45736</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45736</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45736</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45736</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45736</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45736</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45736</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45736</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45736</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45736</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45736</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45736</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45736</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45736</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45736</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45736</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45736</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45736</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45736</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45736</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45736</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45736</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45736</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45736</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45736</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45736</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45736</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45736</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45736</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45736</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45736</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45736</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45736</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45736</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45736</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45736</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45736</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45736</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45736</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45736</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45736</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45736</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45736</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45736</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45736</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45736</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45736</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45736</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45736</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45736</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45736</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45736</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45736</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45736</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45736</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45736</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45736</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45736</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45736</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45736</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45736</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45736</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45736</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45736</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45736</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45736</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45736</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45736</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45736</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45736</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45736</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45736</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45736</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45736</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45736</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45736</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45736</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45736</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45736</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45736</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45736</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45736</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45736</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45736</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45736</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45736</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45736</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45736</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45736</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45736</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45736</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45736</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45736</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45736</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45736</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45736</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45736</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45736</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45736</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45736</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45736</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45736</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45736</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45736</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45736</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45736</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45736</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45736</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45736</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45736</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45736</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45736</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45736</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45736</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45736</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45736</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45736</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45736</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45736</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45736</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45736</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45736</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45736</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45736</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45736</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45736</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45736</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45736</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45736</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45736</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45736</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45736</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45736</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45736</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45736</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45736</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45736</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45736</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45736</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45736</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45736</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45736</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45736</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45736</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45736</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45736</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45736</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45736</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45736</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45736</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45736</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45736</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45736</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45736</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45736</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45736</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45736</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45736</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45736</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45736</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45736</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45736</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45736</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45736</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45736</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45736</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45736</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45736</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45736</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45736</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45736</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45736</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45736</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45736</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45736</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45736</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45736</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45736</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45736</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45736</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45736</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45736</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45736</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45736</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45736</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45736</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45736</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45736</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45736</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45736</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45736</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45736</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45736</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45736</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45736</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45736</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45736</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45736</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45736</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45736</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45736</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45736</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45736</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45736</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45736</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45736</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45736</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45736</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45736</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45736</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45736</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45736</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45736</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45736</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45736</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45736</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45736</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45736</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45736</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45736</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45736</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45736</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45736</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45736</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45736</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45736</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45736</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45736</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45736</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45736</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45736</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45736</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45736</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45736</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45736</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45736</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45736</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45736</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45736</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45736</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45736</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45736</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45736</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45736</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45736</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45736</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45736</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45736</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45736</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45736</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45736</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45736</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45736</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45736</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45736</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45736</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45736</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45736</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45736</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45736</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45736</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45736</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45736</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45736</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45736</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45736</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45736</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45736</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45736</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45736</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45736</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45736</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45736</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45736</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45736</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45736</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45736</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45736</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45736</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45736</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45736</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45736</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45736</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45736</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45736</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45736</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45736</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45736</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45736</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45736</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45736</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45736</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45736</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45736</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45736</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45736</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45736</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45736</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45736</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45736</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45736</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45736</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45736</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45736</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45736</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45736</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45736</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45736</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45736</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45736</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45736</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45736</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45736</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45736</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45736</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45736</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45736</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45736</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45736</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45736</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45736</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45736</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45736</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45736</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45736</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45736</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45736</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45736</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45736</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45736</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45736</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45736</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45736</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45736</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45736</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45736</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45736</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45736</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45736</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45736</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45736</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45736</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45736</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45736</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45736</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45736</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45736</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45736</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45736</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45736</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45736</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45736</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45736</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45736</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45736</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45736</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45736</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45736</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45736</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45736</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45736</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45736</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45736</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45736</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45736</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45736</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45736</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45736</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45736</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45736</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45736</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45736</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45736</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45736</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45736</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45736</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45736</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45736</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45736</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45736</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45736</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45736</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45736</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45736</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45736</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45736</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45736</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45736</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45736</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45736</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45736</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45736</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45736</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45736</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45736</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45736</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45736</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45736</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45736</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45736</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45736</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45736</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45736</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45736</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45736</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45736</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45736</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45736</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45736</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45736</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45736</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45736</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45736</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45736</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45736</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45736</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45736</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45736</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45736</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45736</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45736</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45736</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45736</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45736</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45736</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45736</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45736</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45736</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45736</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45736</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45736</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45736</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45736</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45736</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45736</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45736</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45736</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45736</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45736</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45736</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45736</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45736</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45736</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45736</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45736</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45736</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45736</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45736</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45736</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45736</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45736</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45736</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45736</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45736</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45736</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45736</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45736</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45736</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45736</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45736</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45736</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45736</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45736</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45736</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45736</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45736</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45736</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45736</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45736</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45736</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45736</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45736</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45736</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45736</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45736</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45736</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45736</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45736</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45736</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45736</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45736</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45736</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45736</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45736</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45736</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45736</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45736</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45736</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45736</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45736</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45736</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45736</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45736</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45736</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45736</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45736</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45736</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45736</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45736</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45736</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45736</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45736</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45736</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45736</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45736</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45736</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45736</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45736</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45736</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45736</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45736</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45736</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45736</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45736</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45736</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45736</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45736</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45736</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45736</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45736</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45736</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45736</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45736</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45736</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45736</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45736</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45736</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45736</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45736</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45736</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45736</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45736</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45736</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45736</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45736</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45736</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45736</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45736</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45736</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45736</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45736</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45736</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45736</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45736</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45736</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45736</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45736</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45736</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45736</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45736</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45736</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45736</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45736</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45736</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45736</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45736</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45736</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45736</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45736</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45736</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45736</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45736</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45736</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45736</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45736</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45736</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45736</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45736</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45736</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45736</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45736</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45736</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45736</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45736</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45736</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45736</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45736</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45736</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45736</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45736</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45736</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45736</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45736</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45736</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45736</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45736</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45736</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45736</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45736</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45736</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45736</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45736</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45736</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45736</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45736</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45736</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45736</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45736</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45736</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45736</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45736</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45736</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45736</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45736</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45736</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45736</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45736</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45736</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45736</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45736</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45736</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45736</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45736</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45736</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45736</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45736</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45736</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45736</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45736</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45736</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45736</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45736</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45736</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45736</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45736</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45736</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45736</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45736</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45736</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45736</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45736</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45736</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45736</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45736</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45736</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45736</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45736</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45736</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45736</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45736</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45736</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45736</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45736</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45736</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45736</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45736</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45736</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45736</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45736</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45736</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45736</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45736</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45736</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45736</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45736</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45736</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45736</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45736</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45736</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45736</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45736</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45736</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45736</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45736</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45736</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45736</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45736</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45736</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45736</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45736</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45736</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45736</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45736</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45736</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45736</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45736</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45736</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45736</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45736</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45736</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45736</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45736</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45736</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45736</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45736</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45736</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45736</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45736</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45736</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45736</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45736</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45736</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45736</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45736</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45736</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45736</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45736</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45736</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45736</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45736</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45736</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45736</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45736</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45736</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45736</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45736</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45736</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45736</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45736</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45736</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45736</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45736</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45736</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45736</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45736</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45736</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45736</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45736</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45736</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45736</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45736</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45736</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45736</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45736</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45736</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45736</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45736</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45736</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45736</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45736</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45736</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45736</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45736</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45736</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45736</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45736</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45736</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45736</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45736</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45736</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45736</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45736</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45736</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45736</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45736</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45736</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45736</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45736</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45736</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45736</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45736</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45736</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45736</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45736</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45736</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45736</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45736</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45736</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45736</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45736</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45736</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45736</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45736</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45736</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45736</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45736</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45736</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45736</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45736</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45736</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45736</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45736</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45736</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45736</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45736</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45736</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45736</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45736</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45736</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45736</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45736</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45736</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45736</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45736</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45736</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45736</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45736</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45736</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45736</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45736</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45736</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45736</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45736</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45736</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45736</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45736</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45736</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45736</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45736</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45736</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45736</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45736</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45736</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45736</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45736</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45736</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45736</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45736</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45736</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45736</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45736</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45736</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45736</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45736</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45736</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45736</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45736</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45736</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45736</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45736</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45736</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45736</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45736</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45736</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45736</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45736</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45736</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45736</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45736</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45736</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45736</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45736</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45736</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45736</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45736</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45736</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45736</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45736</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45736</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45736</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45736</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45736</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45736</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45736</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45736</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45736</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45736</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45736</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45736</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45736</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45736</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45736</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45736</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45736</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45736</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45736</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45736</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45736</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45736</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45736</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45736</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45736</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45736</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45736</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45736</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45736</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45736</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45736</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45736</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45736</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45736</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45736</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45736</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45736</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45736</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45736</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45736</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45736</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45736</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45736</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45736</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45736</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45736</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45736</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45736</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45736</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45736</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45736</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45736</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45736</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45736</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45736</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45736</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45736</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45736</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45736</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45736</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45736</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45736</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45736</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45736</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45736</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45736</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45736</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45736</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45736</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45736</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45736</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45736</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45736</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45736</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45736</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45736</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45736</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45736</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45736</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45736</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45736</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45736</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45736</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45736</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45736</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45736</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45736</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45736</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45736</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45736</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45736</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45736</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45736</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45736</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45736</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45736</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45736</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45736</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45736</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45736</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45736</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45736</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45736</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45736</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45736</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45736</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45736</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45736</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45736</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45736</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45736</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45736</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45736</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45736</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45736</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45736</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45736</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45736</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45736</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45736</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45736</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45736</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45736</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45736</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45736</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45736</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45736</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45736</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45736</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45736</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45736</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45736</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45736</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45736</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45736</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45736</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45736</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45736</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45736</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45736</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45736</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45736</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45736</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45736</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45736</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45736</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45736</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45736</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45736</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45736</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45736</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45736</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45736</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45736</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45736</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45736</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45736</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45736</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45736</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45736</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45736</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45736</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45736</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45736</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45736</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45736</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45736</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45736</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45736</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45736</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45736</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45736</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45736</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45736</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45736</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45736</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45736</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45736</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45736</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45736</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45736</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45736</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45736</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45736</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45736</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45736</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45736</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45736</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45736</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45736</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45736</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45736</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45736</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45736</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45736</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45736</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45736</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45736</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45736</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45736</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45736</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45736</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45736</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45736</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45736</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45736</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45736</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45736</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45736</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45736</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45736</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45736</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45736</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45736</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45736</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45736</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45736</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45736</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45736</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45736</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45736</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45736</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45736</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45736</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45736</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45736</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45736</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45736</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45736</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45736</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45736</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45736</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45736</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45736</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45736</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45736</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45736</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45736</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45736</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45736</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45736</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45736</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45736</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45736</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45736</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45736</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45736</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45736</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45736</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45736</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45736</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45736</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45736</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45736</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45736</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45736</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45736</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45736</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45736</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45736</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45736</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45736</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45736</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45736</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45736</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45736</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45736</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45736</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45736</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45736</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45736</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45736</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45736</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45736</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45736</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45736</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45736</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45736</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45736</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45736</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45736</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45736</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45736</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45736</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45736</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45736</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45736</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45736</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45736</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45736</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45736</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45736</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45736</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45736</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45736</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45736</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45736</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45736</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45736</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45736</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45736</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45736</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45736</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45736</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45736</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45736</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45736</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45736</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45736</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45736</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45736</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45736</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45736</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45736</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45736</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45736</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45736</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45736</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45736</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45736</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45736</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45736</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45736</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45736</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45736</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45736</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45736</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45736</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45736</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45736</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45736</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45736</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45736</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45736</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45736</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45736</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45736</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45736</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45736</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45736</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45736</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45736</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45736</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45736</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45736</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45736</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45736</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45736</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45736</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45736</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45736</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45736</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45736</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45736</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45736</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45736</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45736</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45736</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45736</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45736</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45736</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45736</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45736</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45736</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45736</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45736</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45736</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45736</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45736</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45736</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45736</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45736</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45736</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45736</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45736</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45736</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45736</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45736</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45736</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45736</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45736</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45736</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45736</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45736</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45736</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45736</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45736</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45736</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45736</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45736</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45736</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45736</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45736</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45736</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45736</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45736</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45736</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45736</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45736</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45736</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45736</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45736</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45736</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45736</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45736</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45736</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45736</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45736</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45736</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45736</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45736</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45736</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45736</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45736</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45736</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45736</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45736</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45736</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45736</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45736</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45736</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45736</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45736</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45736</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45736</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45736</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45736</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45736</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45736</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45736</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45736</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45736</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45736</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45736</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45736</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45736</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45736</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45736</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45736</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45736</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45736</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45736</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45736</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45736</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45736</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45736</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45736</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45736</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45736</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45736</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45736</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45736</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45736</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45736</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45736</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45736</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45736</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45736</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45736</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45736</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45736</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45736</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45736</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45736</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45736</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45736</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45736</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45736</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45736</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45736</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45736</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45736</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45736</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45736</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45736</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45736</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45736</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45736</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45736</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45736</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45736</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45736</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45736</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45736</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45736</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45736</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45736</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45736</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45736</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45736</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45736</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45736</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45736</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45736</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45736</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45736</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45736</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45736</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45736</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45736</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45736</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45736</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45736</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45736</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45736</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45736</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45736</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45736</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45736</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45736</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45736</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45736</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45736</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45736</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45736</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45736</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45736</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45736</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45736</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45736</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45736</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45736</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45736</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45736</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45736</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45736</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45736</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45736</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45736</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45736</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45736</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45736</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45736</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45736</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45736</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45736</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45736</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45736</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45736</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45736</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45736</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45736</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45736</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45736</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45736</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45736</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45736</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45736</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45736</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45736</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45736</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45736</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45736</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45736</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45736</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45736</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45736</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45736</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45736</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45736</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45736</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45736</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45736</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45736</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45736</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45736</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45736</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45736</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45736</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45736</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45736</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45736</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45736</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45736</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45736</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45736</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45736</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45736</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45736</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45736</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45736</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45736</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45736</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45736</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45736</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45736</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45736</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45736</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45736</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45736</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45736</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45736</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45736</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45736</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45736</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45736</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45736</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45736</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45736</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45736</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45736</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45736</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45736</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45736</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45736</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45736</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45736</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45736</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45736</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45736</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45736</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45736</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45736</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45736</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45736</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45736</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45736</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45736</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45736</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45736</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45736</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45736</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45736</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45736</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45736</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45736</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45736</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45736</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45736</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45736</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45736</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45736</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45736</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45736</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45736</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45736</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45736</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45736</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45736</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45736</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45736</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45736</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45736</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45736</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45736</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45736</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45736</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45736</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45736</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45736</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45736</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45736</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45736</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45736</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45736</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45736</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45736</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45736</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45736</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45736</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45736</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45736</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45736</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45736</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45736</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45736</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45736</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45736</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45736</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45736</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45736</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45736</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45736</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45736</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45736</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45736</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45736</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45736</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45736</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45736</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45736</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45736</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45736</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45736</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45736</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45736</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45736</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45736</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45736</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45736</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45736</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45736</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45736</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45736</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45736</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45736</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45736</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45736</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45736</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45736</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45736</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45736</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45736</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45736</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45736</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45736</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45736</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45736</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45736</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45736</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45736</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45736</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45736</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45736</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45736</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45736</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45736</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45736</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45736</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45736</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45736</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45736</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45736</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45736</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45736</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45736</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45736</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45736</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45736</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45736</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45736</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45736</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45736</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45736</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45736</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45736</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45736</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45736</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45736</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45736</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45736</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45736</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45736</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45736</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45736</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45736</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45736</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45736</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45736</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45736</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45736</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45736</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45736</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45736</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45736</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45736</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45736</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45736</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45736</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45736</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45736</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45736</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45736</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45736</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45736</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45736</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45736</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45736</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45736</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45736</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45736</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45736</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45736</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45736</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45736</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45736</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45736</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45736</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45736</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45736</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45736</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45736</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45736</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45736</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45736</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45736</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45736</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45736</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45736</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45736</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45736</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45736</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45736</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45736</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45736</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45736</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45736</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45736</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45736</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45736</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45736</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45736</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45736</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45736</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45736</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45736</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45736</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45736</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45736</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45736</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45736</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45736</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45736</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45736</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45736</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45736</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45736</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45736</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45736</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45736</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45736</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45736</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45736</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45736</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45736</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45736</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45736</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45736</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45736</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45736</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45736</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45736</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45736</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45736</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45736</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45736</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45736</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45736</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45736</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45736</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45736</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45736</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45736</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45736</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45736</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45736</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45736</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45736</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45736</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45736</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45736</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45736</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45736</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45736</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45736</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45736</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45736</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45736</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45736</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45736</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45736</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45736</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45736</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45736</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45736</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45736</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45736</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45736</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45736</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45736</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45736</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45736</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45736</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45736</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45736</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45736</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45736</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45736</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45736</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45736</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45736</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45736</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45736</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45736</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45736</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45736</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45736</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45736</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45736</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45736</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45736</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45736</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45736</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45736</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45736</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45736</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45736</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45736</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45736</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45736</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45736</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45736</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45736</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45736</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45736</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45736</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45736</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45736</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45736</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45736</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45736</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45736</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45736</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45736</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45736</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45736</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45736</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45736</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45736</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45736</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45736</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45736</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45736</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45736</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45736</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45736</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45736</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45736</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45736</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45736</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45736</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45736</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45736</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45736</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45736</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45736</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45736</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45736</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45736</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45736</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45736</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45736</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45736</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45736</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45736</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45736</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45736</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45736</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45736</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45736</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45736</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45736</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45736</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45736</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45736</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45736</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45736</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45736</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45736</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45736</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45736</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45736</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45736</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45736</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45736</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45736</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45736</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45736</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45736</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45736</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45736</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45736</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45736</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45736</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45736</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45736</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45736</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45736</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45736</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45736</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45736</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45736</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45736</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45736</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45736</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45736</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45736</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45736</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45736</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45736</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45736</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45736</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45736</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45736</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45736</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45736</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45736</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45736</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45736</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45736</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45736</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45736</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45736</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45736</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45736</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45736</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45736</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45736</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45736</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45736</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45736</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45736</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45736</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45736</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45736</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45736</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45736</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45736</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45736</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45736</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45736</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45736</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45736</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45736</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45736</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45736</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45736</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45736</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45736</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45736</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45736</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45736</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45736</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45736</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45736</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45736</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45736</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45736</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45736</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45736</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45736</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45736</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45736</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45736</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45736</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45736</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45736</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45736</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45736</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45736</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45736</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45736</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45736</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45736</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45736</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45736</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45736</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45736</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45736</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45736</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45736</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45736</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45736</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45736</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45736</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45736</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45736</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45736</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45736</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45736</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45736</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45736</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45736</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45736</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45736</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45736</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45736</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45736</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45736</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45736</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45736</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45736</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45736</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45736</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45736</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45736</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45736</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45736</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45736</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45736</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45736</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45736</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45736</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45736</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45736</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45736</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45736</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45736</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45736</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45736</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45736</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45736</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45736</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45736</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45736</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45736</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45736</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45736</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45736</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45736</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45736</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45736</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45736</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45736</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45736</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45736</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45736</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45736</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45736</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45736</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45736</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45736</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45736</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45736</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45736</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45736</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45736</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45736</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45736</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45736</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45736</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45736</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45736</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45736</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45736</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45736</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45736</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45736</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45736</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45736</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45736</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45736</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45736</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45736</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45736</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45736</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45736</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45736</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45736</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45736</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45736</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45736</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45736</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45736</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45736</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45736</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45736</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45736</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45736</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45736</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45736</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45736</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45736</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45736</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45736</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45736</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45736</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45736</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45736</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45736</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45736</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45736</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45736</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45736</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45736</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45736</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45736</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45736</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45736</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45736</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45736</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45736</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45736</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45736</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45736</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45736</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45736</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45736</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45736</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45736</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45736</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45736</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45736</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45736</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45736</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45736</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45736</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45736</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45736</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45736</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45736</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45736</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45736</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45736</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45736</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45736</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45736</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45736</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45736</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45736</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45736</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45736</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45736</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45736</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45736</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45736</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45736</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45736</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45736</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45736</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45736</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45736</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45736</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45736</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45736</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45736</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45736</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45736</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45736</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45736</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45736</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45736</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45736</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45736</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45736</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45736</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45736</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45736</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45736</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45736</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45736</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45736</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45736</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45736</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45736</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45736</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45736</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45736</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45736</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45736</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45736</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45736</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45736</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45736</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45736</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45736</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45736</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45736</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45736</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45736</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45736</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45736</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45736</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45736</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45736</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45736</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45736</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45736</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45736</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45736</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45736</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45736</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45736</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45736</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45736</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45736</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45736</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45736</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45736</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45736</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45736</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45736</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45736</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45736</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45736</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45736</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45736</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45736</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45736</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45736</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45736</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45736</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45736</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45736</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45736</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45736</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45736</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45736</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45736</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45736</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45736</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45736</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45736</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45736</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45736</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45736</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45736</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45736</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45736</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45736</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45736</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45736</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45736</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45736</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45736</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45736</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45736</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45736</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45736</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45736</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45736</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45736</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45736</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45736</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45736</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45736</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45736</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45736</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45736</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45736</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45736</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45736</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45736</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45736</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45736</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45736</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45736</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45736</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45736</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45736</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45736</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45736</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45736</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45736</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45736</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45736</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45736</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45736</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45736</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45736</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45736</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45736</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45736</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45736</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45736</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45736</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45736</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45736</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45736</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45736</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45736</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45736</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45736</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45736</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45736</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45736</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45736</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45736</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45736</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45736</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45736</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45736</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45736</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45736</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45736</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45736</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45736</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45736</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45736</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45736</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45736</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45736</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45736</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45736</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45736</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45736</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45736</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45736</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45736</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45736</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45736</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45736</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45736</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45736</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45736</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45736</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45736</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45736</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45736</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45736</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45736</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45736</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45736</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45736</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45736</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45736</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45736</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45736</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45736</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45736</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45736</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45736</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45736</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45736</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45736</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45736</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45736</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45736</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45736</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45736</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45736</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45736</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45736</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45736</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45736</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45736</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45736</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45736</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45736</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45736</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45736</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45736</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45736</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45736</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45736</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45736</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45736</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45736</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45736</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45736</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45736</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45736</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45736</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45736</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45736</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45736</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45736</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45736</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45736</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45736</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45736</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45736</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45736</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45736</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45736</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45736</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45736</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45736</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45736</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45736</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45736</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45736</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45736</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45736</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45736</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45736</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45736</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45736</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45736</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45736</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45736</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45736</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45736</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45736</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45736</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45736</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45736</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45736</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45736</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45736</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45736</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45736</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45736</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45736</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45736</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45736</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45736</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45736</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45736</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45736</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45736</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45736</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45736</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45736</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45736</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45736</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45736</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45736</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45736</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45736</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45736</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45736</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45736</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45736</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45736</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45736</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45736</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45736</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45736</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45736</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45736</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45736</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45736</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45736</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45736</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45736</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45736</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45736</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45736</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45736</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45736</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45736</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45736</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45736</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45736</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45736</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45736</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45736</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45736</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45736</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45736</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45736</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45736</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45736</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45736</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45736</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45736</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45736</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45736</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45736</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45736</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45736</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45736</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45736</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45736</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45736</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45736</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45736</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45736</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45736</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45736</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45736</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45736</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45736</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45736</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45736</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45736</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45736</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45736</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45736</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45736</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45736</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45736</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45736</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45736</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45736</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45736</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45736</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45736</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45736</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45736</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45736</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45736</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45736</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45736</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45736</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45736</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45736</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45736</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45736</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45736</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45736</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45736</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45736</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45736</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45736</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45736</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45736</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45736</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45736</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45736</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45736</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45736</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45736</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45736</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45736</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45736</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45736</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45736</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45736</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45736</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45736</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45736</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45736</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45736</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45736</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45736</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45736</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45736</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45736</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45736</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45736</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45736</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45736</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45736</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45736</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45736</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45736</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45736</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45736</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45736</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45736</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45736</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45736</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45736</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45736</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45736</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45736</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45736</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45736</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45736</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45736</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45736</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45736</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45736</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45736</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45736</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45736</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45736</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45736</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45736</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45736</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45736</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45736</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45736</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45736</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45736</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45736</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45736</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45736</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45736</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45736</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45736</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45736</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45736</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45736</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45736</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45736</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45736</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45736</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45736</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45736</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45736</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45736</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45736</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45736</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45736</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45736</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45736</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45736</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45736</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45736</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45736</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45736</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45736</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45736</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45736</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45736</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45736</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45736</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45736</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45736</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45736</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45736</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45736</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45736</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45736</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45736</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45736</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45736</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45736</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45736</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45736</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45736</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45736</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45736</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45736</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45736</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45736</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45736</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45736</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45736</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45736</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45736</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45736</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45736</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45736</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45736</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45736</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45736</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45736</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45736</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45736</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45736</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45736</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45736</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45736</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45736</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45736</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45736</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45736</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45736</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45736</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45736</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45736</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45736</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45736</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45736</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45736</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45736</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45736</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45736</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45736</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45736</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45736</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45736</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45736</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45736</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45736</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45736</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45736</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45736</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45736</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45736</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45736</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45736</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45736</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45736</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45736</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45736</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45736</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45736</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45736</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45736</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45736</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45736</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45736</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45736</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45736</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45736</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45736</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45736</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45736</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45736</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45736</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45736</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45736</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45736</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45736</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45736</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45736</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45736</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45736</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45736</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45736</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45736</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45736</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45736</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45736</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45736</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45736</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45736</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45736</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45736</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45736</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45736</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45736</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45736</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45736</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45736</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45736</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45736</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45736</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45736</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45736</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45736</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45736</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45736</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45736</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45736</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45736</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45736</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45736</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45736</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45736</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45736</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45736</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45736</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45736</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45736</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45736</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45736</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45736</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45736</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45736</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45736</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45736</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45736</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45736</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45736</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45736</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45736</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45736</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45736</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45736</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45736</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45736</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45736</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45736</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45736</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45736</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45736</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45736</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45736</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45736</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45736</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45736</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45736</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45736</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45736</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45736</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45736</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45736</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45736</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45736</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45736</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45736</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45736</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45736</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45736</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45736</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45736</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45736</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45736</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45736</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45736</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45736</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45736</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45736</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45736</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45736</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45736</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45736</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45736</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45736</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45736</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45736</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45736</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45736</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45736</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45736</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45736</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45736</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45736</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45736</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45736</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45736</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45736</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45736</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45736</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45736</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45736</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45736</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45736</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45736</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45736</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45736</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45736</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45736</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45736</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45736</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45736</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45736</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45736</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45736</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45736</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45736</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45736</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45736</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45736</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45736</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45736</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45736</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45736</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45736</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45736</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45736</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45736</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45736</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45736</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45736</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45736</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45736</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45736</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45736</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45736</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45736</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45736</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45736</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45736</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45736</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45736</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45736</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45736</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45736</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45736</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45736</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45736</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45736</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45736</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45736</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45736</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45736</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45736</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45736</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45736</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45736</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45736</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45736</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45736</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45736</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45736</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45736</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45736</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45736</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45736</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45736</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45736</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45736</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45736</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45736</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45736</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45736</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45736</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45736</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45736</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45736</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45736</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45736</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45736</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45736</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45736</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45736</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45736</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45736</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45736</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45736</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45736</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45736</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45736</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45736</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45736</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45736</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45736</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45736</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45736</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45736</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45736</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45736</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45736</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45736</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45736</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45736</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45736</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45736</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45736</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45736</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45736</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45736</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45736</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45736</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45736</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45736</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45736</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45736</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45736</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45736</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45736</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45736</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45736</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45736</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45736</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45736</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45736</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45736</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45736</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45736</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45736</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45736</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45736</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45736</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45736</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45736</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45736</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45736</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45736</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45736</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45736</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45736</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45736</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45736</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45736</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45736</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45736</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45736</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45736</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45736</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45736</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45736</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45736</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45736</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45736</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45736</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45736</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45736</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45736</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45736</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45736</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45736</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45736</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45736</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45736</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45736</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45736</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45736</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45736</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45736</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45736</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45736</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45736</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45736</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45736</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45736</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45736</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45736</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45736</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45736</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45736</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45736</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45736</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45736</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45736</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45736</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45736</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45736</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45736</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45736</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45736</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45736</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45736</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45736</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45736</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45736</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45736</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45736</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45736</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45736</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45736</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45736</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45736</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45736</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45736</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45736</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45736</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45736</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45736</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45736</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45736</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45736</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45736</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45736</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45736</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45736</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45736</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45736</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45736</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45736</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45736</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45736</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45736</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45736</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45736</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45736</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45736</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45736</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45736</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45736</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45736</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45736</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45736</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45736</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45736</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45736</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45736</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45736</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45736</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45736</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45736</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45736</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45736</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45736</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45736</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45736</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45736</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45736</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45736</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45736</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45736</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45736</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45736</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45736</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45736</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45736</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45736</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45736</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45736</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45736</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45736</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45736</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45736</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45736</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45736</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45736</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45736</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45736</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45736</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45736</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45736</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45736</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45736</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45736</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45736</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45736</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45736</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45736</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45736</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45736</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45736</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45736</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45736</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45736</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45736</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45736</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45736</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45736</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45736</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45736</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45736</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45736</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45736</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45736</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45736</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45736</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45736</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45736</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45736</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45736</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45736</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45736</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45736</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45736</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45736</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45736</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45736</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45736</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45736</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45736</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45736</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45736</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45736</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45736</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45736</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45736</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45736</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45736</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45736</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45736</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45736</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45736</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45736</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45736</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45736</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45736</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45736</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45736</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45736</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45736</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45736</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45736</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45736</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45736</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45736</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45736</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45736</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45736</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45736</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45736</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45736</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45736</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45736</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45736</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45736</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45736</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45736</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45736</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45736</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45736</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6443-2025</t>
        </is>
      </c>
      <c r="B3832" s="1" t="n">
        <v>45699</v>
      </c>
      <c r="C3832" s="1" t="n">
        <v>45736</v>
      </c>
      <c r="D3832" t="inlineStr">
        <is>
          <t>VÄSTERBOTTENS LÄN</t>
        </is>
      </c>
      <c r="E3832" t="inlineStr">
        <is>
          <t>SKELLEFTEÅ</t>
        </is>
      </c>
      <c r="G3832" t="n">
        <v>6.3</v>
      </c>
      <c r="H3832" t="n">
        <v>0</v>
      </c>
      <c r="I3832" t="n">
        <v>0</v>
      </c>
      <c r="J3832" t="n">
        <v>0</v>
      </c>
      <c r="K3832" t="n">
        <v>0</v>
      </c>
      <c r="L3832" t="n">
        <v>0</v>
      </c>
      <c r="M3832" t="n">
        <v>0</v>
      </c>
      <c r="N3832" t="n">
        <v>0</v>
      </c>
      <c r="O3832" t="n">
        <v>0</v>
      </c>
      <c r="P3832" t="n">
        <v>0</v>
      </c>
      <c r="Q3832" t="n">
        <v>0</v>
      </c>
      <c r="R3832" s="2" t="inlineStr"/>
    </row>
    <row r="3833" ht="15" customHeight="1">
      <c r="A3833" t="inlineStr">
        <is>
          <t>A 6357-2025</t>
        </is>
      </c>
      <c r="B3833" s="1" t="n">
        <v>45699</v>
      </c>
      <c r="C3833" s="1" t="n">
        <v>45736</v>
      </c>
      <c r="D3833" t="inlineStr">
        <is>
          <t>VÄSTERBOTTENS LÄN</t>
        </is>
      </c>
      <c r="E3833" t="inlineStr">
        <is>
          <t>SKELLEFTEÅ</t>
        </is>
      </c>
      <c r="G3833" t="n">
        <v>5.6</v>
      </c>
      <c r="H3833" t="n">
        <v>0</v>
      </c>
      <c r="I3833" t="n">
        <v>0</v>
      </c>
      <c r="J3833" t="n">
        <v>0</v>
      </c>
      <c r="K3833" t="n">
        <v>0</v>
      </c>
      <c r="L3833" t="n">
        <v>0</v>
      </c>
      <c r="M3833" t="n">
        <v>0</v>
      </c>
      <c r="N3833" t="n">
        <v>0</v>
      </c>
      <c r="O3833" t="n">
        <v>0</v>
      </c>
      <c r="P3833" t="n">
        <v>0</v>
      </c>
      <c r="Q3833" t="n">
        <v>0</v>
      </c>
      <c r="R3833" s="2" t="inlineStr"/>
    </row>
    <row r="3834" ht="15" customHeight="1">
      <c r="A3834" t="inlineStr">
        <is>
          <t>A 6900-2025</t>
        </is>
      </c>
      <c r="B3834" s="1" t="n">
        <v>45701</v>
      </c>
      <c r="C3834" s="1" t="n">
        <v>45736</v>
      </c>
      <c r="D3834" t="inlineStr">
        <is>
          <t>VÄSTERBOTTENS LÄN</t>
        </is>
      </c>
      <c r="E3834" t="inlineStr">
        <is>
          <t>SKELLEFTEÅ</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7028-2025</t>
        </is>
      </c>
      <c r="B3835" s="1" t="n">
        <v>45701</v>
      </c>
      <c r="C3835" s="1" t="n">
        <v>45736</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7048-2025</t>
        </is>
      </c>
      <c r="B3836" s="1" t="n">
        <v>45701</v>
      </c>
      <c r="C3836" s="1" t="n">
        <v>45736</v>
      </c>
      <c r="D3836" t="inlineStr">
        <is>
          <t>VÄSTERBOTTENS LÄN</t>
        </is>
      </c>
      <c r="E3836" t="inlineStr">
        <is>
          <t>SKELLEFTEÅ</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7027-2025</t>
        </is>
      </c>
      <c r="B3837" s="1" t="n">
        <v>45701</v>
      </c>
      <c r="C3837" s="1" t="n">
        <v>45736</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6899-2025</t>
        </is>
      </c>
      <c r="B3838" s="1" t="n">
        <v>45701</v>
      </c>
      <c r="C3838" s="1" t="n">
        <v>45736</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45736</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45736</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45736</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45736</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45736</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8010-2025</t>
        </is>
      </c>
      <c r="B3844" s="1" t="n">
        <v>45707</v>
      </c>
      <c r="C3844" s="1" t="n">
        <v>45736</v>
      </c>
      <c r="D3844" t="inlineStr">
        <is>
          <t>VÄSTERBOTTENS LÄN</t>
        </is>
      </c>
      <c r="E3844" t="inlineStr">
        <is>
          <t>SKELLEFTEÅ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7991-2025</t>
        </is>
      </c>
      <c r="B3845" s="1" t="n">
        <v>45707</v>
      </c>
      <c r="C3845" s="1" t="n">
        <v>45736</v>
      </c>
      <c r="D3845" t="inlineStr">
        <is>
          <t>VÄSTERBOTTENS LÄN</t>
        </is>
      </c>
      <c r="E3845" t="inlineStr">
        <is>
          <t>SKELLEFTEÅ</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7981-2025</t>
        </is>
      </c>
      <c r="B3846" s="1" t="n">
        <v>45707</v>
      </c>
      <c r="C3846" s="1" t="n">
        <v>45736</v>
      </c>
      <c r="D3846" t="inlineStr">
        <is>
          <t>VÄSTERBOTTENS LÄN</t>
        </is>
      </c>
      <c r="E3846" t="inlineStr">
        <is>
          <t>SKELLEFTEÅ</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8013-2025</t>
        </is>
      </c>
      <c r="B3847" s="1" t="n">
        <v>45707</v>
      </c>
      <c r="C3847" s="1" t="n">
        <v>45736</v>
      </c>
      <c r="D3847" t="inlineStr">
        <is>
          <t>VÄSTERBOTTENS LÄN</t>
        </is>
      </c>
      <c r="E3847" t="inlineStr">
        <is>
          <t>SKELLEFTEÅ</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8090-2025</t>
        </is>
      </c>
      <c r="B3848" s="1" t="n">
        <v>45707</v>
      </c>
      <c r="C3848" s="1" t="n">
        <v>45736</v>
      </c>
      <c r="D3848" t="inlineStr">
        <is>
          <t>VÄSTERBOTTENS LÄN</t>
        </is>
      </c>
      <c r="E3848" t="inlineStr">
        <is>
          <t>SKELLEFTEÅ</t>
        </is>
      </c>
      <c r="G3848" t="n">
        <v>9.6</v>
      </c>
      <c r="H3848" t="n">
        <v>0</v>
      </c>
      <c r="I3848" t="n">
        <v>0</v>
      </c>
      <c r="J3848" t="n">
        <v>0</v>
      </c>
      <c r="K3848" t="n">
        <v>0</v>
      </c>
      <c r="L3848" t="n">
        <v>0</v>
      </c>
      <c r="M3848" t="n">
        <v>0</v>
      </c>
      <c r="N3848" t="n">
        <v>0</v>
      </c>
      <c r="O3848" t="n">
        <v>0</v>
      </c>
      <c r="P3848" t="n">
        <v>0</v>
      </c>
      <c r="Q3848" t="n">
        <v>0</v>
      </c>
      <c r="R3848" s="2" t="inlineStr"/>
    </row>
    <row r="3849" ht="15" customHeight="1">
      <c r="A3849" t="inlineStr">
        <is>
          <t>A 8141-2025</t>
        </is>
      </c>
      <c r="B3849" s="1" t="n">
        <v>45708</v>
      </c>
      <c r="C3849" s="1" t="n">
        <v>45736</v>
      </c>
      <c r="D3849" t="inlineStr">
        <is>
          <t>VÄSTERBOTTENS LÄN</t>
        </is>
      </c>
      <c r="E3849" t="inlineStr">
        <is>
          <t>SKELLEFTEÅ</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8140-2025</t>
        </is>
      </c>
      <c r="B3850" s="1" t="n">
        <v>45708</v>
      </c>
      <c r="C3850" s="1" t="n">
        <v>45736</v>
      </c>
      <c r="D3850" t="inlineStr">
        <is>
          <t>VÄSTERBOTTENS LÄN</t>
        </is>
      </c>
      <c r="E3850" t="inlineStr">
        <is>
          <t>SKELLEFTEÅ</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8144-2025</t>
        </is>
      </c>
      <c r="B3851" s="1" t="n">
        <v>45708</v>
      </c>
      <c r="C3851" s="1" t="n">
        <v>45736</v>
      </c>
      <c r="D3851" t="inlineStr">
        <is>
          <t>VÄSTERBOTTENS LÄN</t>
        </is>
      </c>
      <c r="E3851" t="inlineStr">
        <is>
          <t>SKELLEFTEÅ</t>
        </is>
      </c>
      <c r="G3851" t="n">
        <v>1.5</v>
      </c>
      <c r="H3851" t="n">
        <v>0</v>
      </c>
      <c r="I3851" t="n">
        <v>0</v>
      </c>
      <c r="J3851" t="n">
        <v>0</v>
      </c>
      <c r="K3851" t="n">
        <v>0</v>
      </c>
      <c r="L3851" t="n">
        <v>0</v>
      </c>
      <c r="M3851" t="n">
        <v>0</v>
      </c>
      <c r="N3851" t="n">
        <v>0</v>
      </c>
      <c r="O3851" t="n">
        <v>0</v>
      </c>
      <c r="P3851" t="n">
        <v>0</v>
      </c>
      <c r="Q3851" t="n">
        <v>0</v>
      </c>
      <c r="R3851" s="2" t="inlineStr"/>
    </row>
    <row r="3852" ht="15" customHeight="1">
      <c r="A3852" t="inlineStr">
        <is>
          <t>A 8240-2025</t>
        </is>
      </c>
      <c r="B3852" s="1" t="n">
        <v>45708</v>
      </c>
      <c r="C3852" s="1" t="n">
        <v>45736</v>
      </c>
      <c r="D3852" t="inlineStr">
        <is>
          <t>VÄSTERBOTTENS LÄN</t>
        </is>
      </c>
      <c r="E3852" t="inlineStr">
        <is>
          <t>SKELLEFTEÅ</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8221-2025</t>
        </is>
      </c>
      <c r="B3853" s="1" t="n">
        <v>45708</v>
      </c>
      <c r="C3853" s="1" t="n">
        <v>45736</v>
      </c>
      <c r="D3853" t="inlineStr">
        <is>
          <t>VÄSTERBOTTENS LÄN</t>
        </is>
      </c>
      <c r="E3853" t="inlineStr">
        <is>
          <t>SKELLEFTEÅ</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8289-2025</t>
        </is>
      </c>
      <c r="B3854" s="1" t="n">
        <v>45708</v>
      </c>
      <c r="C3854" s="1" t="n">
        <v>45736</v>
      </c>
      <c r="D3854" t="inlineStr">
        <is>
          <t>VÄSTERBOTTENS LÄN</t>
        </is>
      </c>
      <c r="E3854" t="inlineStr">
        <is>
          <t>SKELLEFTEÅ</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8301-2025</t>
        </is>
      </c>
      <c r="B3855" s="1" t="n">
        <v>45708</v>
      </c>
      <c r="C3855" s="1" t="n">
        <v>45736</v>
      </c>
      <c r="D3855" t="inlineStr">
        <is>
          <t>VÄSTERBOTTENS LÄN</t>
        </is>
      </c>
      <c r="E3855" t="inlineStr">
        <is>
          <t>SKELLEFTEÅ</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8241-2025</t>
        </is>
      </c>
      <c r="B3856" s="1" t="n">
        <v>45708</v>
      </c>
      <c r="C3856" s="1" t="n">
        <v>45736</v>
      </c>
      <c r="D3856" t="inlineStr">
        <is>
          <t>VÄSTERBOTTENS LÄN</t>
        </is>
      </c>
      <c r="E3856" t="inlineStr">
        <is>
          <t>SKELLEFTEÅ</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8280-2025</t>
        </is>
      </c>
      <c r="B3857" s="1" t="n">
        <v>45708</v>
      </c>
      <c r="C3857" s="1" t="n">
        <v>45736</v>
      </c>
      <c r="D3857" t="inlineStr">
        <is>
          <t>VÄSTERBOTTENS LÄN</t>
        </is>
      </c>
      <c r="E3857" t="inlineStr">
        <is>
          <t>SKELLEFTEÅ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8412-2025</t>
        </is>
      </c>
      <c r="B3858" s="1" t="n">
        <v>45709</v>
      </c>
      <c r="C3858" s="1" t="n">
        <v>45736</v>
      </c>
      <c r="D3858" t="inlineStr">
        <is>
          <t>VÄSTERBOTTENS LÄN</t>
        </is>
      </c>
      <c r="E3858" t="inlineStr">
        <is>
          <t>SKELLEFTEÅ</t>
        </is>
      </c>
      <c r="F3858" t="inlineStr">
        <is>
          <t>Holmen skog AB</t>
        </is>
      </c>
      <c r="G3858" t="n">
        <v>5.8</v>
      </c>
      <c r="H3858" t="n">
        <v>0</v>
      </c>
      <c r="I3858" t="n">
        <v>0</v>
      </c>
      <c r="J3858" t="n">
        <v>0</v>
      </c>
      <c r="K3858" t="n">
        <v>0</v>
      </c>
      <c r="L3858" t="n">
        <v>0</v>
      </c>
      <c r="M3858" t="n">
        <v>0</v>
      </c>
      <c r="N3858" t="n">
        <v>0</v>
      </c>
      <c r="O3858" t="n">
        <v>0</v>
      </c>
      <c r="P3858" t="n">
        <v>0</v>
      </c>
      <c r="Q3858" t="n">
        <v>0</v>
      </c>
      <c r="R3858" s="2" t="inlineStr"/>
    </row>
    <row r="3859" ht="15" customHeight="1">
      <c r="A3859" t="inlineStr">
        <is>
          <t>A 8397-2025</t>
        </is>
      </c>
      <c r="B3859" s="1" t="n">
        <v>45709</v>
      </c>
      <c r="C3859" s="1" t="n">
        <v>45736</v>
      </c>
      <c r="D3859" t="inlineStr">
        <is>
          <t>VÄSTERBOTTENS LÄN</t>
        </is>
      </c>
      <c r="E3859" t="inlineStr">
        <is>
          <t>SKELLEFTEÅ</t>
        </is>
      </c>
      <c r="G3859" t="n">
        <v>16.6</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45736</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45736</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45736</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8644-2025</t>
        </is>
      </c>
      <c r="B3863" s="1" t="n">
        <v>45712</v>
      </c>
      <c r="C3863" s="1" t="n">
        <v>45736</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45736</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8669-2025</t>
        </is>
      </c>
      <c r="B3865" s="1" t="n">
        <v>45712</v>
      </c>
      <c r="C3865" s="1" t="n">
        <v>45736</v>
      </c>
      <c r="D3865" t="inlineStr">
        <is>
          <t>VÄSTERBOTTENS LÄN</t>
        </is>
      </c>
      <c r="E3865" t="inlineStr">
        <is>
          <t>SKELLEFTEÅ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8689-2025</t>
        </is>
      </c>
      <c r="B3866" s="1" t="n">
        <v>45712</v>
      </c>
      <c r="C3866" s="1" t="n">
        <v>45736</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8820-2025</t>
        </is>
      </c>
      <c r="B3867" s="1" t="n">
        <v>45712</v>
      </c>
      <c r="C3867" s="1" t="n">
        <v>45736</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8801-2025</t>
        </is>
      </c>
      <c r="B3868" s="1" t="n">
        <v>45712</v>
      </c>
      <c r="C3868" s="1" t="n">
        <v>45736</v>
      </c>
      <c r="D3868" t="inlineStr">
        <is>
          <t>VÄSTERBOTTENS LÄN</t>
        </is>
      </c>
      <c r="E3868" t="inlineStr">
        <is>
          <t>SKELLEFTEÅ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8821-2025</t>
        </is>
      </c>
      <c r="B3869" s="1" t="n">
        <v>45712</v>
      </c>
      <c r="C3869" s="1" t="n">
        <v>45736</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8840-2025</t>
        </is>
      </c>
      <c r="B3870" s="1" t="n">
        <v>45713</v>
      </c>
      <c r="C3870" s="1" t="n">
        <v>45736</v>
      </c>
      <c r="D3870" t="inlineStr">
        <is>
          <t>VÄSTERBOTTENS LÄN</t>
        </is>
      </c>
      <c r="E3870" t="inlineStr">
        <is>
          <t>SKELLEFTEÅ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8839-2025</t>
        </is>
      </c>
      <c r="B3871" s="1" t="n">
        <v>45713</v>
      </c>
      <c r="C3871" s="1" t="n">
        <v>45736</v>
      </c>
      <c r="D3871" t="inlineStr">
        <is>
          <t>VÄSTERBOTTENS LÄN</t>
        </is>
      </c>
      <c r="E3871" t="inlineStr">
        <is>
          <t>SKELLEFTEÅ</t>
        </is>
      </c>
      <c r="G3871" t="n">
        <v>0.3</v>
      </c>
      <c r="H3871" t="n">
        <v>0</v>
      </c>
      <c r="I3871" t="n">
        <v>0</v>
      </c>
      <c r="J3871" t="n">
        <v>0</v>
      </c>
      <c r="K3871" t="n">
        <v>0</v>
      </c>
      <c r="L3871" t="n">
        <v>0</v>
      </c>
      <c r="M3871" t="n">
        <v>0</v>
      </c>
      <c r="N3871" t="n">
        <v>0</v>
      </c>
      <c r="O3871" t="n">
        <v>0</v>
      </c>
      <c r="P3871" t="n">
        <v>0</v>
      </c>
      <c r="Q3871" t="n">
        <v>0</v>
      </c>
      <c r="R3871" s="2" t="inlineStr"/>
    </row>
    <row r="3872" ht="15" customHeight="1">
      <c r="A3872" t="inlineStr">
        <is>
          <t>A 8887-2025</t>
        </is>
      </c>
      <c r="B3872" s="1" t="n">
        <v>45713</v>
      </c>
      <c r="C3872" s="1" t="n">
        <v>45736</v>
      </c>
      <c r="D3872" t="inlineStr">
        <is>
          <t>VÄSTERBOTTENS LÄN</t>
        </is>
      </c>
      <c r="E3872" t="inlineStr">
        <is>
          <t>SKELLEFTEÅ</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8927-2025</t>
        </is>
      </c>
      <c r="B3873" s="1" t="n">
        <v>45713</v>
      </c>
      <c r="C3873" s="1" t="n">
        <v>45736</v>
      </c>
      <c r="D3873" t="inlineStr">
        <is>
          <t>VÄSTERBOTTENS LÄN</t>
        </is>
      </c>
      <c r="E3873" t="inlineStr">
        <is>
          <t>SKELLEFTEÅ</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45736</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45736</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9432-2025</t>
        </is>
      </c>
      <c r="B3876" s="1" t="n">
        <v>45715</v>
      </c>
      <c r="C3876" s="1" t="n">
        <v>45736</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9448-2025</t>
        </is>
      </c>
      <c r="B3877" s="1" t="n">
        <v>45715</v>
      </c>
      <c r="C3877" s="1" t="n">
        <v>45736</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9441-2025</t>
        </is>
      </c>
      <c r="B3878" s="1" t="n">
        <v>45715</v>
      </c>
      <c r="C3878" s="1" t="n">
        <v>45736</v>
      </c>
      <c r="D3878" t="inlineStr">
        <is>
          <t>VÄSTERBOTTENS LÄN</t>
        </is>
      </c>
      <c r="E3878" t="inlineStr">
        <is>
          <t>SKELLEFTEÅ</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9450-2025</t>
        </is>
      </c>
      <c r="B3879" s="1" t="n">
        <v>45715</v>
      </c>
      <c r="C3879" s="1" t="n">
        <v>45736</v>
      </c>
      <c r="D3879" t="inlineStr">
        <is>
          <t>VÄSTERBOTTENS LÄN</t>
        </is>
      </c>
      <c r="E3879" t="inlineStr">
        <is>
          <t>SKELLEFTEÅ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9705-2025</t>
        </is>
      </c>
      <c r="B3880" s="1" t="n">
        <v>45716</v>
      </c>
      <c r="C3880" s="1" t="n">
        <v>45736</v>
      </c>
      <c r="D3880" t="inlineStr">
        <is>
          <t>VÄSTERBOTTENS LÄN</t>
        </is>
      </c>
      <c r="E3880" t="inlineStr">
        <is>
          <t>SKELLEFTEÅ</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9694-2025</t>
        </is>
      </c>
      <c r="B3881" s="1" t="n">
        <v>45716</v>
      </c>
      <c r="C3881" s="1" t="n">
        <v>45736</v>
      </c>
      <c r="D3881" t="inlineStr">
        <is>
          <t>VÄSTERBOTTENS LÄN</t>
        </is>
      </c>
      <c r="E3881" t="inlineStr">
        <is>
          <t>SKELLEFTEÅ</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9702-2025</t>
        </is>
      </c>
      <c r="B3882" s="1" t="n">
        <v>45716</v>
      </c>
      <c r="C3882" s="1" t="n">
        <v>45736</v>
      </c>
      <c r="D3882" t="inlineStr">
        <is>
          <t>VÄSTERBOTTENS LÄN</t>
        </is>
      </c>
      <c r="E3882" t="inlineStr">
        <is>
          <t>SKELLEFTEÅ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9841-2025</t>
        </is>
      </c>
      <c r="B3883" s="1" t="n">
        <v>45716</v>
      </c>
      <c r="C3883" s="1" t="n">
        <v>45736</v>
      </c>
      <c r="D3883" t="inlineStr">
        <is>
          <t>VÄSTERBOTTENS LÄN</t>
        </is>
      </c>
      <c r="E3883" t="inlineStr">
        <is>
          <t>SKELLEFTEÅ</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9840-2025</t>
        </is>
      </c>
      <c r="B3884" s="1" t="n">
        <v>45716</v>
      </c>
      <c r="C3884" s="1" t="n">
        <v>45736</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9838-2025</t>
        </is>
      </c>
      <c r="B3885" s="1" t="n">
        <v>45716</v>
      </c>
      <c r="C3885" s="1" t="n">
        <v>45736</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10063-2025</t>
        </is>
      </c>
      <c r="B3886" s="1" t="n">
        <v>45719</v>
      </c>
      <c r="C3886" s="1" t="n">
        <v>45736</v>
      </c>
      <c r="D3886" t="inlineStr">
        <is>
          <t>VÄSTERBOTTENS LÄN</t>
        </is>
      </c>
      <c r="E3886" t="inlineStr">
        <is>
          <t>SKELLEFTEÅ</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10082-2025</t>
        </is>
      </c>
      <c r="B3887" s="1" t="n">
        <v>45719</v>
      </c>
      <c r="C3887" s="1" t="n">
        <v>45736</v>
      </c>
      <c r="D3887" t="inlineStr">
        <is>
          <t>VÄSTERBOTTENS LÄN</t>
        </is>
      </c>
      <c r="E3887" t="inlineStr">
        <is>
          <t>SKELLEFTEÅ</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10074-2025</t>
        </is>
      </c>
      <c r="B3888" s="1" t="n">
        <v>45719</v>
      </c>
      <c r="C3888" s="1" t="n">
        <v>45736</v>
      </c>
      <c r="D3888" t="inlineStr">
        <is>
          <t>VÄSTERBOTTENS LÄN</t>
        </is>
      </c>
      <c r="E3888" t="inlineStr">
        <is>
          <t>SKELLEFTEÅ</t>
        </is>
      </c>
      <c r="G3888" t="n">
        <v>9.699999999999999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10079-2025</t>
        </is>
      </c>
      <c r="B3889" s="1" t="n">
        <v>45719</v>
      </c>
      <c r="C3889" s="1" t="n">
        <v>45736</v>
      </c>
      <c r="D3889" t="inlineStr">
        <is>
          <t>VÄSTERBOTTENS LÄN</t>
        </is>
      </c>
      <c r="E3889" t="inlineStr">
        <is>
          <t>SKELLEFTEÅ</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10287-2025</t>
        </is>
      </c>
      <c r="B3890" s="1" t="n">
        <v>45720</v>
      </c>
      <c r="C3890" s="1" t="n">
        <v>45736</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10278-2025</t>
        </is>
      </c>
      <c r="B3891" s="1" t="n">
        <v>45720</v>
      </c>
      <c r="C3891" s="1" t="n">
        <v>45736</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45736</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10903-2025</t>
        </is>
      </c>
      <c r="B3893" s="1" t="n">
        <v>45722</v>
      </c>
      <c r="C3893" s="1" t="n">
        <v>45736</v>
      </c>
      <c r="D3893" t="inlineStr">
        <is>
          <t>VÄSTERBOTTENS LÄN</t>
        </is>
      </c>
      <c r="E3893" t="inlineStr">
        <is>
          <t>SKELLEFTEÅ</t>
        </is>
      </c>
      <c r="G3893" t="n">
        <v>12.3</v>
      </c>
      <c r="H3893" t="n">
        <v>0</v>
      </c>
      <c r="I3893" t="n">
        <v>0</v>
      </c>
      <c r="J3893" t="n">
        <v>0</v>
      </c>
      <c r="K3893" t="n">
        <v>0</v>
      </c>
      <c r="L3893" t="n">
        <v>0</v>
      </c>
      <c r="M3893" t="n">
        <v>0</v>
      </c>
      <c r="N3893" t="n">
        <v>0</v>
      </c>
      <c r="O3893" t="n">
        <v>0</v>
      </c>
      <c r="P3893" t="n">
        <v>0</v>
      </c>
      <c r="Q3893" t="n">
        <v>0</v>
      </c>
      <c r="R3893" s="2" t="inlineStr"/>
    </row>
    <row r="3894" ht="15" customHeight="1">
      <c r="A3894" t="inlineStr">
        <is>
          <t>A 10841-2025</t>
        </is>
      </c>
      <c r="B3894" s="1" t="n">
        <v>45722</v>
      </c>
      <c r="C3894" s="1" t="n">
        <v>45736</v>
      </c>
      <c r="D3894" t="inlineStr">
        <is>
          <t>VÄSTERBOTTENS LÄN</t>
        </is>
      </c>
      <c r="E3894" t="inlineStr">
        <is>
          <t>SKELLEFTEÅ</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10986-2025</t>
        </is>
      </c>
      <c r="B3895" s="1" t="n">
        <v>45723</v>
      </c>
      <c r="C3895" s="1" t="n">
        <v>45736</v>
      </c>
      <c r="D3895" t="inlineStr">
        <is>
          <t>VÄSTERBOTTENS LÄN</t>
        </is>
      </c>
      <c r="E3895" t="inlineStr">
        <is>
          <t>SKELLEFTEÅ</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11254-2025</t>
        </is>
      </c>
      <c r="B3896" s="1" t="n">
        <v>45726</v>
      </c>
      <c r="C3896" s="1" t="n">
        <v>45736</v>
      </c>
      <c r="D3896" t="inlineStr">
        <is>
          <t>VÄSTERBOTTENS LÄN</t>
        </is>
      </c>
      <c r="E3896" t="inlineStr">
        <is>
          <t>SKELLEFTEÅ</t>
        </is>
      </c>
      <c r="G3896" t="n">
        <v>12.6</v>
      </c>
      <c r="H3896" t="n">
        <v>0</v>
      </c>
      <c r="I3896" t="n">
        <v>0</v>
      </c>
      <c r="J3896" t="n">
        <v>0</v>
      </c>
      <c r="K3896" t="n">
        <v>0</v>
      </c>
      <c r="L3896" t="n">
        <v>0</v>
      </c>
      <c r="M3896" t="n">
        <v>0</v>
      </c>
      <c r="N3896" t="n">
        <v>0</v>
      </c>
      <c r="O3896" t="n">
        <v>0</v>
      </c>
      <c r="P3896" t="n">
        <v>0</v>
      </c>
      <c r="Q3896" t="n">
        <v>0</v>
      </c>
      <c r="R3896" s="2" t="inlineStr"/>
    </row>
    <row r="3897" ht="15" customHeight="1">
      <c r="A3897" t="inlineStr">
        <is>
          <t>A 11278-2025</t>
        </is>
      </c>
      <c r="B3897" s="1" t="n">
        <v>45726</v>
      </c>
      <c r="C3897" s="1" t="n">
        <v>45736</v>
      </c>
      <c r="D3897" t="inlineStr">
        <is>
          <t>VÄSTERBOTTENS LÄN</t>
        </is>
      </c>
      <c r="E3897" t="inlineStr">
        <is>
          <t>SKELLEFTEÅ</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11314-2025</t>
        </is>
      </c>
      <c r="B3898" s="1" t="n">
        <v>45726</v>
      </c>
      <c r="C3898" s="1" t="n">
        <v>45736</v>
      </c>
      <c r="D3898" t="inlineStr">
        <is>
          <t>VÄSTERBOTTENS LÄN</t>
        </is>
      </c>
      <c r="E3898" t="inlineStr">
        <is>
          <t>SKELLEFTEÅ</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11318-2025</t>
        </is>
      </c>
      <c r="B3899" s="1" t="n">
        <v>45726</v>
      </c>
      <c r="C3899" s="1" t="n">
        <v>45736</v>
      </c>
      <c r="D3899" t="inlineStr">
        <is>
          <t>VÄSTERBOTTENS LÄN</t>
        </is>
      </c>
      <c r="E3899" t="inlineStr">
        <is>
          <t>SKELLEFTEÅ</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11391-2025</t>
        </is>
      </c>
      <c r="B3900" s="1" t="n">
        <v>45726</v>
      </c>
      <c r="C3900" s="1" t="n">
        <v>45736</v>
      </c>
      <c r="D3900" t="inlineStr">
        <is>
          <t>VÄSTERBOTTENS LÄN</t>
        </is>
      </c>
      <c r="E3900" t="inlineStr">
        <is>
          <t>SKELLEFTEÅ</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11644-2025</t>
        </is>
      </c>
      <c r="B3901" s="1" t="n">
        <v>45727</v>
      </c>
      <c r="C3901" s="1" t="n">
        <v>45736</v>
      </c>
      <c r="D3901" t="inlineStr">
        <is>
          <t>VÄSTERBOTTENS LÄN</t>
        </is>
      </c>
      <c r="E3901" t="inlineStr">
        <is>
          <t>SKELLEFTEÅ</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11843-2025</t>
        </is>
      </c>
      <c r="B3902" s="1" t="n">
        <v>45728</v>
      </c>
      <c r="C3902" s="1" t="n">
        <v>45736</v>
      </c>
      <c r="D3902" t="inlineStr">
        <is>
          <t>VÄSTERBOTTENS LÄN</t>
        </is>
      </c>
      <c r="E3902" t="inlineStr">
        <is>
          <t>SKELLEFTEÅ</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11884-2025</t>
        </is>
      </c>
      <c r="B3903" s="1" t="n">
        <v>45728</v>
      </c>
      <c r="C3903" s="1" t="n">
        <v>45736</v>
      </c>
      <c r="D3903" t="inlineStr">
        <is>
          <t>VÄSTERBOTTENS LÄN</t>
        </is>
      </c>
      <c r="E3903" t="inlineStr">
        <is>
          <t>SKELLEFTEÅ</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11907-2025</t>
        </is>
      </c>
      <c r="B3904" s="1" t="n">
        <v>45728</v>
      </c>
      <c r="C3904" s="1" t="n">
        <v>45736</v>
      </c>
      <c r="D3904" t="inlineStr">
        <is>
          <t>VÄSTERBOTTENS LÄN</t>
        </is>
      </c>
      <c r="E3904" t="inlineStr">
        <is>
          <t>SKELLEFTEÅ</t>
        </is>
      </c>
      <c r="G3904" t="n">
        <v>4.7</v>
      </c>
      <c r="H3904" t="n">
        <v>0</v>
      </c>
      <c r="I3904" t="n">
        <v>0</v>
      </c>
      <c r="J3904" t="n">
        <v>0</v>
      </c>
      <c r="K3904" t="n">
        <v>0</v>
      </c>
      <c r="L3904" t="n">
        <v>0</v>
      </c>
      <c r="M3904" t="n">
        <v>0</v>
      </c>
      <c r="N3904" t="n">
        <v>0</v>
      </c>
      <c r="O3904" t="n">
        <v>0</v>
      </c>
      <c r="P3904" t="n">
        <v>0</v>
      </c>
      <c r="Q3904" t="n">
        <v>0</v>
      </c>
      <c r="R3904" s="2" t="inlineStr"/>
    </row>
    <row r="3905" ht="15" customHeight="1">
      <c r="A3905" t="inlineStr">
        <is>
          <t>A 11971-2025</t>
        </is>
      </c>
      <c r="B3905" s="1" t="n">
        <v>45728</v>
      </c>
      <c r="C3905" s="1" t="n">
        <v>45736</v>
      </c>
      <c r="D3905" t="inlineStr">
        <is>
          <t>VÄSTERBOTTENS LÄN</t>
        </is>
      </c>
      <c r="E3905" t="inlineStr">
        <is>
          <t>SKELLEFTEÅ</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11851-2025</t>
        </is>
      </c>
      <c r="B3906" s="1" t="n">
        <v>45728</v>
      </c>
      <c r="C3906" s="1" t="n">
        <v>45736</v>
      </c>
      <c r="D3906" t="inlineStr">
        <is>
          <t>VÄSTERBOTTENS LÄN</t>
        </is>
      </c>
      <c r="E3906" t="inlineStr">
        <is>
          <t>SKELLEFTEÅ</t>
        </is>
      </c>
      <c r="G3906" t="n">
        <v>9.199999999999999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11956-2025</t>
        </is>
      </c>
      <c r="B3907" s="1" t="n">
        <v>45728</v>
      </c>
      <c r="C3907" s="1" t="n">
        <v>45736</v>
      </c>
      <c r="D3907" t="inlineStr">
        <is>
          <t>VÄSTERBOTTENS LÄN</t>
        </is>
      </c>
      <c r="E3907" t="inlineStr">
        <is>
          <t>SKELLEFTEÅ</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11994-2025</t>
        </is>
      </c>
      <c r="B3908" s="1" t="n">
        <v>45728</v>
      </c>
      <c r="C3908" s="1" t="n">
        <v>45736</v>
      </c>
      <c r="D3908" t="inlineStr">
        <is>
          <t>VÄSTERBOTTENS LÄN</t>
        </is>
      </c>
      <c r="E3908" t="inlineStr">
        <is>
          <t>SKELLEFTEÅ</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12050-2025</t>
        </is>
      </c>
      <c r="B3909" s="1" t="n">
        <v>45728</v>
      </c>
      <c r="C3909" s="1" t="n">
        <v>45736</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12090-2025</t>
        </is>
      </c>
      <c r="B3910" s="1" t="n">
        <v>45729</v>
      </c>
      <c r="C3910" s="1" t="n">
        <v>45736</v>
      </c>
      <c r="D3910" t="inlineStr">
        <is>
          <t>VÄSTERBOTTENS LÄN</t>
        </is>
      </c>
      <c r="E3910" t="inlineStr">
        <is>
          <t>SKELLEFTEÅ</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12256-2025</t>
        </is>
      </c>
      <c r="B3911" s="1" t="n">
        <v>45729</v>
      </c>
      <c r="C3911" s="1" t="n">
        <v>45736</v>
      </c>
      <c r="D3911" t="inlineStr">
        <is>
          <t>VÄSTERBOTTENS LÄN</t>
        </is>
      </c>
      <c r="E3911" t="inlineStr">
        <is>
          <t>SKELLEFTEÅ</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12300-2025</t>
        </is>
      </c>
      <c r="B3912" s="1" t="n">
        <v>45729</v>
      </c>
      <c r="C3912" s="1" t="n">
        <v>45736</v>
      </c>
      <c r="D3912" t="inlineStr">
        <is>
          <t>VÄSTERBOTTENS LÄN</t>
        </is>
      </c>
      <c r="E3912" t="inlineStr">
        <is>
          <t>SKELLEFTEÅ</t>
        </is>
      </c>
      <c r="G3912" t="n">
        <v>1.6</v>
      </c>
      <c r="H3912" t="n">
        <v>0</v>
      </c>
      <c r="I3912" t="n">
        <v>0</v>
      </c>
      <c r="J3912" t="n">
        <v>0</v>
      </c>
      <c r="K3912" t="n">
        <v>0</v>
      </c>
      <c r="L3912" t="n">
        <v>0</v>
      </c>
      <c r="M3912" t="n">
        <v>0</v>
      </c>
      <c r="N3912" t="n">
        <v>0</v>
      </c>
      <c r="O3912" t="n">
        <v>0</v>
      </c>
      <c r="P3912" t="n">
        <v>0</v>
      </c>
      <c r="Q3912" t="n">
        <v>0</v>
      </c>
      <c r="R3912" s="2" t="inlineStr"/>
    </row>
    <row r="3913" ht="15" customHeight="1">
      <c r="A3913" t="inlineStr">
        <is>
          <t>A 12320-2025</t>
        </is>
      </c>
      <c r="B3913" s="1" t="n">
        <v>45730</v>
      </c>
      <c r="C3913" s="1" t="n">
        <v>45736</v>
      </c>
      <c r="D3913" t="inlineStr">
        <is>
          <t>VÄSTERBOTTENS LÄN</t>
        </is>
      </c>
      <c r="E3913" t="inlineStr">
        <is>
          <t>SKELLEFTEÅ</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12353-2025</t>
        </is>
      </c>
      <c r="B3914" s="1" t="n">
        <v>45730</v>
      </c>
      <c r="C3914" s="1" t="n">
        <v>45736</v>
      </c>
      <c r="D3914" t="inlineStr">
        <is>
          <t>VÄSTERBOTTENS LÄN</t>
        </is>
      </c>
      <c r="E3914" t="inlineStr">
        <is>
          <t>SKELLEFTEÅ</t>
        </is>
      </c>
      <c r="G3914" t="n">
        <v>6.5</v>
      </c>
      <c r="H3914" t="n">
        <v>0</v>
      </c>
      <c r="I3914" t="n">
        <v>0</v>
      </c>
      <c r="J3914" t="n">
        <v>0</v>
      </c>
      <c r="K3914" t="n">
        <v>0</v>
      </c>
      <c r="L3914" t="n">
        <v>0</v>
      </c>
      <c r="M3914" t="n">
        <v>0</v>
      </c>
      <c r="N3914" t="n">
        <v>0</v>
      </c>
      <c r="O3914" t="n">
        <v>0</v>
      </c>
      <c r="P3914" t="n">
        <v>0</v>
      </c>
      <c r="Q3914" t="n">
        <v>0</v>
      </c>
      <c r="R3914" s="2" t="inlineStr"/>
    </row>
    <row r="3915" ht="15" customHeight="1">
      <c r="A3915" t="inlineStr">
        <is>
          <t>A 12545-2025</t>
        </is>
      </c>
      <c r="B3915" s="1" t="n">
        <v>45730</v>
      </c>
      <c r="C3915" s="1" t="n">
        <v>45736</v>
      </c>
      <c r="D3915" t="inlineStr">
        <is>
          <t>VÄSTERBOTTENS LÄN</t>
        </is>
      </c>
      <c r="E3915" t="inlineStr">
        <is>
          <t>SKELLEFTEÅ</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12547-2025</t>
        </is>
      </c>
      <c r="B3916" s="1" t="n">
        <v>45730</v>
      </c>
      <c r="C3916" s="1" t="n">
        <v>45736</v>
      </c>
      <c r="D3916" t="inlineStr">
        <is>
          <t>VÄSTERBOTTENS LÄN</t>
        </is>
      </c>
      <c r="E3916" t="inlineStr">
        <is>
          <t>SKELLEFTEÅ</t>
        </is>
      </c>
      <c r="G3916" t="n">
        <v>3</v>
      </c>
      <c r="H3916" t="n">
        <v>0</v>
      </c>
      <c r="I3916" t="n">
        <v>0</v>
      </c>
      <c r="J3916" t="n">
        <v>0</v>
      </c>
      <c r="K3916" t="n">
        <v>0</v>
      </c>
      <c r="L3916" t="n">
        <v>0</v>
      </c>
      <c r="M3916" t="n">
        <v>0</v>
      </c>
      <c r="N3916" t="n">
        <v>0</v>
      </c>
      <c r="O3916" t="n">
        <v>0</v>
      </c>
      <c r="P3916" t="n">
        <v>0</v>
      </c>
      <c r="Q3916" t="n">
        <v>0</v>
      </c>
      <c r="R3916" s="2" t="inlineStr"/>
    </row>
    <row r="3917" ht="15" customHeight="1">
      <c r="A3917" t="inlineStr">
        <is>
          <t>A 12645-2025</t>
        </is>
      </c>
      <c r="B3917" s="1" t="n">
        <v>45733</v>
      </c>
      <c r="C3917" s="1" t="n">
        <v>45736</v>
      </c>
      <c r="D3917" t="inlineStr">
        <is>
          <t>VÄSTERBOTTENS LÄN</t>
        </is>
      </c>
      <c r="E3917" t="inlineStr">
        <is>
          <t>SKELLEFTEÅ</t>
        </is>
      </c>
      <c r="G3917" t="n">
        <v>5.9</v>
      </c>
      <c r="H3917" t="n">
        <v>0</v>
      </c>
      <c r="I3917" t="n">
        <v>0</v>
      </c>
      <c r="J3917" t="n">
        <v>0</v>
      </c>
      <c r="K3917" t="n">
        <v>0</v>
      </c>
      <c r="L3917" t="n">
        <v>0</v>
      </c>
      <c r="M3917" t="n">
        <v>0</v>
      </c>
      <c r="N3917" t="n">
        <v>0</v>
      </c>
      <c r="O3917" t="n">
        <v>0</v>
      </c>
      <c r="P3917" t="n">
        <v>0</v>
      </c>
      <c r="Q3917" t="n">
        <v>0</v>
      </c>
      <c r="R3917" s="2" t="inlineStr"/>
    </row>
    <row r="3918" ht="15" customHeight="1">
      <c r="A3918" t="inlineStr">
        <is>
          <t>A 12713-2025</t>
        </is>
      </c>
      <c r="B3918" s="1" t="n">
        <v>45733</v>
      </c>
      <c r="C3918" s="1" t="n">
        <v>45736</v>
      </c>
      <c r="D3918" t="inlineStr">
        <is>
          <t>VÄSTERBOTTENS LÄN</t>
        </is>
      </c>
      <c r="E3918" t="inlineStr">
        <is>
          <t>SKELLEFTEÅ</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12694-2025</t>
        </is>
      </c>
      <c r="B3919" s="1" t="n">
        <v>45733</v>
      </c>
      <c r="C3919" s="1" t="n">
        <v>45736</v>
      </c>
      <c r="D3919" t="inlineStr">
        <is>
          <t>VÄSTERBOTTENS LÄN</t>
        </is>
      </c>
      <c r="E3919" t="inlineStr">
        <is>
          <t>SKELLEFTEÅ</t>
        </is>
      </c>
      <c r="F3919" t="inlineStr">
        <is>
          <t>Kommuner</t>
        </is>
      </c>
      <c r="G3919" t="n">
        <v>4</v>
      </c>
      <c r="H3919" t="n">
        <v>0</v>
      </c>
      <c r="I3919" t="n">
        <v>0</v>
      </c>
      <c r="J3919" t="n">
        <v>0</v>
      </c>
      <c r="K3919" t="n">
        <v>0</v>
      </c>
      <c r="L3919" t="n">
        <v>0</v>
      </c>
      <c r="M3919" t="n">
        <v>0</v>
      </c>
      <c r="N3919" t="n">
        <v>0</v>
      </c>
      <c r="O3919" t="n">
        <v>0</v>
      </c>
      <c r="P3919" t="n">
        <v>0</v>
      </c>
      <c r="Q3919" t="n">
        <v>0</v>
      </c>
      <c r="R3919" s="2" t="inlineStr"/>
    </row>
    <row r="3920" ht="15" customHeight="1">
      <c r="A3920" t="inlineStr">
        <is>
          <t>A 12698-2025</t>
        </is>
      </c>
      <c r="B3920" s="1" t="n">
        <v>45733</v>
      </c>
      <c r="C3920" s="1" t="n">
        <v>45736</v>
      </c>
      <c r="D3920" t="inlineStr">
        <is>
          <t>VÄSTERBOTTENS LÄN</t>
        </is>
      </c>
      <c r="E3920" t="inlineStr">
        <is>
          <t>SKELLEFTEÅ</t>
        </is>
      </c>
      <c r="F3920" t="inlineStr">
        <is>
          <t>Kommuner</t>
        </is>
      </c>
      <c r="G3920" t="n">
        <v>3.8</v>
      </c>
      <c r="H3920" t="n">
        <v>0</v>
      </c>
      <c r="I3920" t="n">
        <v>0</v>
      </c>
      <c r="J3920" t="n">
        <v>0</v>
      </c>
      <c r="K3920" t="n">
        <v>0</v>
      </c>
      <c r="L3920" t="n">
        <v>0</v>
      </c>
      <c r="M3920" t="n">
        <v>0</v>
      </c>
      <c r="N3920" t="n">
        <v>0</v>
      </c>
      <c r="O3920" t="n">
        <v>0</v>
      </c>
      <c r="P3920" t="n">
        <v>0</v>
      </c>
      <c r="Q3920" t="n">
        <v>0</v>
      </c>
      <c r="R3920" s="2" t="inlineStr"/>
    </row>
    <row r="3921" ht="15" customHeight="1">
      <c r="A3921" t="inlineStr">
        <is>
          <t>A 12862-2025</t>
        </is>
      </c>
      <c r="B3921" s="1" t="n">
        <v>45733</v>
      </c>
      <c r="C3921" s="1" t="n">
        <v>45736</v>
      </c>
      <c r="D3921" t="inlineStr">
        <is>
          <t>VÄSTERBOTTENS LÄN</t>
        </is>
      </c>
      <c r="E3921" t="inlineStr">
        <is>
          <t>SKELLEFTEÅ</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12712-2025</t>
        </is>
      </c>
      <c r="B3922" s="1" t="n">
        <v>45733</v>
      </c>
      <c r="C3922" s="1" t="n">
        <v>45736</v>
      </c>
      <c r="D3922" t="inlineStr">
        <is>
          <t>VÄSTERBOTTENS LÄN</t>
        </is>
      </c>
      <c r="E3922" t="inlineStr">
        <is>
          <t>SKELLEFTEÅ</t>
        </is>
      </c>
      <c r="G3922" t="n">
        <v>13.6</v>
      </c>
      <c r="H3922" t="n">
        <v>0</v>
      </c>
      <c r="I3922" t="n">
        <v>0</v>
      </c>
      <c r="J3922" t="n">
        <v>0</v>
      </c>
      <c r="K3922" t="n">
        <v>0</v>
      </c>
      <c r="L3922" t="n">
        <v>0</v>
      </c>
      <c r="M3922" t="n">
        <v>0</v>
      </c>
      <c r="N3922" t="n">
        <v>0</v>
      </c>
      <c r="O3922" t="n">
        <v>0</v>
      </c>
      <c r="P3922" t="n">
        <v>0</v>
      </c>
      <c r="Q3922" t="n">
        <v>0</v>
      </c>
      <c r="R3922" s="2" t="inlineStr"/>
    </row>
    <row r="3923" ht="15" customHeight="1">
      <c r="A3923" t="inlineStr">
        <is>
          <t>A 12842-2025</t>
        </is>
      </c>
      <c r="B3923" s="1" t="n">
        <v>45733</v>
      </c>
      <c r="C3923" s="1" t="n">
        <v>45736</v>
      </c>
      <c r="D3923" t="inlineStr">
        <is>
          <t>VÄSTERBOTTENS LÄN</t>
        </is>
      </c>
      <c r="E3923" t="inlineStr">
        <is>
          <t>SKELLEFTEÅ</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12855-2025</t>
        </is>
      </c>
      <c r="B3924" s="1" t="n">
        <v>45733</v>
      </c>
      <c r="C3924" s="1" t="n">
        <v>45736</v>
      </c>
      <c r="D3924" t="inlineStr">
        <is>
          <t>VÄSTERBOTTENS LÄN</t>
        </is>
      </c>
      <c r="E3924" t="inlineStr">
        <is>
          <t>SKELLEFTEÅ</t>
        </is>
      </c>
      <c r="G3924" t="n">
        <v>7.8</v>
      </c>
      <c r="H3924" t="n">
        <v>0</v>
      </c>
      <c r="I3924" t="n">
        <v>0</v>
      </c>
      <c r="J3924" t="n">
        <v>0</v>
      </c>
      <c r="K3924" t="n">
        <v>0</v>
      </c>
      <c r="L3924" t="n">
        <v>0</v>
      </c>
      <c r="M3924" t="n">
        <v>0</v>
      </c>
      <c r="N3924" t="n">
        <v>0</v>
      </c>
      <c r="O3924" t="n">
        <v>0</v>
      </c>
      <c r="P3924" t="n">
        <v>0</v>
      </c>
      <c r="Q3924" t="n">
        <v>0</v>
      </c>
      <c r="R3924" s="2" t="inlineStr"/>
    </row>
    <row r="3925" ht="15" customHeight="1">
      <c r="A3925" t="inlineStr">
        <is>
          <t>A 12701-2025</t>
        </is>
      </c>
      <c r="B3925" s="1" t="n">
        <v>45733</v>
      </c>
      <c r="C3925" s="1" t="n">
        <v>45736</v>
      </c>
      <c r="D3925" t="inlineStr">
        <is>
          <t>VÄSTERBOTTENS LÄN</t>
        </is>
      </c>
      <c r="E3925" t="inlineStr">
        <is>
          <t>SKELLEFTEÅ</t>
        </is>
      </c>
      <c r="G3925" t="n">
        <v>7.2</v>
      </c>
      <c r="H3925" t="n">
        <v>0</v>
      </c>
      <c r="I3925" t="n">
        <v>0</v>
      </c>
      <c r="J3925" t="n">
        <v>0</v>
      </c>
      <c r="K3925" t="n">
        <v>0</v>
      </c>
      <c r="L3925" t="n">
        <v>0</v>
      </c>
      <c r="M3925" t="n">
        <v>0</v>
      </c>
      <c r="N3925" t="n">
        <v>0</v>
      </c>
      <c r="O3925" t="n">
        <v>0</v>
      </c>
      <c r="P3925" t="n">
        <v>0</v>
      </c>
      <c r="Q3925" t="n">
        <v>0</v>
      </c>
      <c r="R3925" s="2" t="inlineStr"/>
    </row>
    <row r="3926" ht="15" customHeight="1">
      <c r="A3926" t="inlineStr">
        <is>
          <t>A 12873-2025</t>
        </is>
      </c>
      <c r="B3926" s="1" t="n">
        <v>45733</v>
      </c>
      <c r="C3926" s="1" t="n">
        <v>45736</v>
      </c>
      <c r="D3926" t="inlineStr">
        <is>
          <t>VÄSTERBOTTENS LÄN</t>
        </is>
      </c>
      <c r="E3926" t="inlineStr">
        <is>
          <t>SKELLEFTEÅ</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12939-2025</t>
        </is>
      </c>
      <c r="B3927" s="1" t="n">
        <v>45734</v>
      </c>
      <c r="C3927" s="1" t="n">
        <v>45736</v>
      </c>
      <c r="D3927" t="inlineStr">
        <is>
          <t>VÄSTERBOTTENS LÄN</t>
        </is>
      </c>
      <c r="E3927" t="inlineStr">
        <is>
          <t>SKELLEFTEÅ</t>
        </is>
      </c>
      <c r="G3927" t="n">
        <v>10.6</v>
      </c>
      <c r="H3927" t="n">
        <v>0</v>
      </c>
      <c r="I3927" t="n">
        <v>0</v>
      </c>
      <c r="J3927" t="n">
        <v>0</v>
      </c>
      <c r="K3927" t="n">
        <v>0</v>
      </c>
      <c r="L3927" t="n">
        <v>0</v>
      </c>
      <c r="M3927" t="n">
        <v>0</v>
      </c>
      <c r="N3927" t="n">
        <v>0</v>
      </c>
      <c r="O3927" t="n">
        <v>0</v>
      </c>
      <c r="P3927" t="n">
        <v>0</v>
      </c>
      <c r="Q3927" t="n">
        <v>0</v>
      </c>
      <c r="R3927" s="2" t="inlineStr"/>
    </row>
    <row r="3928" ht="15" customHeight="1">
      <c r="A3928" t="inlineStr">
        <is>
          <t>A 13126-2025</t>
        </is>
      </c>
      <c r="B3928" s="1" t="n">
        <v>45734</v>
      </c>
      <c r="C3928" s="1" t="n">
        <v>45736</v>
      </c>
      <c r="D3928" t="inlineStr">
        <is>
          <t>VÄSTERBOTTENS LÄN</t>
        </is>
      </c>
      <c r="E3928" t="inlineStr">
        <is>
          <t>SKELLEFTEÅ</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13203-2025</t>
        </is>
      </c>
      <c r="B3929" s="1" t="n">
        <v>45735</v>
      </c>
      <c r="C3929" s="1" t="n">
        <v>45736</v>
      </c>
      <c r="D3929" t="inlineStr">
        <is>
          <t>VÄSTERBOTTENS LÄN</t>
        </is>
      </c>
      <c r="E3929" t="inlineStr">
        <is>
          <t>SKELLEFTEÅ</t>
        </is>
      </c>
      <c r="G3929" t="n">
        <v>7.6</v>
      </c>
      <c r="H3929" t="n">
        <v>0</v>
      </c>
      <c r="I3929" t="n">
        <v>0</v>
      </c>
      <c r="J3929" t="n">
        <v>0</v>
      </c>
      <c r="K3929" t="n">
        <v>0</v>
      </c>
      <c r="L3929" t="n">
        <v>0</v>
      </c>
      <c r="M3929" t="n">
        <v>0</v>
      </c>
      <c r="N3929" t="n">
        <v>0</v>
      </c>
      <c r="O3929" t="n">
        <v>0</v>
      </c>
      <c r="P3929" t="n">
        <v>0</v>
      </c>
      <c r="Q3929" t="n">
        <v>0</v>
      </c>
      <c r="R3929" s="2" t="inlineStr"/>
    </row>
    <row r="3930" ht="15" customHeight="1">
      <c r="A3930" t="inlineStr">
        <is>
          <t>A 13186-2025</t>
        </is>
      </c>
      <c r="B3930" s="1" t="n">
        <v>45735</v>
      </c>
      <c r="C3930" s="1" t="n">
        <v>45736</v>
      </c>
      <c r="D3930" t="inlineStr">
        <is>
          <t>VÄSTERBOTTENS LÄN</t>
        </is>
      </c>
      <c r="E3930" t="inlineStr">
        <is>
          <t>SKELLEFTEÅ</t>
        </is>
      </c>
      <c r="G3930" t="n">
        <v>2.6</v>
      </c>
      <c r="H3930" t="n">
        <v>0</v>
      </c>
      <c r="I3930" t="n">
        <v>0</v>
      </c>
      <c r="J3930" t="n">
        <v>0</v>
      </c>
      <c r="K3930" t="n">
        <v>0</v>
      </c>
      <c r="L3930" t="n">
        <v>0</v>
      </c>
      <c r="M3930" t="n">
        <v>0</v>
      </c>
      <c r="N3930" t="n">
        <v>0</v>
      </c>
      <c r="O3930" t="n">
        <v>0</v>
      </c>
      <c r="P3930" t="n">
        <v>0</v>
      </c>
      <c r="Q3930" t="n">
        <v>0</v>
      </c>
      <c r="R3930" s="2" t="inlineStr"/>
    </row>
    <row r="3931" ht="15" customHeight="1">
      <c r="A3931" t="inlineStr">
        <is>
          <t>A 13225-2025</t>
        </is>
      </c>
      <c r="B3931" s="1" t="n">
        <v>45735</v>
      </c>
      <c r="C3931" s="1" t="n">
        <v>45736</v>
      </c>
      <c r="D3931" t="inlineStr">
        <is>
          <t>VÄSTERBOTTENS LÄN</t>
        </is>
      </c>
      <c r="E3931" t="inlineStr">
        <is>
          <t>SKELLEFTEÅ</t>
        </is>
      </c>
      <c r="G3931" t="n">
        <v>1</v>
      </c>
      <c r="H3931" t="n">
        <v>0</v>
      </c>
      <c r="I3931" t="n">
        <v>0</v>
      </c>
      <c r="J3931" t="n">
        <v>0</v>
      </c>
      <c r="K3931" t="n">
        <v>0</v>
      </c>
      <c r="L3931" t="n">
        <v>0</v>
      </c>
      <c r="M3931" t="n">
        <v>0</v>
      </c>
      <c r="N3931" t="n">
        <v>0</v>
      </c>
      <c r="O3931" t="n">
        <v>0</v>
      </c>
      <c r="P3931" t="n">
        <v>0</v>
      </c>
      <c r="Q3931" t="n">
        <v>0</v>
      </c>
      <c r="R3931" s="2" t="inlineStr"/>
    </row>
    <row r="3932">
      <c r="A3932" t="inlineStr">
        <is>
          <t>A 13207-2025</t>
        </is>
      </c>
      <c r="B3932" s="1" t="n">
        <v>45735</v>
      </c>
      <c r="C3932" s="1" t="n">
        <v>45736</v>
      </c>
      <c r="D3932" t="inlineStr">
        <is>
          <t>VÄSTERBOTTENS LÄN</t>
        </is>
      </c>
      <c r="E3932" t="inlineStr">
        <is>
          <t>SKELLEFTEÅ</t>
        </is>
      </c>
      <c r="G3932" t="n">
        <v>3.2</v>
      </c>
      <c r="H3932" t="n">
        <v>0</v>
      </c>
      <c r="I3932" t="n">
        <v>0</v>
      </c>
      <c r="J3932" t="n">
        <v>0</v>
      </c>
      <c r="K3932" t="n">
        <v>0</v>
      </c>
      <c r="L3932" t="n">
        <v>0</v>
      </c>
      <c r="M3932" t="n">
        <v>0</v>
      </c>
      <c r="N3932" t="n">
        <v>0</v>
      </c>
      <c r="O3932" t="n">
        <v>0</v>
      </c>
      <c r="P3932" t="n">
        <v>0</v>
      </c>
      <c r="Q3932" t="n">
        <v>0</v>
      </c>
      <c r="R3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2025-03-20T17:36:28Z</dcterms:created>
  <dcterms:modified xmlns:dcterms="http://purl.org/dc/terms/" xmlns:xsi="http://www.w3.org/2001/XMLSchema-instance" xsi:type="dcterms:W3CDTF">2025-03-20T17:36:31Z</dcterms:modified>
</cp:coreProperties>
</file>